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D:\stavby\2025\HD Forestina\Finální výkazy\"/>
    </mc:Choice>
  </mc:AlternateContent>
  <bookViews>
    <workbookView xWindow="0" yWindow="0" windowWidth="0" windowHeight="0"/>
  </bookViews>
  <sheets>
    <sheet name="Rekapitulace stavby" sheetId="1" r:id="rId1"/>
    <sheet name="010 - Administrativní část" sheetId="2" r:id="rId2"/>
    <sheet name="020 - Hala" sheetId="3" r:id="rId3"/>
    <sheet name="021 - Hala - markýzy VP9" sheetId="4" r:id="rId4"/>
    <sheet name="030 - Venkovní úpravy" sheetId="5" r:id="rId5"/>
    <sheet name="034 - Venkovní úpravy - p..." sheetId="6" r:id="rId6"/>
    <sheet name="035 - Venkovní úpravy - p..." sheetId="7" r:id="rId7"/>
    <sheet name="080 - Technické zařízení ..." sheetId="8" r:id="rId8"/>
    <sheet name="090 - Vedlejší a ostatní ..." sheetId="9" r:id="rId9"/>
  </sheets>
  <definedNames>
    <definedName name="_xlnm.Print_Area" localSheetId="0">'Rekapitulace stavby'!$D$4:$AO$76,'Rekapitulace stavby'!$C$82:$AQ$103</definedName>
    <definedName name="_xlnm.Print_Titles" localSheetId="0">'Rekapitulace stavby'!$92:$92</definedName>
    <definedName name="_xlnm._FilterDatabase" localSheetId="1" hidden="1">'010 - Administrativní část'!$C$141:$K$894</definedName>
    <definedName name="_xlnm.Print_Area" localSheetId="1">'010 - Administrativní část'!$C$4:$J$76,'010 - Administrativní část'!$C$82:$J$123,'010 - Administrativní část'!$C$129:$J$894</definedName>
    <definedName name="_xlnm.Print_Titles" localSheetId="1">'010 - Administrativní část'!$141:$141</definedName>
    <definedName name="_xlnm._FilterDatabase" localSheetId="2" hidden="1">'020 - Hala'!$C$131:$K$451</definedName>
    <definedName name="_xlnm.Print_Area" localSheetId="2">'020 - Hala'!$C$4:$J$76,'020 - Hala'!$C$82:$J$113,'020 - Hala'!$C$119:$J$451</definedName>
    <definedName name="_xlnm.Print_Titles" localSheetId="2">'020 - Hala'!$131:$131</definedName>
    <definedName name="_xlnm._FilterDatabase" localSheetId="3" hidden="1">'021 - Hala - markýzy VP9'!$C$118:$K$136</definedName>
    <definedName name="_xlnm.Print_Area" localSheetId="3">'021 - Hala - markýzy VP9'!$C$4:$J$76,'021 - Hala - markýzy VP9'!$C$82:$J$100,'021 - Hala - markýzy VP9'!$C$106:$J$136</definedName>
    <definedName name="_xlnm.Print_Titles" localSheetId="3">'021 - Hala - markýzy VP9'!$118:$118</definedName>
    <definedName name="_xlnm._FilterDatabase" localSheetId="4" hidden="1">'030 - Venkovní úpravy'!$C$129:$K$388</definedName>
    <definedName name="_xlnm.Print_Area" localSheetId="4">'030 - Venkovní úpravy'!$C$4:$J$76,'030 - Venkovní úpravy'!$C$82:$J$111,'030 - Venkovní úpravy'!$C$117:$J$388</definedName>
    <definedName name="_xlnm.Print_Titles" localSheetId="4">'030 - Venkovní úpravy'!$129:$129</definedName>
    <definedName name="_xlnm._FilterDatabase" localSheetId="5" hidden="1">'034 - Venkovní úpravy - p...'!$C$123:$K$186</definedName>
    <definedName name="_xlnm.Print_Area" localSheetId="5">'034 - Venkovní úpravy - p...'!$C$4:$J$76,'034 - Venkovní úpravy - p...'!$C$82:$J$105,'034 - Venkovní úpravy - p...'!$C$111:$J$186</definedName>
    <definedName name="_xlnm.Print_Titles" localSheetId="5">'034 - Venkovní úpravy - p...'!$123:$123</definedName>
    <definedName name="_xlnm._FilterDatabase" localSheetId="6" hidden="1">'035 - Venkovní úpravy - p...'!$C$123:$K$179</definedName>
    <definedName name="_xlnm.Print_Area" localSheetId="6">'035 - Venkovní úpravy - p...'!$C$4:$J$76,'035 - Venkovní úpravy - p...'!$C$82:$J$105,'035 - Venkovní úpravy - p...'!$C$111:$J$179</definedName>
    <definedName name="_xlnm.Print_Titles" localSheetId="6">'035 - Venkovní úpravy - p...'!$123:$123</definedName>
    <definedName name="_xlnm._FilterDatabase" localSheetId="7" hidden="1">'080 - Technické zařízení ...'!$C$117:$K$126</definedName>
    <definedName name="_xlnm.Print_Area" localSheetId="7">'080 - Technické zařízení ...'!$C$4:$J$76,'080 - Technické zařízení ...'!$C$82:$J$99,'080 - Technické zařízení ...'!$C$105:$J$126</definedName>
    <definedName name="_xlnm.Print_Titles" localSheetId="7">'080 - Technické zařízení ...'!$117:$117</definedName>
    <definedName name="_xlnm._FilterDatabase" localSheetId="8" hidden="1">'090 - Vedlejší a ostatní ...'!$C$121:$K$143</definedName>
    <definedName name="_xlnm.Print_Area" localSheetId="8">'090 - Vedlejší a ostatní ...'!$C$4:$J$76,'090 - Vedlejší a ostatní ...'!$C$82:$J$103,'090 - Vedlejší a ostatní ...'!$C$109:$J$143</definedName>
    <definedName name="_xlnm.Print_Titles" localSheetId="8">'090 - Vedlejší a ostatní ...'!$121:$121</definedName>
  </definedNames>
  <calcPr/>
</workbook>
</file>

<file path=xl/calcChain.xml><?xml version="1.0" encoding="utf-8"?>
<calcChain xmlns="http://schemas.openxmlformats.org/spreadsheetml/2006/main">
  <c i="9" l="1" r="J37"/>
  <c r="J36"/>
  <c i="1" r="AY102"/>
  <c i="9" r="J35"/>
  <c i="1" r="AX102"/>
  <c i="9" r="BI143"/>
  <c r="BH143"/>
  <c r="BG143"/>
  <c r="BF143"/>
  <c r="T143"/>
  <c r="T142"/>
  <c r="R143"/>
  <c r="R142"/>
  <c r="P143"/>
  <c r="P142"/>
  <c r="BI141"/>
  <c r="BH141"/>
  <c r="BG141"/>
  <c r="BF141"/>
  <c r="T141"/>
  <c r="R141"/>
  <c r="P141"/>
  <c r="BI140"/>
  <c r="BH140"/>
  <c r="BG140"/>
  <c r="BF140"/>
  <c r="T140"/>
  <c r="R140"/>
  <c r="P140"/>
  <c r="BI138"/>
  <c r="BH138"/>
  <c r="BG138"/>
  <c r="BF138"/>
  <c r="T138"/>
  <c r="R138"/>
  <c r="P138"/>
  <c r="BI137"/>
  <c r="BH137"/>
  <c r="BG137"/>
  <c r="BF137"/>
  <c r="T137"/>
  <c r="R137"/>
  <c r="P137"/>
  <c r="BI136"/>
  <c r="BH136"/>
  <c r="BG136"/>
  <c r="BF136"/>
  <c r="T136"/>
  <c r="R136"/>
  <c r="P136"/>
  <c r="BI135"/>
  <c r="BH135"/>
  <c r="BG135"/>
  <c r="BF135"/>
  <c r="T135"/>
  <c r="R135"/>
  <c r="P135"/>
  <c r="BI134"/>
  <c r="BH134"/>
  <c r="BG134"/>
  <c r="BF134"/>
  <c r="T134"/>
  <c r="R134"/>
  <c r="P134"/>
  <c r="BI133"/>
  <c r="BH133"/>
  <c r="BG133"/>
  <c r="BF133"/>
  <c r="T133"/>
  <c r="R133"/>
  <c r="P133"/>
  <c r="BI131"/>
  <c r="BH131"/>
  <c r="BG131"/>
  <c r="BF131"/>
  <c r="T131"/>
  <c r="T130"/>
  <c r="R131"/>
  <c r="R130"/>
  <c r="P131"/>
  <c r="P130"/>
  <c r="BI129"/>
  <c r="BH129"/>
  <c r="BG129"/>
  <c r="BF129"/>
  <c r="T129"/>
  <c r="R129"/>
  <c r="P129"/>
  <c r="BI128"/>
  <c r="BH128"/>
  <c r="BG128"/>
  <c r="BF128"/>
  <c r="T128"/>
  <c r="R128"/>
  <c r="P128"/>
  <c r="BI127"/>
  <c r="BH127"/>
  <c r="BG127"/>
  <c r="BF127"/>
  <c r="T127"/>
  <c r="R127"/>
  <c r="P127"/>
  <c r="BI126"/>
  <c r="BH126"/>
  <c r="BG126"/>
  <c r="BF126"/>
  <c r="T126"/>
  <c r="R126"/>
  <c r="P126"/>
  <c r="BI125"/>
  <c r="BH125"/>
  <c r="BG125"/>
  <c r="BF125"/>
  <c r="T125"/>
  <c r="R125"/>
  <c r="P125"/>
  <c r="J119"/>
  <c r="J118"/>
  <c r="F118"/>
  <c r="F116"/>
  <c r="E114"/>
  <c r="J92"/>
  <c r="J91"/>
  <c r="F91"/>
  <c r="F89"/>
  <c r="E87"/>
  <c r="J18"/>
  <c r="E18"/>
  <c r="F119"/>
  <c r="J17"/>
  <c r="J12"/>
  <c r="J116"/>
  <c r="E7"/>
  <c r="E112"/>
  <c i="8" r="J37"/>
  <c r="J36"/>
  <c i="1" r="AY101"/>
  <c i="8" r="J35"/>
  <c i="1" r="AX101"/>
  <c i="8" r="BI126"/>
  <c r="BH126"/>
  <c r="BG126"/>
  <c r="BF126"/>
  <c r="T126"/>
  <c r="R126"/>
  <c r="P126"/>
  <c r="BI125"/>
  <c r="BH125"/>
  <c r="BG125"/>
  <c r="BF125"/>
  <c r="T125"/>
  <c r="R125"/>
  <c r="P125"/>
  <c r="BI124"/>
  <c r="BH124"/>
  <c r="BG124"/>
  <c r="BF124"/>
  <c r="T124"/>
  <c r="R124"/>
  <c r="P124"/>
  <c r="BI123"/>
  <c r="BH123"/>
  <c r="BG123"/>
  <c r="BF123"/>
  <c r="T123"/>
  <c r="R123"/>
  <c r="P123"/>
  <c r="BI122"/>
  <c r="BH122"/>
  <c r="BG122"/>
  <c r="BF122"/>
  <c r="T122"/>
  <c r="R122"/>
  <c r="P122"/>
  <c r="BI121"/>
  <c r="BH121"/>
  <c r="BG121"/>
  <c r="BF121"/>
  <c r="T121"/>
  <c r="R121"/>
  <c r="P121"/>
  <c r="J115"/>
  <c r="J114"/>
  <c r="F114"/>
  <c r="F112"/>
  <c r="E110"/>
  <c r="J92"/>
  <c r="J91"/>
  <c r="F91"/>
  <c r="F89"/>
  <c r="E87"/>
  <c r="J18"/>
  <c r="E18"/>
  <c r="F115"/>
  <c r="J17"/>
  <c r="J12"/>
  <c r="J112"/>
  <c r="E7"/>
  <c r="E108"/>
  <c i="7" r="J156"/>
  <c r="J37"/>
  <c r="J36"/>
  <c i="1" r="AY100"/>
  <c i="7" r="J35"/>
  <c i="1" r="AX100"/>
  <c i="7" r="BI179"/>
  <c r="BH179"/>
  <c r="BG179"/>
  <c r="BF179"/>
  <c r="T179"/>
  <c r="R179"/>
  <c r="P179"/>
  <c r="BI177"/>
  <c r="BH177"/>
  <c r="BG177"/>
  <c r="BF177"/>
  <c r="T177"/>
  <c r="R177"/>
  <c r="P177"/>
  <c r="BI174"/>
  <c r="BH174"/>
  <c r="BG174"/>
  <c r="BF174"/>
  <c r="T174"/>
  <c r="R174"/>
  <c r="P174"/>
  <c r="BI172"/>
  <c r="BH172"/>
  <c r="BG172"/>
  <c r="BF172"/>
  <c r="T172"/>
  <c r="R172"/>
  <c r="P172"/>
  <c r="BI170"/>
  <c r="BH170"/>
  <c r="BG170"/>
  <c r="BF170"/>
  <c r="T170"/>
  <c r="R170"/>
  <c r="P170"/>
  <c r="BI168"/>
  <c r="BH168"/>
  <c r="BG168"/>
  <c r="BF168"/>
  <c r="T168"/>
  <c r="R168"/>
  <c r="P168"/>
  <c r="BI166"/>
  <c r="BH166"/>
  <c r="BG166"/>
  <c r="BF166"/>
  <c r="T166"/>
  <c r="R166"/>
  <c r="P166"/>
  <c r="BI164"/>
  <c r="BH164"/>
  <c r="BG164"/>
  <c r="BF164"/>
  <c r="T164"/>
  <c r="R164"/>
  <c r="P164"/>
  <c r="BI163"/>
  <c r="BH163"/>
  <c r="BG163"/>
  <c r="BF163"/>
  <c r="T163"/>
  <c r="R163"/>
  <c r="P163"/>
  <c r="BI161"/>
  <c r="BH161"/>
  <c r="BG161"/>
  <c r="BF161"/>
  <c r="T161"/>
  <c r="R161"/>
  <c r="P161"/>
  <c r="BI158"/>
  <c r="BH158"/>
  <c r="BG158"/>
  <c r="BF158"/>
  <c r="T158"/>
  <c r="T157"/>
  <c r="R158"/>
  <c r="R157"/>
  <c r="P158"/>
  <c r="P157"/>
  <c r="J100"/>
  <c r="BI154"/>
  <c r="BH154"/>
  <c r="BG154"/>
  <c r="BF154"/>
  <c r="T154"/>
  <c r="R154"/>
  <c r="P154"/>
  <c r="BI153"/>
  <c r="BH153"/>
  <c r="BG153"/>
  <c r="BF153"/>
  <c r="T153"/>
  <c r="R153"/>
  <c r="P153"/>
  <c r="BI151"/>
  <c r="BH151"/>
  <c r="BG151"/>
  <c r="BF151"/>
  <c r="T151"/>
  <c r="R151"/>
  <c r="P151"/>
  <c r="BI149"/>
  <c r="BH149"/>
  <c r="BG149"/>
  <c r="BF149"/>
  <c r="T149"/>
  <c r="R149"/>
  <c r="P149"/>
  <c r="BI147"/>
  <c r="BH147"/>
  <c r="BG147"/>
  <c r="BF147"/>
  <c r="T147"/>
  <c r="R147"/>
  <c r="P147"/>
  <c r="BI144"/>
  <c r="BH144"/>
  <c r="BG144"/>
  <c r="BF144"/>
  <c r="T144"/>
  <c r="R144"/>
  <c r="P144"/>
  <c r="BI141"/>
  <c r="BH141"/>
  <c r="BG141"/>
  <c r="BF141"/>
  <c r="T141"/>
  <c r="R141"/>
  <c r="P141"/>
  <c r="BI139"/>
  <c r="BH139"/>
  <c r="BG139"/>
  <c r="BF139"/>
  <c r="T139"/>
  <c r="R139"/>
  <c r="P139"/>
  <c r="BI136"/>
  <c r="BH136"/>
  <c r="BG136"/>
  <c r="BF136"/>
  <c r="T136"/>
  <c r="R136"/>
  <c r="P136"/>
  <c r="BI134"/>
  <c r="BH134"/>
  <c r="BG134"/>
  <c r="BF134"/>
  <c r="T134"/>
  <c r="R134"/>
  <c r="P134"/>
  <c r="BI132"/>
  <c r="BH132"/>
  <c r="BG132"/>
  <c r="BF132"/>
  <c r="T132"/>
  <c r="R132"/>
  <c r="P132"/>
  <c r="BI129"/>
  <c r="BH129"/>
  <c r="BG129"/>
  <c r="BF129"/>
  <c r="T129"/>
  <c r="R129"/>
  <c r="P129"/>
  <c r="BI127"/>
  <c r="BH127"/>
  <c r="BG127"/>
  <c r="BF127"/>
  <c r="T127"/>
  <c r="R127"/>
  <c r="P127"/>
  <c r="J121"/>
  <c r="J120"/>
  <c r="F120"/>
  <c r="F118"/>
  <c r="E116"/>
  <c r="J92"/>
  <c r="J91"/>
  <c r="F91"/>
  <c r="F89"/>
  <c r="E87"/>
  <c r="J18"/>
  <c r="E18"/>
  <c r="F92"/>
  <c r="J17"/>
  <c r="J12"/>
  <c r="J118"/>
  <c r="E7"/>
  <c r="E85"/>
  <c i="6" r="J37"/>
  <c r="J36"/>
  <c i="1" r="AY99"/>
  <c i="6" r="J35"/>
  <c i="1" r="AX99"/>
  <c i="6" r="BI186"/>
  <c r="BH186"/>
  <c r="BG186"/>
  <c r="BF186"/>
  <c r="T186"/>
  <c r="R186"/>
  <c r="P186"/>
  <c r="BI184"/>
  <c r="BH184"/>
  <c r="BG184"/>
  <c r="BF184"/>
  <c r="T184"/>
  <c r="R184"/>
  <c r="P184"/>
  <c r="BI182"/>
  <c r="BH182"/>
  <c r="BG182"/>
  <c r="BF182"/>
  <c r="T182"/>
  <c r="R182"/>
  <c r="P182"/>
  <c r="BI180"/>
  <c r="BH180"/>
  <c r="BG180"/>
  <c r="BF180"/>
  <c r="T180"/>
  <c r="R180"/>
  <c r="P180"/>
  <c r="BI178"/>
  <c r="BH178"/>
  <c r="BG178"/>
  <c r="BF178"/>
  <c r="T178"/>
  <c r="R178"/>
  <c r="P178"/>
  <c r="BI176"/>
  <c r="BH176"/>
  <c r="BG176"/>
  <c r="BF176"/>
  <c r="T176"/>
  <c r="R176"/>
  <c r="P176"/>
  <c r="BI175"/>
  <c r="BH175"/>
  <c r="BG175"/>
  <c r="BF175"/>
  <c r="T175"/>
  <c r="R175"/>
  <c r="P175"/>
  <c r="BI173"/>
  <c r="BH173"/>
  <c r="BG173"/>
  <c r="BF173"/>
  <c r="T173"/>
  <c r="R173"/>
  <c r="P173"/>
  <c r="BI171"/>
  <c r="BH171"/>
  <c r="BG171"/>
  <c r="BF171"/>
  <c r="T171"/>
  <c r="R171"/>
  <c r="P171"/>
  <c r="BI168"/>
  <c r="BH168"/>
  <c r="BG168"/>
  <c r="BF168"/>
  <c r="T168"/>
  <c r="T167"/>
  <c r="R168"/>
  <c r="R167"/>
  <c r="P168"/>
  <c r="P167"/>
  <c r="BI165"/>
  <c r="BH165"/>
  <c r="BG165"/>
  <c r="BF165"/>
  <c r="T165"/>
  <c r="R165"/>
  <c r="P165"/>
  <c r="BI164"/>
  <c r="BH164"/>
  <c r="BG164"/>
  <c r="BF164"/>
  <c r="T164"/>
  <c r="R164"/>
  <c r="P164"/>
  <c r="BI162"/>
  <c r="BH162"/>
  <c r="BG162"/>
  <c r="BF162"/>
  <c r="T162"/>
  <c r="R162"/>
  <c r="P162"/>
  <c r="BI160"/>
  <c r="BH160"/>
  <c r="BG160"/>
  <c r="BF160"/>
  <c r="T160"/>
  <c r="R160"/>
  <c r="P160"/>
  <c r="BI158"/>
  <c r="BH158"/>
  <c r="BG158"/>
  <c r="BF158"/>
  <c r="T158"/>
  <c r="R158"/>
  <c r="P158"/>
  <c r="BI156"/>
  <c r="BH156"/>
  <c r="BG156"/>
  <c r="BF156"/>
  <c r="T156"/>
  <c r="R156"/>
  <c r="P156"/>
  <c r="BI153"/>
  <c r="BH153"/>
  <c r="BG153"/>
  <c r="BF153"/>
  <c r="T153"/>
  <c r="R153"/>
  <c r="P153"/>
  <c r="BI150"/>
  <c r="BH150"/>
  <c r="BG150"/>
  <c r="BF150"/>
  <c r="T150"/>
  <c r="R150"/>
  <c r="P150"/>
  <c r="BI149"/>
  <c r="BH149"/>
  <c r="BG149"/>
  <c r="BF149"/>
  <c r="T149"/>
  <c r="R149"/>
  <c r="P149"/>
  <c r="BI147"/>
  <c r="BH147"/>
  <c r="BG147"/>
  <c r="BF147"/>
  <c r="T147"/>
  <c r="R147"/>
  <c r="P147"/>
  <c r="BI144"/>
  <c r="BH144"/>
  <c r="BG144"/>
  <c r="BF144"/>
  <c r="T144"/>
  <c r="R144"/>
  <c r="P144"/>
  <c r="BI141"/>
  <c r="BH141"/>
  <c r="BG141"/>
  <c r="BF141"/>
  <c r="T141"/>
  <c r="R141"/>
  <c r="P141"/>
  <c r="BI139"/>
  <c r="BH139"/>
  <c r="BG139"/>
  <c r="BF139"/>
  <c r="T139"/>
  <c r="R139"/>
  <c r="P139"/>
  <c r="BI136"/>
  <c r="BH136"/>
  <c r="BG136"/>
  <c r="BF136"/>
  <c r="T136"/>
  <c r="R136"/>
  <c r="P136"/>
  <c r="BI134"/>
  <c r="BH134"/>
  <c r="BG134"/>
  <c r="BF134"/>
  <c r="T134"/>
  <c r="R134"/>
  <c r="P134"/>
  <c r="BI132"/>
  <c r="BH132"/>
  <c r="BG132"/>
  <c r="BF132"/>
  <c r="T132"/>
  <c r="R132"/>
  <c r="P132"/>
  <c r="BI129"/>
  <c r="BH129"/>
  <c r="BG129"/>
  <c r="BF129"/>
  <c r="T129"/>
  <c r="R129"/>
  <c r="P129"/>
  <c r="BI127"/>
  <c r="BH127"/>
  <c r="BG127"/>
  <c r="BF127"/>
  <c r="T127"/>
  <c r="R127"/>
  <c r="P127"/>
  <c r="J121"/>
  <c r="J120"/>
  <c r="F120"/>
  <c r="F118"/>
  <c r="E116"/>
  <c r="J92"/>
  <c r="J91"/>
  <c r="F91"/>
  <c r="F89"/>
  <c r="E87"/>
  <c r="J18"/>
  <c r="E18"/>
  <c r="F121"/>
  <c r="J17"/>
  <c r="J12"/>
  <c r="J118"/>
  <c r="E7"/>
  <c r="E114"/>
  <c i="5" r="J37"/>
  <c r="J36"/>
  <c i="1" r="AY98"/>
  <c i="5" r="J35"/>
  <c i="1" r="AX98"/>
  <c i="5" r="BI388"/>
  <c r="BH388"/>
  <c r="BG388"/>
  <c r="BF388"/>
  <c r="T388"/>
  <c r="R388"/>
  <c r="P388"/>
  <c r="BI387"/>
  <c r="BH387"/>
  <c r="BG387"/>
  <c r="BF387"/>
  <c r="T387"/>
  <c r="R387"/>
  <c r="P387"/>
  <c r="BI385"/>
  <c r="BH385"/>
  <c r="BG385"/>
  <c r="BF385"/>
  <c r="T385"/>
  <c r="R385"/>
  <c r="P385"/>
  <c r="BI384"/>
  <c r="BH384"/>
  <c r="BG384"/>
  <c r="BF384"/>
  <c r="T384"/>
  <c r="R384"/>
  <c r="P384"/>
  <c r="BI382"/>
  <c r="BH382"/>
  <c r="BG382"/>
  <c r="BF382"/>
  <c r="T382"/>
  <c r="T381"/>
  <c r="R382"/>
  <c r="R381"/>
  <c r="P382"/>
  <c r="P381"/>
  <c r="BI380"/>
  <c r="BH380"/>
  <c r="BG380"/>
  <c r="BF380"/>
  <c r="T380"/>
  <c r="R380"/>
  <c r="P380"/>
  <c r="BI379"/>
  <c r="BH379"/>
  <c r="BG379"/>
  <c r="BF379"/>
  <c r="T379"/>
  <c r="R379"/>
  <c r="P379"/>
  <c r="BI378"/>
  <c r="BH378"/>
  <c r="BG378"/>
  <c r="BF378"/>
  <c r="T378"/>
  <c r="R378"/>
  <c r="P378"/>
  <c r="BI377"/>
  <c r="BH377"/>
  <c r="BG377"/>
  <c r="BF377"/>
  <c r="T377"/>
  <c r="R377"/>
  <c r="P377"/>
  <c r="BI376"/>
  <c r="BH376"/>
  <c r="BG376"/>
  <c r="BF376"/>
  <c r="T376"/>
  <c r="R376"/>
  <c r="P376"/>
  <c r="BI374"/>
  <c r="BH374"/>
  <c r="BG374"/>
  <c r="BF374"/>
  <c r="T374"/>
  <c r="R374"/>
  <c r="P374"/>
  <c r="BI372"/>
  <c r="BH372"/>
  <c r="BG372"/>
  <c r="BF372"/>
  <c r="T372"/>
  <c r="R372"/>
  <c r="P372"/>
  <c r="BI369"/>
  <c r="BH369"/>
  <c r="BG369"/>
  <c r="BF369"/>
  <c r="T369"/>
  <c r="R369"/>
  <c r="P369"/>
  <c r="BI366"/>
  <c r="BH366"/>
  <c r="BG366"/>
  <c r="BF366"/>
  <c r="T366"/>
  <c r="R366"/>
  <c r="P366"/>
  <c r="BI365"/>
  <c r="BH365"/>
  <c r="BG365"/>
  <c r="BF365"/>
  <c r="T365"/>
  <c r="R365"/>
  <c r="P365"/>
  <c r="BI362"/>
  <c r="BH362"/>
  <c r="BG362"/>
  <c r="BF362"/>
  <c r="T362"/>
  <c r="R362"/>
  <c r="P362"/>
  <c r="BI359"/>
  <c r="BH359"/>
  <c r="BG359"/>
  <c r="BF359"/>
  <c r="T359"/>
  <c r="R359"/>
  <c r="P359"/>
  <c r="BI357"/>
  <c r="BH357"/>
  <c r="BG357"/>
  <c r="BF357"/>
  <c r="T357"/>
  <c r="R357"/>
  <c r="P357"/>
  <c r="BI356"/>
  <c r="BH356"/>
  <c r="BG356"/>
  <c r="BF356"/>
  <c r="T356"/>
  <c r="R356"/>
  <c r="P356"/>
  <c r="BI354"/>
  <c r="BH354"/>
  <c r="BG354"/>
  <c r="BF354"/>
  <c r="T354"/>
  <c r="R354"/>
  <c r="P354"/>
  <c r="BI352"/>
  <c r="BH352"/>
  <c r="BG352"/>
  <c r="BF352"/>
  <c r="T352"/>
  <c r="R352"/>
  <c r="P352"/>
  <c r="BI351"/>
  <c r="BH351"/>
  <c r="BG351"/>
  <c r="BF351"/>
  <c r="T351"/>
  <c r="R351"/>
  <c r="P351"/>
  <c r="BI349"/>
  <c r="BH349"/>
  <c r="BG349"/>
  <c r="BF349"/>
  <c r="T349"/>
  <c r="R349"/>
  <c r="P349"/>
  <c r="BI348"/>
  <c r="BH348"/>
  <c r="BG348"/>
  <c r="BF348"/>
  <c r="T348"/>
  <c r="R348"/>
  <c r="P348"/>
  <c r="BI346"/>
  <c r="BH346"/>
  <c r="BG346"/>
  <c r="BF346"/>
  <c r="T346"/>
  <c r="R346"/>
  <c r="P346"/>
  <c r="BI343"/>
  <c r="BH343"/>
  <c r="BG343"/>
  <c r="BF343"/>
  <c r="T343"/>
  <c r="R343"/>
  <c r="P343"/>
  <c r="BI342"/>
  <c r="BH342"/>
  <c r="BG342"/>
  <c r="BF342"/>
  <c r="T342"/>
  <c r="R342"/>
  <c r="P342"/>
  <c r="BI341"/>
  <c r="BH341"/>
  <c r="BG341"/>
  <c r="BF341"/>
  <c r="T341"/>
  <c r="R341"/>
  <c r="P341"/>
  <c r="BI339"/>
  <c r="BH339"/>
  <c r="BG339"/>
  <c r="BF339"/>
  <c r="T339"/>
  <c r="R339"/>
  <c r="P339"/>
  <c r="BI335"/>
  <c r="BH335"/>
  <c r="BG335"/>
  <c r="BF335"/>
  <c r="T335"/>
  <c r="R335"/>
  <c r="P335"/>
  <c r="BI333"/>
  <c r="BH333"/>
  <c r="BG333"/>
  <c r="BF333"/>
  <c r="T333"/>
  <c r="R333"/>
  <c r="P333"/>
  <c r="BI330"/>
  <c r="BH330"/>
  <c r="BG330"/>
  <c r="BF330"/>
  <c r="T330"/>
  <c r="R330"/>
  <c r="P330"/>
  <c r="BI328"/>
  <c r="BH328"/>
  <c r="BG328"/>
  <c r="BF328"/>
  <c r="T328"/>
  <c r="R328"/>
  <c r="P328"/>
  <c r="BI325"/>
  <c r="BH325"/>
  <c r="BG325"/>
  <c r="BF325"/>
  <c r="T325"/>
  <c r="R325"/>
  <c r="P325"/>
  <c r="BI323"/>
  <c r="BH323"/>
  <c r="BG323"/>
  <c r="BF323"/>
  <c r="T323"/>
  <c r="R323"/>
  <c r="P323"/>
  <c r="BI321"/>
  <c r="BH321"/>
  <c r="BG321"/>
  <c r="BF321"/>
  <c r="T321"/>
  <c r="R321"/>
  <c r="P321"/>
  <c r="BI320"/>
  <c r="BH320"/>
  <c r="BG320"/>
  <c r="BF320"/>
  <c r="T320"/>
  <c r="R320"/>
  <c r="P320"/>
  <c r="BI318"/>
  <c r="BH318"/>
  <c r="BG318"/>
  <c r="BF318"/>
  <c r="T318"/>
  <c r="R318"/>
  <c r="P318"/>
  <c r="BI316"/>
  <c r="BH316"/>
  <c r="BG316"/>
  <c r="BF316"/>
  <c r="T316"/>
  <c r="R316"/>
  <c r="P316"/>
  <c r="BI314"/>
  <c r="BH314"/>
  <c r="BG314"/>
  <c r="BF314"/>
  <c r="T314"/>
  <c r="R314"/>
  <c r="P314"/>
  <c r="BI312"/>
  <c r="BH312"/>
  <c r="BG312"/>
  <c r="BF312"/>
  <c r="T312"/>
  <c r="R312"/>
  <c r="P312"/>
  <c r="BI309"/>
  <c r="BH309"/>
  <c r="BG309"/>
  <c r="BF309"/>
  <c r="T309"/>
  <c r="R309"/>
  <c r="P309"/>
  <c r="BI306"/>
  <c r="BH306"/>
  <c r="BG306"/>
  <c r="BF306"/>
  <c r="T306"/>
  <c r="R306"/>
  <c r="P306"/>
  <c r="BI304"/>
  <c r="BH304"/>
  <c r="BG304"/>
  <c r="BF304"/>
  <c r="T304"/>
  <c r="R304"/>
  <c r="P304"/>
  <c r="BI301"/>
  <c r="BH301"/>
  <c r="BG301"/>
  <c r="BF301"/>
  <c r="T301"/>
  <c r="R301"/>
  <c r="P301"/>
  <c r="BI299"/>
  <c r="BH299"/>
  <c r="BG299"/>
  <c r="BF299"/>
  <c r="T299"/>
  <c r="R299"/>
  <c r="P299"/>
  <c r="BI296"/>
  <c r="BH296"/>
  <c r="BG296"/>
  <c r="BF296"/>
  <c r="T296"/>
  <c r="R296"/>
  <c r="P296"/>
  <c r="BI295"/>
  <c r="BH295"/>
  <c r="BG295"/>
  <c r="BF295"/>
  <c r="T295"/>
  <c r="R295"/>
  <c r="P295"/>
  <c r="BI293"/>
  <c r="BH293"/>
  <c r="BG293"/>
  <c r="BF293"/>
  <c r="T293"/>
  <c r="R293"/>
  <c r="P293"/>
  <c r="BI291"/>
  <c r="BH291"/>
  <c r="BG291"/>
  <c r="BF291"/>
  <c r="T291"/>
  <c r="R291"/>
  <c r="P291"/>
  <c r="BI289"/>
  <c r="BH289"/>
  <c r="BG289"/>
  <c r="BF289"/>
  <c r="T289"/>
  <c r="R289"/>
  <c r="P289"/>
  <c r="BI288"/>
  <c r="BH288"/>
  <c r="BG288"/>
  <c r="BF288"/>
  <c r="T288"/>
  <c r="R288"/>
  <c r="P288"/>
  <c r="BI286"/>
  <c r="BH286"/>
  <c r="BG286"/>
  <c r="BF286"/>
  <c r="T286"/>
  <c r="R286"/>
  <c r="P286"/>
  <c r="BI284"/>
  <c r="BH284"/>
  <c r="BG284"/>
  <c r="BF284"/>
  <c r="T284"/>
  <c r="R284"/>
  <c r="P284"/>
  <c r="BI283"/>
  <c r="BH283"/>
  <c r="BG283"/>
  <c r="BF283"/>
  <c r="T283"/>
  <c r="R283"/>
  <c r="P283"/>
  <c r="BI281"/>
  <c r="BH281"/>
  <c r="BG281"/>
  <c r="BF281"/>
  <c r="T281"/>
  <c r="R281"/>
  <c r="P281"/>
  <c r="BI279"/>
  <c r="BH279"/>
  <c r="BG279"/>
  <c r="BF279"/>
  <c r="T279"/>
  <c r="R279"/>
  <c r="P279"/>
  <c r="BI278"/>
  <c r="BH278"/>
  <c r="BG278"/>
  <c r="BF278"/>
  <c r="T278"/>
  <c r="R278"/>
  <c r="P278"/>
  <c r="BI276"/>
  <c r="BH276"/>
  <c r="BG276"/>
  <c r="BF276"/>
  <c r="T276"/>
  <c r="R276"/>
  <c r="P276"/>
  <c r="BI274"/>
  <c r="BH274"/>
  <c r="BG274"/>
  <c r="BF274"/>
  <c r="T274"/>
  <c r="R274"/>
  <c r="P274"/>
  <c r="BI273"/>
  <c r="BH273"/>
  <c r="BG273"/>
  <c r="BF273"/>
  <c r="T273"/>
  <c r="R273"/>
  <c r="P273"/>
  <c r="BI270"/>
  <c r="BH270"/>
  <c r="BG270"/>
  <c r="BF270"/>
  <c r="T270"/>
  <c r="R270"/>
  <c r="P270"/>
  <c r="BI268"/>
  <c r="BH268"/>
  <c r="BG268"/>
  <c r="BF268"/>
  <c r="T268"/>
  <c r="R268"/>
  <c r="P268"/>
  <c r="BI267"/>
  <c r="BH267"/>
  <c r="BG267"/>
  <c r="BF267"/>
  <c r="T267"/>
  <c r="R267"/>
  <c r="P267"/>
  <c r="BI266"/>
  <c r="BH266"/>
  <c r="BG266"/>
  <c r="BF266"/>
  <c r="T266"/>
  <c r="R266"/>
  <c r="P266"/>
  <c r="BI265"/>
  <c r="BH265"/>
  <c r="BG265"/>
  <c r="BF265"/>
  <c r="T265"/>
  <c r="R265"/>
  <c r="P265"/>
  <c r="BI264"/>
  <c r="BH264"/>
  <c r="BG264"/>
  <c r="BF264"/>
  <c r="T264"/>
  <c r="R264"/>
  <c r="P264"/>
  <c r="BI263"/>
  <c r="BH263"/>
  <c r="BG263"/>
  <c r="BF263"/>
  <c r="T263"/>
  <c r="R263"/>
  <c r="P263"/>
  <c r="BI262"/>
  <c r="BH262"/>
  <c r="BG262"/>
  <c r="BF262"/>
  <c r="T262"/>
  <c r="R262"/>
  <c r="P262"/>
  <c r="BI260"/>
  <c r="BH260"/>
  <c r="BG260"/>
  <c r="BF260"/>
  <c r="T260"/>
  <c r="R260"/>
  <c r="P260"/>
  <c r="BI258"/>
  <c r="BH258"/>
  <c r="BG258"/>
  <c r="BF258"/>
  <c r="T258"/>
  <c r="R258"/>
  <c r="P258"/>
  <c r="BI257"/>
  <c r="BH257"/>
  <c r="BG257"/>
  <c r="BF257"/>
  <c r="T257"/>
  <c r="R257"/>
  <c r="P257"/>
  <c r="BI256"/>
  <c r="BH256"/>
  <c r="BG256"/>
  <c r="BF256"/>
  <c r="T256"/>
  <c r="R256"/>
  <c r="P256"/>
  <c r="BI255"/>
  <c r="BH255"/>
  <c r="BG255"/>
  <c r="BF255"/>
  <c r="T255"/>
  <c r="R255"/>
  <c r="P255"/>
  <c r="BI253"/>
  <c r="BH253"/>
  <c r="BG253"/>
  <c r="BF253"/>
  <c r="T253"/>
  <c r="R253"/>
  <c r="P253"/>
  <c r="BI252"/>
  <c r="BH252"/>
  <c r="BG252"/>
  <c r="BF252"/>
  <c r="T252"/>
  <c r="R252"/>
  <c r="P252"/>
  <c r="BI250"/>
  <c r="BH250"/>
  <c r="BG250"/>
  <c r="BF250"/>
  <c r="T250"/>
  <c r="R250"/>
  <c r="P250"/>
  <c r="BI249"/>
  <c r="BH249"/>
  <c r="BG249"/>
  <c r="BF249"/>
  <c r="T249"/>
  <c r="R249"/>
  <c r="P249"/>
  <c r="BI248"/>
  <c r="BH248"/>
  <c r="BG248"/>
  <c r="BF248"/>
  <c r="T248"/>
  <c r="R248"/>
  <c r="P248"/>
  <c r="BI247"/>
  <c r="BH247"/>
  <c r="BG247"/>
  <c r="BF247"/>
  <c r="T247"/>
  <c r="R247"/>
  <c r="P247"/>
  <c r="BI246"/>
  <c r="BH246"/>
  <c r="BG246"/>
  <c r="BF246"/>
  <c r="T246"/>
  <c r="R246"/>
  <c r="P246"/>
  <c r="BI245"/>
  <c r="BH245"/>
  <c r="BG245"/>
  <c r="BF245"/>
  <c r="T245"/>
  <c r="R245"/>
  <c r="P245"/>
  <c r="BI244"/>
  <c r="BH244"/>
  <c r="BG244"/>
  <c r="BF244"/>
  <c r="T244"/>
  <c r="R244"/>
  <c r="P244"/>
  <c r="BI242"/>
  <c r="BH242"/>
  <c r="BG242"/>
  <c r="BF242"/>
  <c r="T242"/>
  <c r="R242"/>
  <c r="P242"/>
  <c r="BI240"/>
  <c r="BH240"/>
  <c r="BG240"/>
  <c r="BF240"/>
  <c r="T240"/>
  <c r="R240"/>
  <c r="P240"/>
  <c r="BI239"/>
  <c r="BH239"/>
  <c r="BG239"/>
  <c r="BF239"/>
  <c r="T239"/>
  <c r="R239"/>
  <c r="P239"/>
  <c r="BI237"/>
  <c r="BH237"/>
  <c r="BG237"/>
  <c r="BF237"/>
  <c r="T237"/>
  <c r="R237"/>
  <c r="P237"/>
  <c r="BI235"/>
  <c r="BH235"/>
  <c r="BG235"/>
  <c r="BF235"/>
  <c r="T235"/>
  <c r="R235"/>
  <c r="P235"/>
  <c r="BI233"/>
  <c r="BH233"/>
  <c r="BG233"/>
  <c r="BF233"/>
  <c r="T233"/>
  <c r="R233"/>
  <c r="P233"/>
  <c r="BI231"/>
  <c r="BH231"/>
  <c r="BG231"/>
  <c r="BF231"/>
  <c r="T231"/>
  <c r="R231"/>
  <c r="P231"/>
  <c r="BI228"/>
  <c r="BH228"/>
  <c r="BG228"/>
  <c r="BF228"/>
  <c r="T228"/>
  <c r="R228"/>
  <c r="P228"/>
  <c r="BI226"/>
  <c r="BH226"/>
  <c r="BG226"/>
  <c r="BF226"/>
  <c r="T226"/>
  <c r="R226"/>
  <c r="P226"/>
  <c r="BI224"/>
  <c r="BH224"/>
  <c r="BG224"/>
  <c r="BF224"/>
  <c r="T224"/>
  <c r="R224"/>
  <c r="P224"/>
  <c r="BI222"/>
  <c r="BH222"/>
  <c r="BG222"/>
  <c r="BF222"/>
  <c r="T222"/>
  <c r="R222"/>
  <c r="P222"/>
  <c r="BI221"/>
  <c r="BH221"/>
  <c r="BG221"/>
  <c r="BF221"/>
  <c r="T221"/>
  <c r="R221"/>
  <c r="P221"/>
  <c r="BI219"/>
  <c r="BH219"/>
  <c r="BG219"/>
  <c r="BF219"/>
  <c r="T219"/>
  <c r="R219"/>
  <c r="P219"/>
  <c r="BI218"/>
  <c r="BH218"/>
  <c r="BG218"/>
  <c r="BF218"/>
  <c r="T218"/>
  <c r="R218"/>
  <c r="P218"/>
  <c r="BI215"/>
  <c r="BH215"/>
  <c r="BG215"/>
  <c r="BF215"/>
  <c r="T215"/>
  <c r="R215"/>
  <c r="P215"/>
  <c r="BI212"/>
  <c r="BH212"/>
  <c r="BG212"/>
  <c r="BF212"/>
  <c r="T212"/>
  <c r="R212"/>
  <c r="P212"/>
  <c r="BI211"/>
  <c r="BH211"/>
  <c r="BG211"/>
  <c r="BF211"/>
  <c r="T211"/>
  <c r="R211"/>
  <c r="P211"/>
  <c r="BI209"/>
  <c r="BH209"/>
  <c r="BG209"/>
  <c r="BF209"/>
  <c r="T209"/>
  <c r="R209"/>
  <c r="P209"/>
  <c r="BI208"/>
  <c r="BH208"/>
  <c r="BG208"/>
  <c r="BF208"/>
  <c r="T208"/>
  <c r="R208"/>
  <c r="P208"/>
  <c r="BI207"/>
  <c r="BH207"/>
  <c r="BG207"/>
  <c r="BF207"/>
  <c r="T207"/>
  <c r="R207"/>
  <c r="P207"/>
  <c r="BI205"/>
  <c r="BH205"/>
  <c r="BG205"/>
  <c r="BF205"/>
  <c r="T205"/>
  <c r="R205"/>
  <c r="P205"/>
  <c r="BI204"/>
  <c r="BH204"/>
  <c r="BG204"/>
  <c r="BF204"/>
  <c r="T204"/>
  <c r="R204"/>
  <c r="P204"/>
  <c r="BI203"/>
  <c r="BH203"/>
  <c r="BG203"/>
  <c r="BF203"/>
  <c r="T203"/>
  <c r="R203"/>
  <c r="P203"/>
  <c r="BI201"/>
  <c r="BH201"/>
  <c r="BG201"/>
  <c r="BF201"/>
  <c r="T201"/>
  <c r="R201"/>
  <c r="P201"/>
  <c r="BI199"/>
  <c r="BH199"/>
  <c r="BG199"/>
  <c r="BF199"/>
  <c r="T199"/>
  <c r="R199"/>
  <c r="P199"/>
  <c r="BI197"/>
  <c r="BH197"/>
  <c r="BG197"/>
  <c r="BF197"/>
  <c r="T197"/>
  <c r="R197"/>
  <c r="P197"/>
  <c r="BI193"/>
  <c r="BH193"/>
  <c r="BG193"/>
  <c r="BF193"/>
  <c r="T193"/>
  <c r="R193"/>
  <c r="P193"/>
  <c r="BI190"/>
  <c r="BH190"/>
  <c r="BG190"/>
  <c r="BF190"/>
  <c r="T190"/>
  <c r="R190"/>
  <c r="P190"/>
  <c r="BI188"/>
  <c r="BH188"/>
  <c r="BG188"/>
  <c r="BF188"/>
  <c r="T188"/>
  <c r="R188"/>
  <c r="P188"/>
  <c r="BI184"/>
  <c r="BH184"/>
  <c r="BG184"/>
  <c r="BF184"/>
  <c r="T184"/>
  <c r="R184"/>
  <c r="P184"/>
  <c r="BI181"/>
  <c r="BH181"/>
  <c r="BG181"/>
  <c r="BF181"/>
  <c r="T181"/>
  <c r="R181"/>
  <c r="P181"/>
  <c r="BI179"/>
  <c r="BH179"/>
  <c r="BG179"/>
  <c r="BF179"/>
  <c r="T179"/>
  <c r="R179"/>
  <c r="P179"/>
  <c r="BI177"/>
  <c r="BH177"/>
  <c r="BG177"/>
  <c r="BF177"/>
  <c r="T177"/>
  <c r="R177"/>
  <c r="P177"/>
  <c r="BI175"/>
  <c r="BH175"/>
  <c r="BG175"/>
  <c r="BF175"/>
  <c r="T175"/>
  <c r="R175"/>
  <c r="P175"/>
  <c r="BI174"/>
  <c r="BH174"/>
  <c r="BG174"/>
  <c r="BF174"/>
  <c r="T174"/>
  <c r="R174"/>
  <c r="P174"/>
  <c r="BI172"/>
  <c r="BH172"/>
  <c r="BG172"/>
  <c r="BF172"/>
  <c r="T172"/>
  <c r="R172"/>
  <c r="P172"/>
  <c r="BI170"/>
  <c r="BH170"/>
  <c r="BG170"/>
  <c r="BF170"/>
  <c r="T170"/>
  <c r="R170"/>
  <c r="P170"/>
  <c r="BI167"/>
  <c r="BH167"/>
  <c r="BG167"/>
  <c r="BF167"/>
  <c r="T167"/>
  <c r="R167"/>
  <c r="P167"/>
  <c r="BI163"/>
  <c r="BH163"/>
  <c r="BG163"/>
  <c r="BF163"/>
  <c r="T163"/>
  <c r="R163"/>
  <c r="P163"/>
  <c r="BI161"/>
  <c r="BH161"/>
  <c r="BG161"/>
  <c r="BF161"/>
  <c r="T161"/>
  <c r="R161"/>
  <c r="P161"/>
  <c r="BI160"/>
  <c r="BH160"/>
  <c r="BG160"/>
  <c r="BF160"/>
  <c r="T160"/>
  <c r="R160"/>
  <c r="P160"/>
  <c r="BI159"/>
  <c r="BH159"/>
  <c r="BG159"/>
  <c r="BF159"/>
  <c r="T159"/>
  <c r="R159"/>
  <c r="P159"/>
  <c r="BI158"/>
  <c r="BH158"/>
  <c r="BG158"/>
  <c r="BF158"/>
  <c r="T158"/>
  <c r="R158"/>
  <c r="P158"/>
  <c r="BI157"/>
  <c r="BH157"/>
  <c r="BG157"/>
  <c r="BF157"/>
  <c r="T157"/>
  <c r="R157"/>
  <c r="P157"/>
  <c r="BI156"/>
  <c r="BH156"/>
  <c r="BG156"/>
  <c r="BF156"/>
  <c r="T156"/>
  <c r="R156"/>
  <c r="P156"/>
  <c r="BI155"/>
  <c r="BH155"/>
  <c r="BG155"/>
  <c r="BF155"/>
  <c r="T155"/>
  <c r="R155"/>
  <c r="P155"/>
  <c r="BI152"/>
  <c r="BH152"/>
  <c r="BG152"/>
  <c r="BF152"/>
  <c r="T152"/>
  <c r="R152"/>
  <c r="P152"/>
  <c r="BI150"/>
  <c r="BH150"/>
  <c r="BG150"/>
  <c r="BF150"/>
  <c r="T150"/>
  <c r="R150"/>
  <c r="P150"/>
  <c r="BI146"/>
  <c r="BH146"/>
  <c r="BG146"/>
  <c r="BF146"/>
  <c r="T146"/>
  <c r="R146"/>
  <c r="P146"/>
  <c r="BI144"/>
  <c r="BH144"/>
  <c r="BG144"/>
  <c r="BF144"/>
  <c r="T144"/>
  <c r="R144"/>
  <c r="P144"/>
  <c r="BI142"/>
  <c r="BH142"/>
  <c r="BG142"/>
  <c r="BF142"/>
  <c r="T142"/>
  <c r="R142"/>
  <c r="P142"/>
  <c r="BI140"/>
  <c r="BH140"/>
  <c r="BG140"/>
  <c r="BF140"/>
  <c r="T140"/>
  <c r="R140"/>
  <c r="P140"/>
  <c r="BI139"/>
  <c r="BH139"/>
  <c r="BG139"/>
  <c r="BF139"/>
  <c r="T139"/>
  <c r="R139"/>
  <c r="P139"/>
  <c r="BI137"/>
  <c r="BH137"/>
  <c r="BG137"/>
  <c r="BF137"/>
  <c r="T137"/>
  <c r="R137"/>
  <c r="P137"/>
  <c r="BI135"/>
  <c r="BH135"/>
  <c r="BG135"/>
  <c r="BF135"/>
  <c r="T135"/>
  <c r="R135"/>
  <c r="P135"/>
  <c r="BI134"/>
  <c r="BH134"/>
  <c r="BG134"/>
  <c r="BF134"/>
  <c r="T134"/>
  <c r="R134"/>
  <c r="P134"/>
  <c r="BI133"/>
  <c r="BH133"/>
  <c r="BG133"/>
  <c r="BF133"/>
  <c r="T133"/>
  <c r="R133"/>
  <c r="P133"/>
  <c r="J127"/>
  <c r="J126"/>
  <c r="F126"/>
  <c r="F124"/>
  <c r="E122"/>
  <c r="J92"/>
  <c r="J91"/>
  <c r="F91"/>
  <c r="F89"/>
  <c r="E87"/>
  <c r="J18"/>
  <c r="E18"/>
  <c r="F127"/>
  <c r="J17"/>
  <c r="J12"/>
  <c r="J89"/>
  <c r="E7"/>
  <c r="E120"/>
  <c i="4" r="J37"/>
  <c r="J36"/>
  <c i="1" r="AY97"/>
  <c i="4" r="J35"/>
  <c i="1" r="AX97"/>
  <c i="4" r="BI136"/>
  <c r="BH136"/>
  <c r="BG136"/>
  <c r="BF136"/>
  <c r="T136"/>
  <c r="R136"/>
  <c r="P136"/>
  <c r="BI134"/>
  <c r="BH134"/>
  <c r="BG134"/>
  <c r="BF134"/>
  <c r="T134"/>
  <c r="R134"/>
  <c r="P134"/>
  <c r="BI131"/>
  <c r="BH131"/>
  <c r="BG131"/>
  <c r="BF131"/>
  <c r="T131"/>
  <c r="R131"/>
  <c r="P131"/>
  <c r="BI129"/>
  <c r="BH129"/>
  <c r="BG129"/>
  <c r="BF129"/>
  <c r="T129"/>
  <c r="R129"/>
  <c r="P129"/>
  <c r="BI127"/>
  <c r="BH127"/>
  <c r="BG127"/>
  <c r="BF127"/>
  <c r="T127"/>
  <c r="R127"/>
  <c r="P127"/>
  <c r="BI125"/>
  <c r="BH125"/>
  <c r="BG125"/>
  <c r="BF125"/>
  <c r="T125"/>
  <c r="R125"/>
  <c r="P125"/>
  <c r="BI124"/>
  <c r="BH124"/>
  <c r="BG124"/>
  <c r="BF124"/>
  <c r="T124"/>
  <c r="R124"/>
  <c r="P124"/>
  <c r="BI122"/>
  <c r="BH122"/>
  <c r="BG122"/>
  <c r="BF122"/>
  <c r="T122"/>
  <c r="R122"/>
  <c r="P122"/>
  <c r="J116"/>
  <c r="J115"/>
  <c r="F115"/>
  <c r="F113"/>
  <c r="E111"/>
  <c r="J92"/>
  <c r="J91"/>
  <c r="F91"/>
  <c r="F89"/>
  <c r="E87"/>
  <c r="J18"/>
  <c r="E18"/>
  <c r="F116"/>
  <c r="J17"/>
  <c r="J12"/>
  <c r="J113"/>
  <c r="E7"/>
  <c r="E109"/>
  <c i="3" r="J37"/>
  <c r="J36"/>
  <c i="1" r="AY96"/>
  <c i="3" r="J35"/>
  <c i="1" r="AX96"/>
  <c i="3" r="BI451"/>
  <c r="BH451"/>
  <c r="BG451"/>
  <c r="BF451"/>
  <c r="T451"/>
  <c r="R451"/>
  <c r="P451"/>
  <c r="BI444"/>
  <c r="BH444"/>
  <c r="BG444"/>
  <c r="BF444"/>
  <c r="T444"/>
  <c r="R444"/>
  <c r="P444"/>
  <c r="BI442"/>
  <c r="BH442"/>
  <c r="BG442"/>
  <c r="BF442"/>
  <c r="T442"/>
  <c r="R442"/>
  <c r="P442"/>
  <c r="BI440"/>
  <c r="BH440"/>
  <c r="BG440"/>
  <c r="BF440"/>
  <c r="T440"/>
  <c r="R440"/>
  <c r="P440"/>
  <c r="BI438"/>
  <c r="BH438"/>
  <c r="BG438"/>
  <c r="BF438"/>
  <c r="T438"/>
  <c r="R438"/>
  <c r="P438"/>
  <c r="BI437"/>
  <c r="BH437"/>
  <c r="BG437"/>
  <c r="BF437"/>
  <c r="T437"/>
  <c r="R437"/>
  <c r="P437"/>
  <c r="BI435"/>
  <c r="BH435"/>
  <c r="BG435"/>
  <c r="BF435"/>
  <c r="T435"/>
  <c r="R435"/>
  <c r="P435"/>
  <c r="BI433"/>
  <c r="BH433"/>
  <c r="BG433"/>
  <c r="BF433"/>
  <c r="T433"/>
  <c r="R433"/>
  <c r="P433"/>
  <c r="BI428"/>
  <c r="BH428"/>
  <c r="BG428"/>
  <c r="BF428"/>
  <c r="T428"/>
  <c r="R428"/>
  <c r="P428"/>
  <c r="BI427"/>
  <c r="BH427"/>
  <c r="BG427"/>
  <c r="BF427"/>
  <c r="T427"/>
  <c r="R427"/>
  <c r="P427"/>
  <c r="BI424"/>
  <c r="BH424"/>
  <c r="BG424"/>
  <c r="BF424"/>
  <c r="T424"/>
  <c r="R424"/>
  <c r="P424"/>
  <c r="BI423"/>
  <c r="BH423"/>
  <c r="BG423"/>
  <c r="BF423"/>
  <c r="T423"/>
  <c r="R423"/>
  <c r="P423"/>
  <c r="BI421"/>
  <c r="BH421"/>
  <c r="BG421"/>
  <c r="BF421"/>
  <c r="T421"/>
  <c r="R421"/>
  <c r="P421"/>
  <c r="BI419"/>
  <c r="BH419"/>
  <c r="BG419"/>
  <c r="BF419"/>
  <c r="T419"/>
  <c r="R419"/>
  <c r="P419"/>
  <c r="BI417"/>
  <c r="BH417"/>
  <c r="BG417"/>
  <c r="BF417"/>
  <c r="T417"/>
  <c r="R417"/>
  <c r="P417"/>
  <c r="BI416"/>
  <c r="BH416"/>
  <c r="BG416"/>
  <c r="BF416"/>
  <c r="T416"/>
  <c r="R416"/>
  <c r="P416"/>
  <c r="BI415"/>
  <c r="BH415"/>
  <c r="BG415"/>
  <c r="BF415"/>
  <c r="T415"/>
  <c r="R415"/>
  <c r="P415"/>
  <c r="BI414"/>
  <c r="BH414"/>
  <c r="BG414"/>
  <c r="BF414"/>
  <c r="T414"/>
  <c r="R414"/>
  <c r="P414"/>
  <c r="BI413"/>
  <c r="BH413"/>
  <c r="BG413"/>
  <c r="BF413"/>
  <c r="T413"/>
  <c r="R413"/>
  <c r="P413"/>
  <c r="BI412"/>
  <c r="BH412"/>
  <c r="BG412"/>
  <c r="BF412"/>
  <c r="T412"/>
  <c r="R412"/>
  <c r="P412"/>
  <c r="BI411"/>
  <c r="BH411"/>
  <c r="BG411"/>
  <c r="BF411"/>
  <c r="T411"/>
  <c r="R411"/>
  <c r="P411"/>
  <c r="BI410"/>
  <c r="BH410"/>
  <c r="BG410"/>
  <c r="BF410"/>
  <c r="T410"/>
  <c r="R410"/>
  <c r="P410"/>
  <c r="BI409"/>
  <c r="BH409"/>
  <c r="BG409"/>
  <c r="BF409"/>
  <c r="T409"/>
  <c r="R409"/>
  <c r="P409"/>
  <c r="BI408"/>
  <c r="BH408"/>
  <c r="BG408"/>
  <c r="BF408"/>
  <c r="T408"/>
  <c r="R408"/>
  <c r="P408"/>
  <c r="BI407"/>
  <c r="BH407"/>
  <c r="BG407"/>
  <c r="BF407"/>
  <c r="T407"/>
  <c r="R407"/>
  <c r="P407"/>
  <c r="BI406"/>
  <c r="BH406"/>
  <c r="BG406"/>
  <c r="BF406"/>
  <c r="T406"/>
  <c r="R406"/>
  <c r="P406"/>
  <c r="BI404"/>
  <c r="BH404"/>
  <c r="BG404"/>
  <c r="BF404"/>
  <c r="T404"/>
  <c r="R404"/>
  <c r="P404"/>
  <c r="BI403"/>
  <c r="BH403"/>
  <c r="BG403"/>
  <c r="BF403"/>
  <c r="T403"/>
  <c r="R403"/>
  <c r="P403"/>
  <c r="BI402"/>
  <c r="BH402"/>
  <c r="BG402"/>
  <c r="BF402"/>
  <c r="T402"/>
  <c r="R402"/>
  <c r="P402"/>
  <c r="BI401"/>
  <c r="BH401"/>
  <c r="BG401"/>
  <c r="BF401"/>
  <c r="T401"/>
  <c r="R401"/>
  <c r="P401"/>
  <c r="BI400"/>
  <c r="BH400"/>
  <c r="BG400"/>
  <c r="BF400"/>
  <c r="T400"/>
  <c r="R400"/>
  <c r="P400"/>
  <c r="BI399"/>
  <c r="BH399"/>
  <c r="BG399"/>
  <c r="BF399"/>
  <c r="T399"/>
  <c r="R399"/>
  <c r="P399"/>
  <c r="BI397"/>
  <c r="BH397"/>
  <c r="BG397"/>
  <c r="BF397"/>
  <c r="T397"/>
  <c r="R397"/>
  <c r="P397"/>
  <c r="BI396"/>
  <c r="BH396"/>
  <c r="BG396"/>
  <c r="BF396"/>
  <c r="T396"/>
  <c r="R396"/>
  <c r="P396"/>
  <c r="BI394"/>
  <c r="BH394"/>
  <c r="BG394"/>
  <c r="BF394"/>
  <c r="T394"/>
  <c r="R394"/>
  <c r="P394"/>
  <c r="BI392"/>
  <c r="BH392"/>
  <c r="BG392"/>
  <c r="BF392"/>
  <c r="T392"/>
  <c r="R392"/>
  <c r="P392"/>
  <c r="BI389"/>
  <c r="BH389"/>
  <c r="BG389"/>
  <c r="BF389"/>
  <c r="T389"/>
  <c r="R389"/>
  <c r="P389"/>
  <c r="BI386"/>
  <c r="BH386"/>
  <c r="BG386"/>
  <c r="BF386"/>
  <c r="T386"/>
  <c r="R386"/>
  <c r="P386"/>
  <c r="BI383"/>
  <c r="BH383"/>
  <c r="BG383"/>
  <c r="BF383"/>
  <c r="T383"/>
  <c r="R383"/>
  <c r="P383"/>
  <c r="BI381"/>
  <c r="BH381"/>
  <c r="BG381"/>
  <c r="BF381"/>
  <c r="T381"/>
  <c r="R381"/>
  <c r="P381"/>
  <c r="BI378"/>
  <c r="BH378"/>
  <c r="BG378"/>
  <c r="BF378"/>
  <c r="T378"/>
  <c r="R378"/>
  <c r="P378"/>
  <c r="BI376"/>
  <c r="BH376"/>
  <c r="BG376"/>
  <c r="BF376"/>
  <c r="T376"/>
  <c r="R376"/>
  <c r="P376"/>
  <c r="BI374"/>
  <c r="BH374"/>
  <c r="BG374"/>
  <c r="BF374"/>
  <c r="T374"/>
  <c r="R374"/>
  <c r="P374"/>
  <c r="BI371"/>
  <c r="BH371"/>
  <c r="BG371"/>
  <c r="BF371"/>
  <c r="T371"/>
  <c r="R371"/>
  <c r="P371"/>
  <c r="BI370"/>
  <c r="BH370"/>
  <c r="BG370"/>
  <c r="BF370"/>
  <c r="T370"/>
  <c r="R370"/>
  <c r="P370"/>
  <c r="BI367"/>
  <c r="BH367"/>
  <c r="BG367"/>
  <c r="BF367"/>
  <c r="T367"/>
  <c r="R367"/>
  <c r="P367"/>
  <c r="BI364"/>
  <c r="BH364"/>
  <c r="BG364"/>
  <c r="BF364"/>
  <c r="T364"/>
  <c r="R364"/>
  <c r="P364"/>
  <c r="BI362"/>
  <c r="BH362"/>
  <c r="BG362"/>
  <c r="BF362"/>
  <c r="T362"/>
  <c r="R362"/>
  <c r="P362"/>
  <c r="BI360"/>
  <c r="BH360"/>
  <c r="BG360"/>
  <c r="BF360"/>
  <c r="T360"/>
  <c r="R360"/>
  <c r="P360"/>
  <c r="BI358"/>
  <c r="BH358"/>
  <c r="BG358"/>
  <c r="BF358"/>
  <c r="T358"/>
  <c r="R358"/>
  <c r="P358"/>
  <c r="BI355"/>
  <c r="BH355"/>
  <c r="BG355"/>
  <c r="BF355"/>
  <c r="T355"/>
  <c r="R355"/>
  <c r="P355"/>
  <c r="BI352"/>
  <c r="BH352"/>
  <c r="BG352"/>
  <c r="BF352"/>
  <c r="T352"/>
  <c r="R352"/>
  <c r="P352"/>
  <c r="BI350"/>
  <c r="BH350"/>
  <c r="BG350"/>
  <c r="BF350"/>
  <c r="T350"/>
  <c r="R350"/>
  <c r="P350"/>
  <c r="BI348"/>
  <c r="BH348"/>
  <c r="BG348"/>
  <c r="BF348"/>
  <c r="T348"/>
  <c r="R348"/>
  <c r="P348"/>
  <c r="BI345"/>
  <c r="BH345"/>
  <c r="BG345"/>
  <c r="BF345"/>
  <c r="T345"/>
  <c r="R345"/>
  <c r="P345"/>
  <c r="BI344"/>
  <c r="BH344"/>
  <c r="BG344"/>
  <c r="BF344"/>
  <c r="T344"/>
  <c r="R344"/>
  <c r="P344"/>
  <c r="BI343"/>
  <c r="BH343"/>
  <c r="BG343"/>
  <c r="BF343"/>
  <c r="T343"/>
  <c r="R343"/>
  <c r="P343"/>
  <c r="BI342"/>
  <c r="BH342"/>
  <c r="BG342"/>
  <c r="BF342"/>
  <c r="T342"/>
  <c r="R342"/>
  <c r="P342"/>
  <c r="BI340"/>
  <c r="BH340"/>
  <c r="BG340"/>
  <c r="BF340"/>
  <c r="T340"/>
  <c r="R340"/>
  <c r="P340"/>
  <c r="BI338"/>
  <c r="BH338"/>
  <c r="BG338"/>
  <c r="BF338"/>
  <c r="T338"/>
  <c r="R338"/>
  <c r="P338"/>
  <c r="BI336"/>
  <c r="BH336"/>
  <c r="BG336"/>
  <c r="BF336"/>
  <c r="T336"/>
  <c r="R336"/>
  <c r="P336"/>
  <c r="BI334"/>
  <c r="BH334"/>
  <c r="BG334"/>
  <c r="BF334"/>
  <c r="T334"/>
  <c r="R334"/>
  <c r="P334"/>
  <c r="BI331"/>
  <c r="BH331"/>
  <c r="BG331"/>
  <c r="BF331"/>
  <c r="T331"/>
  <c r="T330"/>
  <c r="R331"/>
  <c r="R330"/>
  <c r="P331"/>
  <c r="P330"/>
  <c r="BI329"/>
  <c r="BH329"/>
  <c r="BG329"/>
  <c r="BF329"/>
  <c r="T329"/>
  <c r="R329"/>
  <c r="P329"/>
  <c r="BI328"/>
  <c r="BH328"/>
  <c r="BG328"/>
  <c r="BF328"/>
  <c r="T328"/>
  <c r="R328"/>
  <c r="P328"/>
  <c r="BI327"/>
  <c r="BH327"/>
  <c r="BG327"/>
  <c r="BF327"/>
  <c r="T327"/>
  <c r="R327"/>
  <c r="P327"/>
  <c r="BI324"/>
  <c r="BH324"/>
  <c r="BG324"/>
  <c r="BF324"/>
  <c r="T324"/>
  <c r="R324"/>
  <c r="P324"/>
  <c r="BI323"/>
  <c r="BH323"/>
  <c r="BG323"/>
  <c r="BF323"/>
  <c r="T323"/>
  <c r="R323"/>
  <c r="P323"/>
  <c r="BI321"/>
  <c r="BH321"/>
  <c r="BG321"/>
  <c r="BF321"/>
  <c r="T321"/>
  <c r="R321"/>
  <c r="P321"/>
  <c r="BI320"/>
  <c r="BH320"/>
  <c r="BG320"/>
  <c r="BF320"/>
  <c r="T320"/>
  <c r="R320"/>
  <c r="P320"/>
  <c r="BI318"/>
  <c r="BH318"/>
  <c r="BG318"/>
  <c r="BF318"/>
  <c r="T318"/>
  <c r="R318"/>
  <c r="P318"/>
  <c r="BI316"/>
  <c r="BH316"/>
  <c r="BG316"/>
  <c r="BF316"/>
  <c r="T316"/>
  <c r="R316"/>
  <c r="P316"/>
  <c r="BI314"/>
  <c r="BH314"/>
  <c r="BG314"/>
  <c r="BF314"/>
  <c r="T314"/>
  <c r="R314"/>
  <c r="P314"/>
  <c r="BI313"/>
  <c r="BH313"/>
  <c r="BG313"/>
  <c r="BF313"/>
  <c r="T313"/>
  <c r="R313"/>
  <c r="P313"/>
  <c r="BI311"/>
  <c r="BH311"/>
  <c r="BG311"/>
  <c r="BF311"/>
  <c r="T311"/>
  <c r="R311"/>
  <c r="P311"/>
  <c r="BI309"/>
  <c r="BH309"/>
  <c r="BG309"/>
  <c r="BF309"/>
  <c r="T309"/>
  <c r="R309"/>
  <c r="P309"/>
  <c r="BI308"/>
  <c r="BH308"/>
  <c r="BG308"/>
  <c r="BF308"/>
  <c r="T308"/>
  <c r="R308"/>
  <c r="P308"/>
  <c r="BI306"/>
  <c r="BH306"/>
  <c r="BG306"/>
  <c r="BF306"/>
  <c r="T306"/>
  <c r="R306"/>
  <c r="P306"/>
  <c r="BI304"/>
  <c r="BH304"/>
  <c r="BG304"/>
  <c r="BF304"/>
  <c r="T304"/>
  <c r="R304"/>
  <c r="P304"/>
  <c r="BI302"/>
  <c r="BH302"/>
  <c r="BG302"/>
  <c r="BF302"/>
  <c r="T302"/>
  <c r="R302"/>
  <c r="P302"/>
  <c r="BI301"/>
  <c r="BH301"/>
  <c r="BG301"/>
  <c r="BF301"/>
  <c r="T301"/>
  <c r="R301"/>
  <c r="P301"/>
  <c r="BI300"/>
  <c r="BH300"/>
  <c r="BG300"/>
  <c r="BF300"/>
  <c r="T300"/>
  <c r="R300"/>
  <c r="P300"/>
  <c r="BI299"/>
  <c r="BH299"/>
  <c r="BG299"/>
  <c r="BF299"/>
  <c r="T299"/>
  <c r="R299"/>
  <c r="P299"/>
  <c r="BI297"/>
  <c r="BH297"/>
  <c r="BG297"/>
  <c r="BF297"/>
  <c r="T297"/>
  <c r="R297"/>
  <c r="P297"/>
  <c r="BI296"/>
  <c r="BH296"/>
  <c r="BG296"/>
  <c r="BF296"/>
  <c r="T296"/>
  <c r="R296"/>
  <c r="P296"/>
  <c r="BI293"/>
  <c r="BH293"/>
  <c r="BG293"/>
  <c r="BF293"/>
  <c r="T293"/>
  <c r="R293"/>
  <c r="P293"/>
  <c r="BI291"/>
  <c r="BH291"/>
  <c r="BG291"/>
  <c r="BF291"/>
  <c r="T291"/>
  <c r="R291"/>
  <c r="P291"/>
  <c r="BI289"/>
  <c r="BH289"/>
  <c r="BG289"/>
  <c r="BF289"/>
  <c r="T289"/>
  <c r="R289"/>
  <c r="P289"/>
  <c r="BI287"/>
  <c r="BH287"/>
  <c r="BG287"/>
  <c r="BF287"/>
  <c r="T287"/>
  <c r="R287"/>
  <c r="P287"/>
  <c r="BI284"/>
  <c r="BH284"/>
  <c r="BG284"/>
  <c r="BF284"/>
  <c r="T284"/>
  <c r="T283"/>
  <c r="R284"/>
  <c r="R283"/>
  <c r="P284"/>
  <c r="P283"/>
  <c r="BI281"/>
  <c r="BH281"/>
  <c r="BG281"/>
  <c r="BF281"/>
  <c r="T281"/>
  <c r="R281"/>
  <c r="P281"/>
  <c r="BI278"/>
  <c r="BH278"/>
  <c r="BG278"/>
  <c r="BF278"/>
  <c r="T278"/>
  <c r="R278"/>
  <c r="P278"/>
  <c r="BI276"/>
  <c r="BH276"/>
  <c r="BG276"/>
  <c r="BF276"/>
  <c r="T276"/>
  <c r="R276"/>
  <c r="P276"/>
  <c r="BI274"/>
  <c r="BH274"/>
  <c r="BG274"/>
  <c r="BF274"/>
  <c r="T274"/>
  <c r="R274"/>
  <c r="P274"/>
  <c r="BI273"/>
  <c r="BH273"/>
  <c r="BG273"/>
  <c r="BF273"/>
  <c r="T273"/>
  <c r="R273"/>
  <c r="P273"/>
  <c r="BI269"/>
  <c r="BH269"/>
  <c r="BG269"/>
  <c r="BF269"/>
  <c r="T269"/>
  <c r="R269"/>
  <c r="P269"/>
  <c r="BI265"/>
  <c r="BH265"/>
  <c r="BG265"/>
  <c r="BF265"/>
  <c r="T265"/>
  <c r="R265"/>
  <c r="P265"/>
  <c r="BI258"/>
  <c r="BH258"/>
  <c r="BG258"/>
  <c r="BF258"/>
  <c r="T258"/>
  <c r="R258"/>
  <c r="P258"/>
  <c r="BI255"/>
  <c r="BH255"/>
  <c r="BG255"/>
  <c r="BF255"/>
  <c r="T255"/>
  <c r="R255"/>
  <c r="P255"/>
  <c r="BI252"/>
  <c r="BH252"/>
  <c r="BG252"/>
  <c r="BF252"/>
  <c r="T252"/>
  <c r="R252"/>
  <c r="P252"/>
  <c r="BI250"/>
  <c r="BH250"/>
  <c r="BG250"/>
  <c r="BF250"/>
  <c r="T250"/>
  <c r="R250"/>
  <c r="P250"/>
  <c r="BI248"/>
  <c r="BH248"/>
  <c r="BG248"/>
  <c r="BF248"/>
  <c r="T248"/>
  <c r="R248"/>
  <c r="P248"/>
  <c r="BI246"/>
  <c r="BH246"/>
  <c r="BG246"/>
  <c r="BF246"/>
  <c r="T246"/>
  <c r="R246"/>
  <c r="P246"/>
  <c r="BI244"/>
  <c r="BH244"/>
  <c r="BG244"/>
  <c r="BF244"/>
  <c r="T244"/>
  <c r="R244"/>
  <c r="P244"/>
  <c r="BI242"/>
  <c r="BH242"/>
  <c r="BG242"/>
  <c r="BF242"/>
  <c r="T242"/>
  <c r="R242"/>
  <c r="P242"/>
  <c r="BI240"/>
  <c r="BH240"/>
  <c r="BG240"/>
  <c r="BF240"/>
  <c r="T240"/>
  <c r="R240"/>
  <c r="P240"/>
  <c r="BI238"/>
  <c r="BH238"/>
  <c r="BG238"/>
  <c r="BF238"/>
  <c r="T238"/>
  <c r="R238"/>
  <c r="P238"/>
  <c r="BI237"/>
  <c r="BH237"/>
  <c r="BG237"/>
  <c r="BF237"/>
  <c r="T237"/>
  <c r="R237"/>
  <c r="P237"/>
  <c r="BI236"/>
  <c r="BH236"/>
  <c r="BG236"/>
  <c r="BF236"/>
  <c r="T236"/>
  <c r="R236"/>
  <c r="P236"/>
  <c r="BI233"/>
  <c r="BH233"/>
  <c r="BG233"/>
  <c r="BF233"/>
  <c r="T233"/>
  <c r="R233"/>
  <c r="P233"/>
  <c r="BI230"/>
  <c r="BH230"/>
  <c r="BG230"/>
  <c r="BF230"/>
  <c r="T230"/>
  <c r="R230"/>
  <c r="P230"/>
  <c r="BI228"/>
  <c r="BH228"/>
  <c r="BG228"/>
  <c r="BF228"/>
  <c r="T228"/>
  <c r="R228"/>
  <c r="P228"/>
  <c r="BI226"/>
  <c r="BH226"/>
  <c r="BG226"/>
  <c r="BF226"/>
  <c r="T226"/>
  <c r="R226"/>
  <c r="P226"/>
  <c r="BI223"/>
  <c r="BH223"/>
  <c r="BG223"/>
  <c r="BF223"/>
  <c r="T223"/>
  <c r="R223"/>
  <c r="P223"/>
  <c r="BI220"/>
  <c r="BH220"/>
  <c r="BG220"/>
  <c r="BF220"/>
  <c r="T220"/>
  <c r="R220"/>
  <c r="P220"/>
  <c r="BI217"/>
  <c r="BH217"/>
  <c r="BG217"/>
  <c r="BF217"/>
  <c r="T217"/>
  <c r="R217"/>
  <c r="P217"/>
  <c r="BI215"/>
  <c r="BH215"/>
  <c r="BG215"/>
  <c r="BF215"/>
  <c r="T215"/>
  <c r="R215"/>
  <c r="P215"/>
  <c r="BI213"/>
  <c r="BH213"/>
  <c r="BG213"/>
  <c r="BF213"/>
  <c r="T213"/>
  <c r="R213"/>
  <c r="P213"/>
  <c r="BI210"/>
  <c r="BH210"/>
  <c r="BG210"/>
  <c r="BF210"/>
  <c r="T210"/>
  <c r="R210"/>
  <c r="P210"/>
  <c r="BI209"/>
  <c r="BH209"/>
  <c r="BG209"/>
  <c r="BF209"/>
  <c r="T209"/>
  <c r="R209"/>
  <c r="P209"/>
  <c r="BI206"/>
  <c r="BH206"/>
  <c r="BG206"/>
  <c r="BF206"/>
  <c r="T206"/>
  <c r="R206"/>
  <c r="P206"/>
  <c r="BI203"/>
  <c r="BH203"/>
  <c r="BG203"/>
  <c r="BF203"/>
  <c r="T203"/>
  <c r="R203"/>
  <c r="P203"/>
  <c r="BI199"/>
  <c r="BH199"/>
  <c r="BG199"/>
  <c r="BF199"/>
  <c r="T199"/>
  <c r="R199"/>
  <c r="P199"/>
  <c r="BI196"/>
  <c r="BH196"/>
  <c r="BG196"/>
  <c r="BF196"/>
  <c r="T196"/>
  <c r="R196"/>
  <c r="P196"/>
  <c r="BI194"/>
  <c r="BH194"/>
  <c r="BG194"/>
  <c r="BF194"/>
  <c r="T194"/>
  <c r="R194"/>
  <c r="P194"/>
  <c r="BI193"/>
  <c r="BH193"/>
  <c r="BG193"/>
  <c r="BF193"/>
  <c r="T193"/>
  <c r="R193"/>
  <c r="P193"/>
  <c r="BI190"/>
  <c r="BH190"/>
  <c r="BG190"/>
  <c r="BF190"/>
  <c r="T190"/>
  <c r="R190"/>
  <c r="P190"/>
  <c r="BI187"/>
  <c r="BH187"/>
  <c r="BG187"/>
  <c r="BF187"/>
  <c r="T187"/>
  <c r="R187"/>
  <c r="P187"/>
  <c r="BI186"/>
  <c r="BH186"/>
  <c r="BG186"/>
  <c r="BF186"/>
  <c r="T186"/>
  <c r="R186"/>
  <c r="P186"/>
  <c r="BI183"/>
  <c r="BH183"/>
  <c r="BG183"/>
  <c r="BF183"/>
  <c r="T183"/>
  <c r="R183"/>
  <c r="P183"/>
  <c r="BI180"/>
  <c r="BH180"/>
  <c r="BG180"/>
  <c r="BF180"/>
  <c r="T180"/>
  <c r="R180"/>
  <c r="P180"/>
  <c r="BI177"/>
  <c r="BH177"/>
  <c r="BG177"/>
  <c r="BF177"/>
  <c r="T177"/>
  <c r="R177"/>
  <c r="P177"/>
  <c r="BI176"/>
  <c r="BH176"/>
  <c r="BG176"/>
  <c r="BF176"/>
  <c r="T176"/>
  <c r="R176"/>
  <c r="P176"/>
  <c r="BI174"/>
  <c r="BH174"/>
  <c r="BG174"/>
  <c r="BF174"/>
  <c r="T174"/>
  <c r="R174"/>
  <c r="P174"/>
  <c r="BI171"/>
  <c r="BH171"/>
  <c r="BG171"/>
  <c r="BF171"/>
  <c r="T171"/>
  <c r="R171"/>
  <c r="P171"/>
  <c r="BI168"/>
  <c r="BH168"/>
  <c r="BG168"/>
  <c r="BF168"/>
  <c r="T168"/>
  <c r="R168"/>
  <c r="P168"/>
  <c r="BI166"/>
  <c r="BH166"/>
  <c r="BG166"/>
  <c r="BF166"/>
  <c r="T166"/>
  <c r="R166"/>
  <c r="P166"/>
  <c r="BI164"/>
  <c r="BH164"/>
  <c r="BG164"/>
  <c r="BF164"/>
  <c r="T164"/>
  <c r="R164"/>
  <c r="P164"/>
  <c r="BI162"/>
  <c r="BH162"/>
  <c r="BG162"/>
  <c r="BF162"/>
  <c r="T162"/>
  <c r="R162"/>
  <c r="P162"/>
  <c r="BI160"/>
  <c r="BH160"/>
  <c r="BG160"/>
  <c r="BF160"/>
  <c r="T160"/>
  <c r="R160"/>
  <c r="P160"/>
  <c r="BI157"/>
  <c r="BH157"/>
  <c r="BG157"/>
  <c r="BF157"/>
  <c r="T157"/>
  <c r="R157"/>
  <c r="P157"/>
  <c r="BI155"/>
  <c r="BH155"/>
  <c r="BG155"/>
  <c r="BF155"/>
  <c r="T155"/>
  <c r="R155"/>
  <c r="P155"/>
  <c r="BI151"/>
  <c r="BH151"/>
  <c r="BG151"/>
  <c r="BF151"/>
  <c r="T151"/>
  <c r="R151"/>
  <c r="P151"/>
  <c r="BI149"/>
  <c r="BH149"/>
  <c r="BG149"/>
  <c r="BF149"/>
  <c r="T149"/>
  <c r="R149"/>
  <c r="P149"/>
  <c r="BI145"/>
  <c r="BH145"/>
  <c r="BG145"/>
  <c r="BF145"/>
  <c r="T145"/>
  <c r="R145"/>
  <c r="P145"/>
  <c r="BI143"/>
  <c r="BH143"/>
  <c r="BG143"/>
  <c r="BF143"/>
  <c r="T143"/>
  <c r="R143"/>
  <c r="P143"/>
  <c r="BI141"/>
  <c r="BH141"/>
  <c r="BG141"/>
  <c r="BF141"/>
  <c r="T141"/>
  <c r="R141"/>
  <c r="P141"/>
  <c r="BI137"/>
  <c r="BH137"/>
  <c r="BG137"/>
  <c r="BF137"/>
  <c r="T137"/>
  <c r="R137"/>
  <c r="P137"/>
  <c r="BI135"/>
  <c r="BH135"/>
  <c r="BG135"/>
  <c r="BF135"/>
  <c r="T135"/>
  <c r="R135"/>
  <c r="P135"/>
  <c r="J129"/>
  <c r="J128"/>
  <c r="F128"/>
  <c r="F126"/>
  <c r="E124"/>
  <c r="J92"/>
  <c r="J91"/>
  <c r="F91"/>
  <c r="F89"/>
  <c r="E87"/>
  <c r="J18"/>
  <c r="E18"/>
  <c r="F92"/>
  <c r="J17"/>
  <c r="J12"/>
  <c r="J126"/>
  <c r="E7"/>
  <c r="E85"/>
  <c i="2" r="J37"/>
  <c r="J36"/>
  <c i="1" r="AY95"/>
  <c i="2" r="J35"/>
  <c i="1" r="AX95"/>
  <c i="2" r="BI894"/>
  <c r="BH894"/>
  <c r="BG894"/>
  <c r="BF894"/>
  <c r="T894"/>
  <c r="T893"/>
  <c r="T892"/>
  <c r="R894"/>
  <c r="R893"/>
  <c r="R892"/>
  <c r="P894"/>
  <c r="P893"/>
  <c r="P892"/>
  <c r="BI891"/>
  <c r="BH891"/>
  <c r="BG891"/>
  <c r="BF891"/>
  <c r="T891"/>
  <c r="R891"/>
  <c r="P891"/>
  <c r="BI887"/>
  <c r="BH887"/>
  <c r="BG887"/>
  <c r="BF887"/>
  <c r="T887"/>
  <c r="R887"/>
  <c r="P887"/>
  <c r="BI885"/>
  <c r="BH885"/>
  <c r="BG885"/>
  <c r="BF885"/>
  <c r="T885"/>
  <c r="R885"/>
  <c r="P885"/>
  <c r="BI883"/>
  <c r="BH883"/>
  <c r="BG883"/>
  <c r="BF883"/>
  <c r="T883"/>
  <c r="R883"/>
  <c r="P883"/>
  <c r="BI881"/>
  <c r="BH881"/>
  <c r="BG881"/>
  <c r="BF881"/>
  <c r="T881"/>
  <c r="R881"/>
  <c r="P881"/>
  <c r="BI879"/>
  <c r="BH879"/>
  <c r="BG879"/>
  <c r="BF879"/>
  <c r="T879"/>
  <c r="R879"/>
  <c r="P879"/>
  <c r="BI876"/>
  <c r="BH876"/>
  <c r="BG876"/>
  <c r="BF876"/>
  <c r="T876"/>
  <c r="R876"/>
  <c r="P876"/>
  <c r="BI874"/>
  <c r="BH874"/>
  <c r="BG874"/>
  <c r="BF874"/>
  <c r="T874"/>
  <c r="R874"/>
  <c r="P874"/>
  <c r="BI871"/>
  <c r="BH871"/>
  <c r="BG871"/>
  <c r="BF871"/>
  <c r="T871"/>
  <c r="R871"/>
  <c r="P871"/>
  <c r="BI868"/>
  <c r="BH868"/>
  <c r="BG868"/>
  <c r="BF868"/>
  <c r="T868"/>
  <c r="R868"/>
  <c r="P868"/>
  <c r="BI867"/>
  <c r="BH867"/>
  <c r="BG867"/>
  <c r="BF867"/>
  <c r="T867"/>
  <c r="R867"/>
  <c r="P867"/>
  <c r="BI865"/>
  <c r="BH865"/>
  <c r="BG865"/>
  <c r="BF865"/>
  <c r="T865"/>
  <c r="R865"/>
  <c r="P865"/>
  <c r="BI861"/>
  <c r="BH861"/>
  <c r="BG861"/>
  <c r="BF861"/>
  <c r="T861"/>
  <c r="R861"/>
  <c r="P861"/>
  <c r="BI859"/>
  <c r="BH859"/>
  <c r="BG859"/>
  <c r="BF859"/>
  <c r="T859"/>
  <c r="R859"/>
  <c r="P859"/>
  <c r="BI856"/>
  <c r="BH856"/>
  <c r="BG856"/>
  <c r="BF856"/>
  <c r="T856"/>
  <c r="R856"/>
  <c r="P856"/>
  <c r="BI854"/>
  <c r="BH854"/>
  <c r="BG854"/>
  <c r="BF854"/>
  <c r="T854"/>
  <c r="R854"/>
  <c r="P854"/>
  <c r="BI851"/>
  <c r="BH851"/>
  <c r="BG851"/>
  <c r="BF851"/>
  <c r="T851"/>
  <c r="R851"/>
  <c r="P851"/>
  <c r="BI850"/>
  <c r="BH850"/>
  <c r="BG850"/>
  <c r="BF850"/>
  <c r="T850"/>
  <c r="R850"/>
  <c r="P850"/>
  <c r="BI849"/>
  <c r="BH849"/>
  <c r="BG849"/>
  <c r="BF849"/>
  <c r="T849"/>
  <c r="R849"/>
  <c r="P849"/>
  <c r="BI847"/>
  <c r="BH847"/>
  <c r="BG847"/>
  <c r="BF847"/>
  <c r="T847"/>
  <c r="R847"/>
  <c r="P847"/>
  <c r="BI845"/>
  <c r="BH845"/>
  <c r="BG845"/>
  <c r="BF845"/>
  <c r="T845"/>
  <c r="R845"/>
  <c r="P845"/>
  <c r="BI844"/>
  <c r="BH844"/>
  <c r="BG844"/>
  <c r="BF844"/>
  <c r="T844"/>
  <c r="R844"/>
  <c r="P844"/>
  <c r="BI841"/>
  <c r="BH841"/>
  <c r="BG841"/>
  <c r="BF841"/>
  <c r="T841"/>
  <c r="R841"/>
  <c r="P841"/>
  <c r="BI839"/>
  <c r="BH839"/>
  <c r="BG839"/>
  <c r="BF839"/>
  <c r="T839"/>
  <c r="R839"/>
  <c r="P839"/>
  <c r="BI838"/>
  <c r="BH838"/>
  <c r="BG838"/>
  <c r="BF838"/>
  <c r="T838"/>
  <c r="R838"/>
  <c r="P838"/>
  <c r="BI836"/>
  <c r="BH836"/>
  <c r="BG836"/>
  <c r="BF836"/>
  <c r="T836"/>
  <c r="R836"/>
  <c r="P836"/>
  <c r="BI834"/>
  <c r="BH834"/>
  <c r="BG834"/>
  <c r="BF834"/>
  <c r="T834"/>
  <c r="R834"/>
  <c r="P834"/>
  <c r="BI832"/>
  <c r="BH832"/>
  <c r="BG832"/>
  <c r="BF832"/>
  <c r="T832"/>
  <c r="R832"/>
  <c r="P832"/>
  <c r="BI828"/>
  <c r="BH828"/>
  <c r="BG828"/>
  <c r="BF828"/>
  <c r="T828"/>
  <c r="R828"/>
  <c r="P828"/>
  <c r="BI824"/>
  <c r="BH824"/>
  <c r="BG824"/>
  <c r="BF824"/>
  <c r="T824"/>
  <c r="R824"/>
  <c r="P824"/>
  <c r="BI821"/>
  <c r="BH821"/>
  <c r="BG821"/>
  <c r="BF821"/>
  <c r="T821"/>
  <c r="R821"/>
  <c r="P821"/>
  <c r="BI820"/>
  <c r="BH820"/>
  <c r="BG820"/>
  <c r="BF820"/>
  <c r="T820"/>
  <c r="R820"/>
  <c r="P820"/>
  <c r="BI817"/>
  <c r="BH817"/>
  <c r="BG817"/>
  <c r="BF817"/>
  <c r="T817"/>
  <c r="R817"/>
  <c r="P817"/>
  <c r="BI815"/>
  <c r="BH815"/>
  <c r="BG815"/>
  <c r="BF815"/>
  <c r="T815"/>
  <c r="R815"/>
  <c r="P815"/>
  <c r="BI813"/>
  <c r="BH813"/>
  <c r="BG813"/>
  <c r="BF813"/>
  <c r="T813"/>
  <c r="R813"/>
  <c r="P813"/>
  <c r="BI811"/>
  <c r="BH811"/>
  <c r="BG811"/>
  <c r="BF811"/>
  <c r="T811"/>
  <c r="R811"/>
  <c r="P811"/>
  <c r="BI808"/>
  <c r="BH808"/>
  <c r="BG808"/>
  <c r="BF808"/>
  <c r="T808"/>
  <c r="R808"/>
  <c r="P808"/>
  <c r="BI806"/>
  <c r="BH806"/>
  <c r="BG806"/>
  <c r="BF806"/>
  <c r="T806"/>
  <c r="R806"/>
  <c r="P806"/>
  <c r="BI803"/>
  <c r="BH803"/>
  <c r="BG803"/>
  <c r="BF803"/>
  <c r="T803"/>
  <c r="R803"/>
  <c r="P803"/>
  <c r="BI801"/>
  <c r="BH801"/>
  <c r="BG801"/>
  <c r="BF801"/>
  <c r="T801"/>
  <c r="R801"/>
  <c r="P801"/>
  <c r="BI797"/>
  <c r="BH797"/>
  <c r="BG797"/>
  <c r="BF797"/>
  <c r="T797"/>
  <c r="R797"/>
  <c r="P797"/>
  <c r="BI795"/>
  <c r="BH795"/>
  <c r="BG795"/>
  <c r="BF795"/>
  <c r="T795"/>
  <c r="R795"/>
  <c r="P795"/>
  <c r="BI794"/>
  <c r="BH794"/>
  <c r="BG794"/>
  <c r="BF794"/>
  <c r="T794"/>
  <c r="R794"/>
  <c r="P794"/>
  <c r="BI792"/>
  <c r="BH792"/>
  <c r="BG792"/>
  <c r="BF792"/>
  <c r="T792"/>
  <c r="R792"/>
  <c r="P792"/>
  <c r="BI790"/>
  <c r="BH790"/>
  <c r="BG790"/>
  <c r="BF790"/>
  <c r="T790"/>
  <c r="R790"/>
  <c r="P790"/>
  <c r="BI788"/>
  <c r="BH788"/>
  <c r="BG788"/>
  <c r="BF788"/>
  <c r="T788"/>
  <c r="R788"/>
  <c r="P788"/>
  <c r="BI785"/>
  <c r="BH785"/>
  <c r="BG785"/>
  <c r="BF785"/>
  <c r="T785"/>
  <c r="R785"/>
  <c r="P785"/>
  <c r="BI784"/>
  <c r="BH784"/>
  <c r="BG784"/>
  <c r="BF784"/>
  <c r="T784"/>
  <c r="R784"/>
  <c r="P784"/>
  <c r="BI781"/>
  <c r="BH781"/>
  <c r="BG781"/>
  <c r="BF781"/>
  <c r="T781"/>
  <c r="R781"/>
  <c r="P781"/>
  <c r="BI778"/>
  <c r="BH778"/>
  <c r="BG778"/>
  <c r="BF778"/>
  <c r="T778"/>
  <c r="R778"/>
  <c r="P778"/>
  <c r="BI773"/>
  <c r="BH773"/>
  <c r="BG773"/>
  <c r="BF773"/>
  <c r="T773"/>
  <c r="R773"/>
  <c r="P773"/>
  <c r="BI771"/>
  <c r="BH771"/>
  <c r="BG771"/>
  <c r="BF771"/>
  <c r="T771"/>
  <c r="R771"/>
  <c r="P771"/>
  <c r="BI768"/>
  <c r="BH768"/>
  <c r="BG768"/>
  <c r="BF768"/>
  <c r="T768"/>
  <c r="R768"/>
  <c r="P768"/>
  <c r="BI765"/>
  <c r="BH765"/>
  <c r="BG765"/>
  <c r="BF765"/>
  <c r="T765"/>
  <c r="R765"/>
  <c r="P765"/>
  <c r="BI758"/>
  <c r="BH758"/>
  <c r="BG758"/>
  <c r="BF758"/>
  <c r="T758"/>
  <c r="R758"/>
  <c r="P758"/>
  <c r="BI745"/>
  <c r="BH745"/>
  <c r="BG745"/>
  <c r="BF745"/>
  <c r="T745"/>
  <c r="R745"/>
  <c r="P745"/>
  <c r="BI743"/>
  <c r="BH743"/>
  <c r="BG743"/>
  <c r="BF743"/>
  <c r="T743"/>
  <c r="R743"/>
  <c r="P743"/>
  <c r="BI741"/>
  <c r="BH741"/>
  <c r="BG741"/>
  <c r="BF741"/>
  <c r="T741"/>
  <c r="R741"/>
  <c r="P741"/>
  <c r="BI738"/>
  <c r="BH738"/>
  <c r="BG738"/>
  <c r="BF738"/>
  <c r="T738"/>
  <c r="R738"/>
  <c r="P738"/>
  <c r="BI737"/>
  <c r="BH737"/>
  <c r="BG737"/>
  <c r="BF737"/>
  <c r="T737"/>
  <c r="R737"/>
  <c r="P737"/>
  <c r="BI731"/>
  <c r="BH731"/>
  <c r="BG731"/>
  <c r="BF731"/>
  <c r="T731"/>
  <c r="R731"/>
  <c r="P731"/>
  <c r="BI729"/>
  <c r="BH729"/>
  <c r="BG729"/>
  <c r="BF729"/>
  <c r="T729"/>
  <c r="R729"/>
  <c r="P729"/>
  <c r="BI728"/>
  <c r="BH728"/>
  <c r="BG728"/>
  <c r="BF728"/>
  <c r="T728"/>
  <c r="R728"/>
  <c r="P728"/>
  <c r="BI725"/>
  <c r="BH725"/>
  <c r="BG725"/>
  <c r="BF725"/>
  <c r="T725"/>
  <c r="R725"/>
  <c r="P725"/>
  <c r="BI723"/>
  <c r="BH723"/>
  <c r="BG723"/>
  <c r="BF723"/>
  <c r="T723"/>
  <c r="R723"/>
  <c r="P723"/>
  <c r="BI722"/>
  <c r="BH722"/>
  <c r="BG722"/>
  <c r="BF722"/>
  <c r="T722"/>
  <c r="R722"/>
  <c r="P722"/>
  <c r="BI721"/>
  <c r="BH721"/>
  <c r="BG721"/>
  <c r="BF721"/>
  <c r="T721"/>
  <c r="R721"/>
  <c r="P721"/>
  <c r="BI720"/>
  <c r="BH720"/>
  <c r="BG720"/>
  <c r="BF720"/>
  <c r="T720"/>
  <c r="R720"/>
  <c r="P720"/>
  <c r="BI719"/>
  <c r="BH719"/>
  <c r="BG719"/>
  <c r="BF719"/>
  <c r="T719"/>
  <c r="R719"/>
  <c r="P719"/>
  <c r="BI718"/>
  <c r="BH718"/>
  <c r="BG718"/>
  <c r="BF718"/>
  <c r="T718"/>
  <c r="R718"/>
  <c r="P718"/>
  <c r="BI716"/>
  <c r="BH716"/>
  <c r="BG716"/>
  <c r="BF716"/>
  <c r="T716"/>
  <c r="R716"/>
  <c r="P716"/>
  <c r="BI715"/>
  <c r="BH715"/>
  <c r="BG715"/>
  <c r="BF715"/>
  <c r="T715"/>
  <c r="R715"/>
  <c r="P715"/>
  <c r="BI714"/>
  <c r="BH714"/>
  <c r="BG714"/>
  <c r="BF714"/>
  <c r="T714"/>
  <c r="R714"/>
  <c r="P714"/>
  <c r="BI713"/>
  <c r="BH713"/>
  <c r="BG713"/>
  <c r="BF713"/>
  <c r="T713"/>
  <c r="R713"/>
  <c r="P713"/>
  <c r="BI708"/>
  <c r="BH708"/>
  <c r="BG708"/>
  <c r="BF708"/>
  <c r="T708"/>
  <c r="R708"/>
  <c r="P708"/>
  <c r="BI707"/>
  <c r="BH707"/>
  <c r="BG707"/>
  <c r="BF707"/>
  <c r="T707"/>
  <c r="R707"/>
  <c r="P707"/>
  <c r="BI705"/>
  <c r="BH705"/>
  <c r="BG705"/>
  <c r="BF705"/>
  <c r="T705"/>
  <c r="R705"/>
  <c r="P705"/>
  <c r="BI704"/>
  <c r="BH704"/>
  <c r="BG704"/>
  <c r="BF704"/>
  <c r="T704"/>
  <c r="R704"/>
  <c r="P704"/>
  <c r="BI703"/>
  <c r="BH703"/>
  <c r="BG703"/>
  <c r="BF703"/>
  <c r="T703"/>
  <c r="R703"/>
  <c r="P703"/>
  <c r="BI699"/>
  <c r="BH699"/>
  <c r="BG699"/>
  <c r="BF699"/>
  <c r="T699"/>
  <c r="R699"/>
  <c r="P699"/>
  <c r="BI697"/>
  <c r="BH697"/>
  <c r="BG697"/>
  <c r="BF697"/>
  <c r="T697"/>
  <c r="R697"/>
  <c r="P697"/>
  <c r="BI695"/>
  <c r="BH695"/>
  <c r="BG695"/>
  <c r="BF695"/>
  <c r="T695"/>
  <c r="R695"/>
  <c r="P695"/>
  <c r="BI693"/>
  <c r="BH693"/>
  <c r="BG693"/>
  <c r="BF693"/>
  <c r="T693"/>
  <c r="R693"/>
  <c r="P693"/>
  <c r="BI690"/>
  <c r="BH690"/>
  <c r="BG690"/>
  <c r="BF690"/>
  <c r="T690"/>
  <c r="R690"/>
  <c r="P690"/>
  <c r="BI688"/>
  <c r="BH688"/>
  <c r="BG688"/>
  <c r="BF688"/>
  <c r="T688"/>
  <c r="R688"/>
  <c r="P688"/>
  <c r="BI686"/>
  <c r="BH686"/>
  <c r="BG686"/>
  <c r="BF686"/>
  <c r="T686"/>
  <c r="R686"/>
  <c r="P686"/>
  <c r="BI684"/>
  <c r="BH684"/>
  <c r="BG684"/>
  <c r="BF684"/>
  <c r="T684"/>
  <c r="R684"/>
  <c r="P684"/>
  <c r="BI682"/>
  <c r="BH682"/>
  <c r="BG682"/>
  <c r="BF682"/>
  <c r="T682"/>
  <c r="R682"/>
  <c r="P682"/>
  <c r="BI674"/>
  <c r="BH674"/>
  <c r="BG674"/>
  <c r="BF674"/>
  <c r="T674"/>
  <c r="R674"/>
  <c r="P674"/>
  <c r="BI671"/>
  <c r="BH671"/>
  <c r="BG671"/>
  <c r="BF671"/>
  <c r="T671"/>
  <c r="R671"/>
  <c r="P671"/>
  <c r="BI670"/>
  <c r="BH670"/>
  <c r="BG670"/>
  <c r="BF670"/>
  <c r="T670"/>
  <c r="R670"/>
  <c r="P670"/>
  <c r="BI669"/>
  <c r="BH669"/>
  <c r="BG669"/>
  <c r="BF669"/>
  <c r="T669"/>
  <c r="R669"/>
  <c r="P669"/>
  <c r="BI668"/>
  <c r="BH668"/>
  <c r="BG668"/>
  <c r="BF668"/>
  <c r="T668"/>
  <c r="R668"/>
  <c r="P668"/>
  <c r="BI667"/>
  <c r="BH667"/>
  <c r="BG667"/>
  <c r="BF667"/>
  <c r="T667"/>
  <c r="R667"/>
  <c r="P667"/>
  <c r="BI666"/>
  <c r="BH666"/>
  <c r="BG666"/>
  <c r="BF666"/>
  <c r="T666"/>
  <c r="R666"/>
  <c r="P666"/>
  <c r="BI665"/>
  <c r="BH665"/>
  <c r="BG665"/>
  <c r="BF665"/>
  <c r="T665"/>
  <c r="R665"/>
  <c r="P665"/>
  <c r="BI664"/>
  <c r="BH664"/>
  <c r="BG664"/>
  <c r="BF664"/>
  <c r="T664"/>
  <c r="R664"/>
  <c r="P664"/>
  <c r="BI663"/>
  <c r="BH663"/>
  <c r="BG663"/>
  <c r="BF663"/>
  <c r="T663"/>
  <c r="R663"/>
  <c r="P663"/>
  <c r="BI662"/>
  <c r="BH662"/>
  <c r="BG662"/>
  <c r="BF662"/>
  <c r="T662"/>
  <c r="R662"/>
  <c r="P662"/>
  <c r="BI659"/>
  <c r="BH659"/>
  <c r="BG659"/>
  <c r="BF659"/>
  <c r="T659"/>
  <c r="R659"/>
  <c r="P659"/>
  <c r="BI656"/>
  <c r="BH656"/>
  <c r="BG656"/>
  <c r="BF656"/>
  <c r="T656"/>
  <c r="R656"/>
  <c r="P656"/>
  <c r="BI654"/>
  <c r="BH654"/>
  <c r="BG654"/>
  <c r="BF654"/>
  <c r="T654"/>
  <c r="R654"/>
  <c r="P654"/>
  <c r="BI651"/>
  <c r="BH651"/>
  <c r="BG651"/>
  <c r="BF651"/>
  <c r="T651"/>
  <c r="R651"/>
  <c r="P651"/>
  <c r="BI648"/>
  <c r="BH648"/>
  <c r="BG648"/>
  <c r="BF648"/>
  <c r="T648"/>
  <c r="R648"/>
  <c r="P648"/>
  <c r="BI646"/>
  <c r="BH646"/>
  <c r="BG646"/>
  <c r="BF646"/>
  <c r="T646"/>
  <c r="R646"/>
  <c r="P646"/>
  <c r="BI644"/>
  <c r="BH644"/>
  <c r="BG644"/>
  <c r="BF644"/>
  <c r="T644"/>
  <c r="R644"/>
  <c r="P644"/>
  <c r="BI641"/>
  <c r="BH641"/>
  <c r="BG641"/>
  <c r="BF641"/>
  <c r="T641"/>
  <c r="R641"/>
  <c r="P641"/>
  <c r="BI629"/>
  <c r="BH629"/>
  <c r="BG629"/>
  <c r="BF629"/>
  <c r="T629"/>
  <c r="R629"/>
  <c r="P629"/>
  <c r="BI625"/>
  <c r="BH625"/>
  <c r="BG625"/>
  <c r="BF625"/>
  <c r="T625"/>
  <c r="R625"/>
  <c r="P625"/>
  <c r="BI610"/>
  <c r="BH610"/>
  <c r="BG610"/>
  <c r="BF610"/>
  <c r="T610"/>
  <c r="R610"/>
  <c r="P610"/>
  <c r="BI608"/>
  <c r="BH608"/>
  <c r="BG608"/>
  <c r="BF608"/>
  <c r="T608"/>
  <c r="R608"/>
  <c r="P608"/>
  <c r="BI596"/>
  <c r="BH596"/>
  <c r="BG596"/>
  <c r="BF596"/>
  <c r="T596"/>
  <c r="R596"/>
  <c r="P596"/>
  <c r="BI593"/>
  <c r="BH593"/>
  <c r="BG593"/>
  <c r="BF593"/>
  <c r="T593"/>
  <c r="R593"/>
  <c r="P593"/>
  <c r="BI590"/>
  <c r="BH590"/>
  <c r="BG590"/>
  <c r="BF590"/>
  <c r="T590"/>
  <c r="R590"/>
  <c r="P590"/>
  <c r="BI587"/>
  <c r="BH587"/>
  <c r="BG587"/>
  <c r="BF587"/>
  <c r="T587"/>
  <c r="R587"/>
  <c r="P587"/>
  <c r="BI578"/>
  <c r="BH578"/>
  <c r="BG578"/>
  <c r="BF578"/>
  <c r="T578"/>
  <c r="R578"/>
  <c r="P578"/>
  <c r="BI574"/>
  <c r="BH574"/>
  <c r="BG574"/>
  <c r="BF574"/>
  <c r="T574"/>
  <c r="R574"/>
  <c r="P574"/>
  <c r="BI571"/>
  <c r="BH571"/>
  <c r="BG571"/>
  <c r="BF571"/>
  <c r="T571"/>
  <c r="R571"/>
  <c r="P571"/>
  <c r="BI561"/>
  <c r="BH561"/>
  <c r="BG561"/>
  <c r="BF561"/>
  <c r="T561"/>
  <c r="R561"/>
  <c r="P561"/>
  <c r="BI559"/>
  <c r="BH559"/>
  <c r="BG559"/>
  <c r="BF559"/>
  <c r="T559"/>
  <c r="R559"/>
  <c r="P559"/>
  <c r="BI558"/>
  <c r="BH558"/>
  <c r="BG558"/>
  <c r="BF558"/>
  <c r="T558"/>
  <c r="R558"/>
  <c r="P558"/>
  <c r="BI555"/>
  <c r="BH555"/>
  <c r="BG555"/>
  <c r="BF555"/>
  <c r="T555"/>
  <c r="R555"/>
  <c r="P555"/>
  <c r="BI553"/>
  <c r="BH553"/>
  <c r="BG553"/>
  <c r="BF553"/>
  <c r="T553"/>
  <c r="R553"/>
  <c r="P553"/>
  <c r="BI547"/>
  <c r="BH547"/>
  <c r="BG547"/>
  <c r="BF547"/>
  <c r="T547"/>
  <c r="R547"/>
  <c r="P547"/>
  <c r="BI545"/>
  <c r="BH545"/>
  <c r="BG545"/>
  <c r="BF545"/>
  <c r="T545"/>
  <c r="R545"/>
  <c r="P545"/>
  <c r="BI543"/>
  <c r="BH543"/>
  <c r="BG543"/>
  <c r="BF543"/>
  <c r="T543"/>
  <c r="R543"/>
  <c r="P543"/>
  <c r="BI539"/>
  <c r="BH539"/>
  <c r="BG539"/>
  <c r="BF539"/>
  <c r="T539"/>
  <c r="R539"/>
  <c r="P539"/>
  <c r="BI537"/>
  <c r="BH537"/>
  <c r="BG537"/>
  <c r="BF537"/>
  <c r="T537"/>
  <c r="R537"/>
  <c r="P537"/>
  <c r="BI535"/>
  <c r="BH535"/>
  <c r="BG535"/>
  <c r="BF535"/>
  <c r="T535"/>
  <c r="R535"/>
  <c r="P535"/>
  <c r="BI532"/>
  <c r="BH532"/>
  <c r="BG532"/>
  <c r="BF532"/>
  <c r="T532"/>
  <c r="R532"/>
  <c r="P532"/>
  <c r="BI530"/>
  <c r="BH530"/>
  <c r="BG530"/>
  <c r="BF530"/>
  <c r="T530"/>
  <c r="R530"/>
  <c r="P530"/>
  <c r="BI527"/>
  <c r="BH527"/>
  <c r="BG527"/>
  <c r="BF527"/>
  <c r="T527"/>
  <c r="R527"/>
  <c r="P527"/>
  <c r="BI525"/>
  <c r="BH525"/>
  <c r="BG525"/>
  <c r="BF525"/>
  <c r="T525"/>
  <c r="R525"/>
  <c r="P525"/>
  <c r="BI523"/>
  <c r="BH523"/>
  <c r="BG523"/>
  <c r="BF523"/>
  <c r="T523"/>
  <c r="R523"/>
  <c r="P523"/>
  <c r="BI520"/>
  <c r="BH520"/>
  <c r="BG520"/>
  <c r="BF520"/>
  <c r="T520"/>
  <c r="R520"/>
  <c r="P520"/>
  <c r="BI517"/>
  <c r="BH517"/>
  <c r="BG517"/>
  <c r="BF517"/>
  <c r="T517"/>
  <c r="R517"/>
  <c r="P517"/>
  <c r="BI515"/>
  <c r="BH515"/>
  <c r="BG515"/>
  <c r="BF515"/>
  <c r="T515"/>
  <c r="R515"/>
  <c r="P515"/>
  <c r="BI512"/>
  <c r="BH512"/>
  <c r="BG512"/>
  <c r="BF512"/>
  <c r="T512"/>
  <c r="R512"/>
  <c r="P512"/>
  <c r="BI509"/>
  <c r="BH509"/>
  <c r="BG509"/>
  <c r="BF509"/>
  <c r="T509"/>
  <c r="R509"/>
  <c r="P509"/>
  <c r="BI507"/>
  <c r="BH507"/>
  <c r="BG507"/>
  <c r="BF507"/>
  <c r="T507"/>
  <c r="R507"/>
  <c r="P507"/>
  <c r="BI504"/>
  <c r="BH504"/>
  <c r="BG504"/>
  <c r="BF504"/>
  <c r="T504"/>
  <c r="R504"/>
  <c r="P504"/>
  <c r="BI499"/>
  <c r="BH499"/>
  <c r="BG499"/>
  <c r="BF499"/>
  <c r="T499"/>
  <c r="R499"/>
  <c r="P499"/>
  <c r="BI496"/>
  <c r="BH496"/>
  <c r="BG496"/>
  <c r="BF496"/>
  <c r="T496"/>
  <c r="R496"/>
  <c r="P496"/>
  <c r="BI490"/>
  <c r="BH490"/>
  <c r="BG490"/>
  <c r="BF490"/>
  <c r="T490"/>
  <c r="R490"/>
  <c r="P490"/>
  <c r="BI487"/>
  <c r="BH487"/>
  <c r="BG487"/>
  <c r="BF487"/>
  <c r="T487"/>
  <c r="R487"/>
  <c r="P487"/>
  <c r="BI485"/>
  <c r="BH485"/>
  <c r="BG485"/>
  <c r="BF485"/>
  <c r="T485"/>
  <c r="R485"/>
  <c r="P485"/>
  <c r="BI482"/>
  <c r="BH482"/>
  <c r="BG482"/>
  <c r="BF482"/>
  <c r="T482"/>
  <c r="R482"/>
  <c r="P482"/>
  <c r="BI480"/>
  <c r="BH480"/>
  <c r="BG480"/>
  <c r="BF480"/>
  <c r="T480"/>
  <c r="R480"/>
  <c r="P480"/>
  <c r="BI477"/>
  <c r="BH477"/>
  <c r="BG477"/>
  <c r="BF477"/>
  <c r="T477"/>
  <c r="R477"/>
  <c r="P477"/>
  <c r="BI475"/>
  <c r="BH475"/>
  <c r="BG475"/>
  <c r="BF475"/>
  <c r="T475"/>
  <c r="R475"/>
  <c r="P475"/>
  <c r="BI472"/>
  <c r="BH472"/>
  <c r="BG472"/>
  <c r="BF472"/>
  <c r="T472"/>
  <c r="R472"/>
  <c r="P472"/>
  <c r="BI469"/>
  <c r="BH469"/>
  <c r="BG469"/>
  <c r="BF469"/>
  <c r="T469"/>
  <c r="R469"/>
  <c r="P469"/>
  <c r="BI466"/>
  <c r="BH466"/>
  <c r="BG466"/>
  <c r="BF466"/>
  <c r="T466"/>
  <c r="R466"/>
  <c r="P466"/>
  <c r="BI463"/>
  <c r="BH463"/>
  <c r="BG463"/>
  <c r="BF463"/>
  <c r="T463"/>
  <c r="R463"/>
  <c r="P463"/>
  <c r="BI461"/>
  <c r="BH461"/>
  <c r="BG461"/>
  <c r="BF461"/>
  <c r="T461"/>
  <c r="R461"/>
  <c r="P461"/>
  <c r="BI459"/>
  <c r="BH459"/>
  <c r="BG459"/>
  <c r="BF459"/>
  <c r="T459"/>
  <c r="R459"/>
  <c r="P459"/>
  <c r="BI456"/>
  <c r="BH456"/>
  <c r="BG456"/>
  <c r="BF456"/>
  <c r="T456"/>
  <c r="R456"/>
  <c r="P456"/>
  <c r="BI451"/>
  <c r="BH451"/>
  <c r="BG451"/>
  <c r="BF451"/>
  <c r="T451"/>
  <c r="R451"/>
  <c r="P451"/>
  <c r="BI448"/>
  <c r="BH448"/>
  <c r="BG448"/>
  <c r="BF448"/>
  <c r="T448"/>
  <c r="R448"/>
  <c r="P448"/>
  <c r="BI444"/>
  <c r="BH444"/>
  <c r="BG444"/>
  <c r="BF444"/>
  <c r="T444"/>
  <c r="R444"/>
  <c r="P444"/>
  <c r="BI442"/>
  <c r="BH442"/>
  <c r="BG442"/>
  <c r="BF442"/>
  <c r="T442"/>
  <c r="R442"/>
  <c r="P442"/>
  <c r="BI440"/>
  <c r="BH440"/>
  <c r="BG440"/>
  <c r="BF440"/>
  <c r="T440"/>
  <c r="R440"/>
  <c r="P440"/>
  <c r="BI438"/>
  <c r="BH438"/>
  <c r="BG438"/>
  <c r="BF438"/>
  <c r="T438"/>
  <c r="R438"/>
  <c r="P438"/>
  <c r="BI436"/>
  <c r="BH436"/>
  <c r="BG436"/>
  <c r="BF436"/>
  <c r="T436"/>
  <c r="R436"/>
  <c r="P436"/>
  <c r="BI434"/>
  <c r="BH434"/>
  <c r="BG434"/>
  <c r="BF434"/>
  <c r="T434"/>
  <c r="R434"/>
  <c r="P434"/>
  <c r="BI431"/>
  <c r="BH431"/>
  <c r="BG431"/>
  <c r="BF431"/>
  <c r="T431"/>
  <c r="R431"/>
  <c r="P431"/>
  <c r="BI429"/>
  <c r="BH429"/>
  <c r="BG429"/>
  <c r="BF429"/>
  <c r="T429"/>
  <c r="R429"/>
  <c r="P429"/>
  <c r="BI426"/>
  <c r="BH426"/>
  <c r="BG426"/>
  <c r="BF426"/>
  <c r="T426"/>
  <c r="R426"/>
  <c r="P426"/>
  <c r="BI424"/>
  <c r="BH424"/>
  <c r="BG424"/>
  <c r="BF424"/>
  <c r="T424"/>
  <c r="R424"/>
  <c r="P424"/>
  <c r="BI421"/>
  <c r="BH421"/>
  <c r="BG421"/>
  <c r="BF421"/>
  <c r="T421"/>
  <c r="R421"/>
  <c r="P421"/>
  <c r="BI417"/>
  <c r="BH417"/>
  <c r="BG417"/>
  <c r="BF417"/>
  <c r="T417"/>
  <c r="R417"/>
  <c r="P417"/>
  <c r="BI414"/>
  <c r="BH414"/>
  <c r="BG414"/>
  <c r="BF414"/>
  <c r="T414"/>
  <c r="R414"/>
  <c r="P414"/>
  <c r="BI412"/>
  <c r="BH412"/>
  <c r="BG412"/>
  <c r="BF412"/>
  <c r="T412"/>
  <c r="R412"/>
  <c r="P412"/>
  <c r="BI409"/>
  <c r="BH409"/>
  <c r="BG409"/>
  <c r="BF409"/>
  <c r="T409"/>
  <c r="R409"/>
  <c r="P409"/>
  <c r="BI407"/>
  <c r="BH407"/>
  <c r="BG407"/>
  <c r="BF407"/>
  <c r="T407"/>
  <c r="R407"/>
  <c r="P407"/>
  <c r="BI405"/>
  <c r="BH405"/>
  <c r="BG405"/>
  <c r="BF405"/>
  <c r="T405"/>
  <c r="R405"/>
  <c r="P405"/>
  <c r="BI402"/>
  <c r="BH402"/>
  <c r="BG402"/>
  <c r="BF402"/>
  <c r="T402"/>
  <c r="R402"/>
  <c r="P402"/>
  <c r="BI401"/>
  <c r="BH401"/>
  <c r="BG401"/>
  <c r="BF401"/>
  <c r="T401"/>
  <c r="R401"/>
  <c r="P401"/>
  <c r="BI398"/>
  <c r="BH398"/>
  <c r="BG398"/>
  <c r="BF398"/>
  <c r="T398"/>
  <c r="R398"/>
  <c r="P398"/>
  <c r="BI397"/>
  <c r="BH397"/>
  <c r="BG397"/>
  <c r="BF397"/>
  <c r="T397"/>
  <c r="R397"/>
  <c r="P397"/>
  <c r="BI396"/>
  <c r="BH396"/>
  <c r="BG396"/>
  <c r="BF396"/>
  <c r="T396"/>
  <c r="R396"/>
  <c r="P396"/>
  <c r="BI393"/>
  <c r="BH393"/>
  <c r="BG393"/>
  <c r="BF393"/>
  <c r="T393"/>
  <c r="R393"/>
  <c r="P393"/>
  <c r="BI390"/>
  <c r="BH390"/>
  <c r="BG390"/>
  <c r="BF390"/>
  <c r="T390"/>
  <c r="R390"/>
  <c r="P390"/>
  <c r="BI387"/>
  <c r="BH387"/>
  <c r="BG387"/>
  <c r="BF387"/>
  <c r="T387"/>
  <c r="R387"/>
  <c r="P387"/>
  <c r="BI385"/>
  <c r="BH385"/>
  <c r="BG385"/>
  <c r="BF385"/>
  <c r="T385"/>
  <c r="R385"/>
  <c r="P385"/>
  <c r="BI382"/>
  <c r="BH382"/>
  <c r="BG382"/>
  <c r="BF382"/>
  <c r="T382"/>
  <c r="R382"/>
  <c r="P382"/>
  <c r="BI379"/>
  <c r="BH379"/>
  <c r="BG379"/>
  <c r="BF379"/>
  <c r="T379"/>
  <c r="R379"/>
  <c r="P379"/>
  <c r="BI376"/>
  <c r="BH376"/>
  <c r="BG376"/>
  <c r="BF376"/>
  <c r="T376"/>
  <c r="R376"/>
  <c r="P376"/>
  <c r="BI373"/>
  <c r="BH373"/>
  <c r="BG373"/>
  <c r="BF373"/>
  <c r="T373"/>
  <c r="T372"/>
  <c r="R373"/>
  <c r="R372"/>
  <c r="P373"/>
  <c r="P372"/>
  <c r="BI371"/>
  <c r="BH371"/>
  <c r="BG371"/>
  <c r="BF371"/>
  <c r="T371"/>
  <c r="R371"/>
  <c r="P371"/>
  <c r="BI370"/>
  <c r="BH370"/>
  <c r="BG370"/>
  <c r="BF370"/>
  <c r="T370"/>
  <c r="R370"/>
  <c r="P370"/>
  <c r="BI368"/>
  <c r="BH368"/>
  <c r="BG368"/>
  <c r="BF368"/>
  <c r="T368"/>
  <c r="R368"/>
  <c r="P368"/>
  <c r="BI366"/>
  <c r="BH366"/>
  <c r="BG366"/>
  <c r="BF366"/>
  <c r="T366"/>
  <c r="R366"/>
  <c r="P366"/>
  <c r="BI363"/>
  <c r="BH363"/>
  <c r="BG363"/>
  <c r="BF363"/>
  <c r="T363"/>
  <c r="R363"/>
  <c r="P363"/>
  <c r="BI359"/>
  <c r="BH359"/>
  <c r="BG359"/>
  <c r="BF359"/>
  <c r="T359"/>
  <c r="R359"/>
  <c r="P359"/>
  <c r="BI357"/>
  <c r="BH357"/>
  <c r="BG357"/>
  <c r="BF357"/>
  <c r="T357"/>
  <c r="R357"/>
  <c r="P357"/>
  <c r="BI355"/>
  <c r="BH355"/>
  <c r="BG355"/>
  <c r="BF355"/>
  <c r="T355"/>
  <c r="R355"/>
  <c r="P355"/>
  <c r="BI353"/>
  <c r="BH353"/>
  <c r="BG353"/>
  <c r="BF353"/>
  <c r="T353"/>
  <c r="R353"/>
  <c r="P353"/>
  <c r="BI348"/>
  <c r="BH348"/>
  <c r="BG348"/>
  <c r="BF348"/>
  <c r="T348"/>
  <c r="R348"/>
  <c r="P348"/>
  <c r="BI347"/>
  <c r="BH347"/>
  <c r="BG347"/>
  <c r="BF347"/>
  <c r="T347"/>
  <c r="R347"/>
  <c r="P347"/>
  <c r="BI342"/>
  <c r="BH342"/>
  <c r="BG342"/>
  <c r="BF342"/>
  <c r="T342"/>
  <c r="R342"/>
  <c r="P342"/>
  <c r="BI339"/>
  <c r="BH339"/>
  <c r="BG339"/>
  <c r="BF339"/>
  <c r="T339"/>
  <c r="R339"/>
  <c r="P339"/>
  <c r="BI337"/>
  <c r="BH337"/>
  <c r="BG337"/>
  <c r="BF337"/>
  <c r="T337"/>
  <c r="R337"/>
  <c r="P337"/>
  <c r="BI335"/>
  <c r="BH335"/>
  <c r="BG335"/>
  <c r="BF335"/>
  <c r="T335"/>
  <c r="R335"/>
  <c r="P335"/>
  <c r="BI331"/>
  <c r="BH331"/>
  <c r="BG331"/>
  <c r="BF331"/>
  <c r="T331"/>
  <c r="R331"/>
  <c r="P331"/>
  <c r="BI327"/>
  <c r="BH327"/>
  <c r="BG327"/>
  <c r="BF327"/>
  <c r="T327"/>
  <c r="R327"/>
  <c r="P327"/>
  <c r="BI319"/>
  <c r="BH319"/>
  <c r="BG319"/>
  <c r="BF319"/>
  <c r="T319"/>
  <c r="R319"/>
  <c r="P319"/>
  <c r="BI318"/>
  <c r="BH318"/>
  <c r="BG318"/>
  <c r="BF318"/>
  <c r="T318"/>
  <c r="R318"/>
  <c r="P318"/>
  <c r="BI315"/>
  <c r="BH315"/>
  <c r="BG315"/>
  <c r="BF315"/>
  <c r="T315"/>
  <c r="R315"/>
  <c r="P315"/>
  <c r="BI311"/>
  <c r="BH311"/>
  <c r="BG311"/>
  <c r="BF311"/>
  <c r="T311"/>
  <c r="R311"/>
  <c r="P311"/>
  <c r="BI310"/>
  <c r="BH310"/>
  <c r="BG310"/>
  <c r="BF310"/>
  <c r="T310"/>
  <c r="R310"/>
  <c r="P310"/>
  <c r="BI309"/>
  <c r="BH309"/>
  <c r="BG309"/>
  <c r="BF309"/>
  <c r="T309"/>
  <c r="R309"/>
  <c r="P309"/>
  <c r="BI306"/>
  <c r="BH306"/>
  <c r="BG306"/>
  <c r="BF306"/>
  <c r="T306"/>
  <c r="R306"/>
  <c r="P306"/>
  <c r="BI302"/>
  <c r="BH302"/>
  <c r="BG302"/>
  <c r="BF302"/>
  <c r="T302"/>
  <c r="R302"/>
  <c r="P302"/>
  <c r="BI300"/>
  <c r="BH300"/>
  <c r="BG300"/>
  <c r="BF300"/>
  <c r="T300"/>
  <c r="R300"/>
  <c r="P300"/>
  <c r="BI297"/>
  <c r="BH297"/>
  <c r="BG297"/>
  <c r="BF297"/>
  <c r="T297"/>
  <c r="R297"/>
  <c r="P297"/>
  <c r="BI295"/>
  <c r="BH295"/>
  <c r="BG295"/>
  <c r="BF295"/>
  <c r="T295"/>
  <c r="R295"/>
  <c r="P295"/>
  <c r="BI293"/>
  <c r="BH293"/>
  <c r="BG293"/>
  <c r="BF293"/>
  <c r="T293"/>
  <c r="R293"/>
  <c r="P293"/>
  <c r="BI290"/>
  <c r="BH290"/>
  <c r="BG290"/>
  <c r="BF290"/>
  <c r="T290"/>
  <c r="R290"/>
  <c r="P290"/>
  <c r="BI286"/>
  <c r="BH286"/>
  <c r="BG286"/>
  <c r="BF286"/>
  <c r="T286"/>
  <c r="R286"/>
  <c r="P286"/>
  <c r="BI283"/>
  <c r="BH283"/>
  <c r="BG283"/>
  <c r="BF283"/>
  <c r="T283"/>
  <c r="R283"/>
  <c r="P283"/>
  <c r="BI279"/>
  <c r="BH279"/>
  <c r="BG279"/>
  <c r="BF279"/>
  <c r="T279"/>
  <c r="R279"/>
  <c r="P279"/>
  <c r="BI275"/>
  <c r="BH275"/>
  <c r="BG275"/>
  <c r="BF275"/>
  <c r="T275"/>
  <c r="R275"/>
  <c r="P275"/>
  <c r="BI272"/>
  <c r="BH272"/>
  <c r="BG272"/>
  <c r="BF272"/>
  <c r="T272"/>
  <c r="T271"/>
  <c r="R272"/>
  <c r="R271"/>
  <c r="P272"/>
  <c r="P271"/>
  <c r="BI270"/>
  <c r="BH270"/>
  <c r="BG270"/>
  <c r="BF270"/>
  <c r="T270"/>
  <c r="R270"/>
  <c r="P270"/>
  <c r="BI268"/>
  <c r="BH268"/>
  <c r="BG268"/>
  <c r="BF268"/>
  <c r="T268"/>
  <c r="R268"/>
  <c r="P268"/>
  <c r="BI267"/>
  <c r="BH267"/>
  <c r="BG267"/>
  <c r="BF267"/>
  <c r="T267"/>
  <c r="R267"/>
  <c r="P267"/>
  <c r="BI265"/>
  <c r="BH265"/>
  <c r="BG265"/>
  <c r="BF265"/>
  <c r="T265"/>
  <c r="R265"/>
  <c r="P265"/>
  <c r="BI263"/>
  <c r="BH263"/>
  <c r="BG263"/>
  <c r="BF263"/>
  <c r="T263"/>
  <c r="R263"/>
  <c r="P263"/>
  <c r="BI262"/>
  <c r="BH262"/>
  <c r="BG262"/>
  <c r="BF262"/>
  <c r="T262"/>
  <c r="R262"/>
  <c r="P262"/>
  <c r="BI259"/>
  <c r="BH259"/>
  <c r="BG259"/>
  <c r="BF259"/>
  <c r="T259"/>
  <c r="R259"/>
  <c r="P259"/>
  <c r="BI254"/>
  <c r="BH254"/>
  <c r="BG254"/>
  <c r="BF254"/>
  <c r="T254"/>
  <c r="R254"/>
  <c r="P254"/>
  <c r="BI253"/>
  <c r="BH253"/>
  <c r="BG253"/>
  <c r="BF253"/>
  <c r="T253"/>
  <c r="R253"/>
  <c r="P253"/>
  <c r="BI250"/>
  <c r="BH250"/>
  <c r="BG250"/>
  <c r="BF250"/>
  <c r="T250"/>
  <c r="R250"/>
  <c r="P250"/>
  <c r="BI247"/>
  <c r="BH247"/>
  <c r="BG247"/>
  <c r="BF247"/>
  <c r="T247"/>
  <c r="R247"/>
  <c r="P247"/>
  <c r="BI246"/>
  <c r="BH246"/>
  <c r="BG246"/>
  <c r="BF246"/>
  <c r="T246"/>
  <c r="R246"/>
  <c r="P246"/>
  <c r="BI242"/>
  <c r="BH242"/>
  <c r="BG242"/>
  <c r="BF242"/>
  <c r="T242"/>
  <c r="R242"/>
  <c r="P242"/>
  <c r="BI237"/>
  <c r="BH237"/>
  <c r="BG237"/>
  <c r="BF237"/>
  <c r="T237"/>
  <c r="R237"/>
  <c r="P237"/>
  <c r="BI235"/>
  <c r="BH235"/>
  <c r="BG235"/>
  <c r="BF235"/>
  <c r="T235"/>
  <c r="R235"/>
  <c r="P235"/>
  <c r="BI233"/>
  <c r="BH233"/>
  <c r="BG233"/>
  <c r="BF233"/>
  <c r="T233"/>
  <c r="R233"/>
  <c r="P233"/>
  <c r="BI232"/>
  <c r="BH232"/>
  <c r="BG232"/>
  <c r="BF232"/>
  <c r="T232"/>
  <c r="R232"/>
  <c r="P232"/>
  <c r="BI229"/>
  <c r="BH229"/>
  <c r="BG229"/>
  <c r="BF229"/>
  <c r="T229"/>
  <c r="R229"/>
  <c r="P229"/>
  <c r="BI226"/>
  <c r="BH226"/>
  <c r="BG226"/>
  <c r="BF226"/>
  <c r="T226"/>
  <c r="R226"/>
  <c r="P226"/>
  <c r="BI223"/>
  <c r="BH223"/>
  <c r="BG223"/>
  <c r="BF223"/>
  <c r="T223"/>
  <c r="R223"/>
  <c r="P223"/>
  <c r="BI220"/>
  <c r="BH220"/>
  <c r="BG220"/>
  <c r="BF220"/>
  <c r="T220"/>
  <c r="R220"/>
  <c r="P220"/>
  <c r="BI218"/>
  <c r="BH218"/>
  <c r="BG218"/>
  <c r="BF218"/>
  <c r="T218"/>
  <c r="R218"/>
  <c r="P218"/>
  <c r="BI217"/>
  <c r="BH217"/>
  <c r="BG217"/>
  <c r="BF217"/>
  <c r="T217"/>
  <c r="R217"/>
  <c r="P217"/>
  <c r="BI214"/>
  <c r="BH214"/>
  <c r="BG214"/>
  <c r="BF214"/>
  <c r="T214"/>
  <c r="R214"/>
  <c r="P214"/>
  <c r="BI211"/>
  <c r="BH211"/>
  <c r="BG211"/>
  <c r="BF211"/>
  <c r="T211"/>
  <c r="R211"/>
  <c r="P211"/>
  <c r="BI209"/>
  <c r="BH209"/>
  <c r="BG209"/>
  <c r="BF209"/>
  <c r="T209"/>
  <c r="R209"/>
  <c r="P209"/>
  <c r="BI207"/>
  <c r="BH207"/>
  <c r="BG207"/>
  <c r="BF207"/>
  <c r="T207"/>
  <c r="R207"/>
  <c r="P207"/>
  <c r="BI204"/>
  <c r="BH204"/>
  <c r="BG204"/>
  <c r="BF204"/>
  <c r="T204"/>
  <c r="R204"/>
  <c r="P204"/>
  <c r="BI203"/>
  <c r="BH203"/>
  <c r="BG203"/>
  <c r="BF203"/>
  <c r="T203"/>
  <c r="R203"/>
  <c r="P203"/>
  <c r="BI199"/>
  <c r="BH199"/>
  <c r="BG199"/>
  <c r="BF199"/>
  <c r="T199"/>
  <c r="R199"/>
  <c r="P199"/>
  <c r="BI195"/>
  <c r="BH195"/>
  <c r="BG195"/>
  <c r="BF195"/>
  <c r="T195"/>
  <c r="R195"/>
  <c r="P195"/>
  <c r="BI193"/>
  <c r="BH193"/>
  <c r="BG193"/>
  <c r="BF193"/>
  <c r="T193"/>
  <c r="R193"/>
  <c r="P193"/>
  <c r="BI192"/>
  <c r="BH192"/>
  <c r="BG192"/>
  <c r="BF192"/>
  <c r="T192"/>
  <c r="R192"/>
  <c r="P192"/>
  <c r="BI190"/>
  <c r="BH190"/>
  <c r="BG190"/>
  <c r="BF190"/>
  <c r="T190"/>
  <c r="R190"/>
  <c r="P190"/>
  <c r="BI188"/>
  <c r="BH188"/>
  <c r="BG188"/>
  <c r="BF188"/>
  <c r="T188"/>
  <c r="R188"/>
  <c r="P188"/>
  <c r="BI186"/>
  <c r="BH186"/>
  <c r="BG186"/>
  <c r="BF186"/>
  <c r="T186"/>
  <c r="R186"/>
  <c r="P186"/>
  <c r="BI183"/>
  <c r="BH183"/>
  <c r="BG183"/>
  <c r="BF183"/>
  <c r="T183"/>
  <c r="R183"/>
  <c r="P183"/>
  <c r="BI180"/>
  <c r="BH180"/>
  <c r="BG180"/>
  <c r="BF180"/>
  <c r="T180"/>
  <c r="R180"/>
  <c r="P180"/>
  <c r="BI178"/>
  <c r="BH178"/>
  <c r="BG178"/>
  <c r="BF178"/>
  <c r="T178"/>
  <c r="R178"/>
  <c r="P178"/>
  <c r="BI176"/>
  <c r="BH176"/>
  <c r="BG176"/>
  <c r="BF176"/>
  <c r="T176"/>
  <c r="R176"/>
  <c r="P176"/>
  <c r="BI174"/>
  <c r="BH174"/>
  <c r="BG174"/>
  <c r="BF174"/>
  <c r="T174"/>
  <c r="R174"/>
  <c r="P174"/>
  <c r="BI171"/>
  <c r="BH171"/>
  <c r="BG171"/>
  <c r="BF171"/>
  <c r="T171"/>
  <c r="R171"/>
  <c r="P171"/>
  <c r="BI168"/>
  <c r="BH168"/>
  <c r="BG168"/>
  <c r="BF168"/>
  <c r="T168"/>
  <c r="R168"/>
  <c r="P168"/>
  <c r="BI164"/>
  <c r="BH164"/>
  <c r="BG164"/>
  <c r="BF164"/>
  <c r="T164"/>
  <c r="R164"/>
  <c r="P164"/>
  <c r="BI162"/>
  <c r="BH162"/>
  <c r="BG162"/>
  <c r="BF162"/>
  <c r="T162"/>
  <c r="R162"/>
  <c r="P162"/>
  <c r="BI158"/>
  <c r="BH158"/>
  <c r="BG158"/>
  <c r="BF158"/>
  <c r="T158"/>
  <c r="R158"/>
  <c r="P158"/>
  <c r="BI156"/>
  <c r="BH156"/>
  <c r="BG156"/>
  <c r="BF156"/>
  <c r="T156"/>
  <c r="R156"/>
  <c r="P156"/>
  <c r="BI154"/>
  <c r="BH154"/>
  <c r="BG154"/>
  <c r="BF154"/>
  <c r="T154"/>
  <c r="R154"/>
  <c r="P154"/>
  <c r="BI148"/>
  <c r="BH148"/>
  <c r="BG148"/>
  <c r="BF148"/>
  <c r="T148"/>
  <c r="R148"/>
  <c r="P148"/>
  <c r="BI145"/>
  <c r="BH145"/>
  <c r="BG145"/>
  <c r="BF145"/>
  <c r="T145"/>
  <c r="R145"/>
  <c r="P145"/>
  <c r="J139"/>
  <c r="J138"/>
  <c r="F138"/>
  <c r="F136"/>
  <c r="E134"/>
  <c r="J92"/>
  <c r="J91"/>
  <c r="F91"/>
  <c r="F89"/>
  <c r="E87"/>
  <c r="J18"/>
  <c r="E18"/>
  <c r="F92"/>
  <c r="J17"/>
  <c r="J12"/>
  <c r="J136"/>
  <c r="E7"/>
  <c r="E132"/>
  <c i="1" r="L90"/>
  <c r="AM90"/>
  <c r="AM89"/>
  <c r="L89"/>
  <c r="AM87"/>
  <c r="L87"/>
  <c r="L85"/>
  <c r="L84"/>
  <c i="2" r="J885"/>
  <c r="BK871"/>
  <c r="BK868"/>
  <c r="J867"/>
  <c r="J861"/>
  <c r="BK856"/>
  <c r="J854"/>
  <c r="BK850"/>
  <c r="BK849"/>
  <c r="J847"/>
  <c r="BK844"/>
  <c r="BK811"/>
  <c r="J801"/>
  <c r="BK784"/>
  <c r="J773"/>
  <c r="J758"/>
  <c r="BK737"/>
  <c r="J729"/>
  <c r="J723"/>
  <c r="BK699"/>
  <c r="J693"/>
  <c r="J686"/>
  <c r="BK669"/>
  <c r="BK659"/>
  <c r="J651"/>
  <c r="BK644"/>
  <c r="J593"/>
  <c r="BK574"/>
  <c r="BK547"/>
  <c r="BK499"/>
  <c r="BK482"/>
  <c r="J475"/>
  <c r="BK463"/>
  <c r="J451"/>
  <c r="J421"/>
  <c r="BK397"/>
  <c r="J382"/>
  <c r="BK368"/>
  <c r="BK327"/>
  <c r="J302"/>
  <c r="J286"/>
  <c r="BK259"/>
  <c r="BK246"/>
  <c r="BK204"/>
  <c r="J192"/>
  <c r="BK180"/>
  <c r="BK145"/>
  <c r="J879"/>
  <c r="J838"/>
  <c r="J784"/>
  <c r="J745"/>
  <c r="BK716"/>
  <c r="J705"/>
  <c r="J646"/>
  <c r="BK610"/>
  <c r="BK561"/>
  <c r="J553"/>
  <c r="BK532"/>
  <c r="J517"/>
  <c r="J507"/>
  <c r="BK475"/>
  <c r="J448"/>
  <c r="J438"/>
  <c r="BK421"/>
  <c r="BK409"/>
  <c r="BK398"/>
  <c r="J393"/>
  <c r="J373"/>
  <c r="BK359"/>
  <c r="BK342"/>
  <c r="J335"/>
  <c r="J295"/>
  <c r="BK275"/>
  <c r="BK254"/>
  <c r="BK237"/>
  <c r="J218"/>
  <c r="J211"/>
  <c r="BK174"/>
  <c r="BK156"/>
  <c r="J881"/>
  <c r="BK834"/>
  <c r="J821"/>
  <c r="J813"/>
  <c r="BK797"/>
  <c r="J790"/>
  <c r="BK768"/>
  <c r="BK731"/>
  <c r="BK719"/>
  <c r="BK714"/>
  <c r="BK708"/>
  <c r="BK693"/>
  <c r="J682"/>
  <c r="J669"/>
  <c r="J664"/>
  <c r="J590"/>
  <c r="J571"/>
  <c r="BK555"/>
  <c r="BK543"/>
  <c r="BK527"/>
  <c r="BK517"/>
  <c r="J496"/>
  <c r="J444"/>
  <c r="BK426"/>
  <c r="J414"/>
  <c r="J398"/>
  <c r="J357"/>
  <c r="J337"/>
  <c r="BK315"/>
  <c r="BK283"/>
  <c r="BK262"/>
  <c r="BK233"/>
  <c r="BK207"/>
  <c r="BK193"/>
  <c r="BK178"/>
  <c r="J158"/>
  <c r="BK891"/>
  <c r="BK881"/>
  <c r="J834"/>
  <c r="BK821"/>
  <c r="BK815"/>
  <c r="BK801"/>
  <c r="BK788"/>
  <c r="J765"/>
  <c r="BK723"/>
  <c r="J718"/>
  <c r="J708"/>
  <c r="BK688"/>
  <c r="BK670"/>
  <c r="BK667"/>
  <c r="J662"/>
  <c r="J608"/>
  <c r="J547"/>
  <c r="J509"/>
  <c r="J490"/>
  <c r="BK459"/>
  <c r="J431"/>
  <c r="BK424"/>
  <c r="J387"/>
  <c r="BK355"/>
  <c r="J342"/>
  <c r="J331"/>
  <c r="J309"/>
  <c r="BK295"/>
  <c r="J279"/>
  <c r="BK265"/>
  <c r="BK247"/>
  <c r="J233"/>
  <c r="J220"/>
  <c r="J209"/>
  <c r="J186"/>
  <c r="J174"/>
  <c i="3" r="BK442"/>
  <c r="BK424"/>
  <c r="BK417"/>
  <c r="J410"/>
  <c r="BK399"/>
  <c r="J386"/>
  <c r="J374"/>
  <c r="J344"/>
  <c r="J331"/>
  <c r="BK316"/>
  <c r="BK302"/>
  <c r="J297"/>
  <c r="J289"/>
  <c r="BK258"/>
  <c r="J238"/>
  <c r="J230"/>
  <c r="BK217"/>
  <c r="BK209"/>
  <c r="BK187"/>
  <c r="J157"/>
  <c r="BK137"/>
  <c r="BK438"/>
  <c r="BK428"/>
  <c r="J417"/>
  <c r="J409"/>
  <c r="BK400"/>
  <c r="BK392"/>
  <c r="BK374"/>
  <c r="BK364"/>
  <c r="J342"/>
  <c r="J324"/>
  <c r="J311"/>
  <c r="J304"/>
  <c r="J274"/>
  <c r="J258"/>
  <c r="J233"/>
  <c r="J183"/>
  <c r="J166"/>
  <c r="J451"/>
  <c r="J437"/>
  <c r="J424"/>
  <c r="BK414"/>
  <c r="BK410"/>
  <c r="J402"/>
  <c r="J389"/>
  <c r="BK376"/>
  <c r="J352"/>
  <c r="BK328"/>
  <c r="J314"/>
  <c r="J306"/>
  <c r="J284"/>
  <c r="BK250"/>
  <c r="J236"/>
  <c r="J206"/>
  <c r="J194"/>
  <c r="BK183"/>
  <c r="BK168"/>
  <c r="J160"/>
  <c r="J143"/>
  <c r="BK423"/>
  <c r="BK407"/>
  <c r="J399"/>
  <c r="J360"/>
  <c r="BK343"/>
  <c r="BK334"/>
  <c r="J327"/>
  <c r="J320"/>
  <c r="BK300"/>
  <c r="BK284"/>
  <c r="BK274"/>
  <c r="J250"/>
  <c r="BK240"/>
  <c r="J223"/>
  <c r="J213"/>
  <c r="BK194"/>
  <c r="J177"/>
  <c r="BK166"/>
  <c r="J151"/>
  <c i="4" r="J136"/>
  <c r="J125"/>
  <c r="J131"/>
  <c r="BK124"/>
  <c i="5" r="BK384"/>
  <c r="BK376"/>
  <c r="BK356"/>
  <c r="J346"/>
  <c r="BK342"/>
  <c r="BK325"/>
  <c r="BK306"/>
  <c r="J288"/>
  <c r="BK278"/>
  <c r="BK266"/>
  <c r="J256"/>
  <c r="J249"/>
  <c r="BK235"/>
  <c r="BK222"/>
  <c r="J208"/>
  <c r="BK184"/>
  <c r="J172"/>
  <c r="BK160"/>
  <c r="J155"/>
  <c r="BK137"/>
  <c r="J379"/>
  <c r="BK366"/>
  <c r="J348"/>
  <c r="J325"/>
  <c r="BK299"/>
  <c r="BK274"/>
  <c r="J262"/>
  <c r="BK255"/>
  <c r="J246"/>
  <c r="J240"/>
  <c r="BK228"/>
  <c r="J218"/>
  <c r="J205"/>
  <c r="J190"/>
  <c r="BK167"/>
  <c r="BK146"/>
  <c r="J135"/>
  <c r="BK382"/>
  <c r="J362"/>
  <c r="J351"/>
  <c r="BK335"/>
  <c r="J316"/>
  <c r="BK293"/>
  <c r="J284"/>
  <c r="BK267"/>
  <c r="BK252"/>
  <c r="J239"/>
  <c r="BK221"/>
  <c r="BK203"/>
  <c r="BK181"/>
  <c r="J163"/>
  <c r="J152"/>
  <c r="BK134"/>
  <c r="BK385"/>
  <c r="J369"/>
  <c r="J352"/>
  <c r="J335"/>
  <c r="J320"/>
  <c r="J304"/>
  <c r="J295"/>
  <c r="BK286"/>
  <c r="J274"/>
  <c r="J266"/>
  <c r="BK256"/>
  <c r="BK244"/>
  <c r="BK219"/>
  <c r="BK211"/>
  <c r="BK199"/>
  <c r="BK177"/>
  <c r="J160"/>
  <c r="J146"/>
  <c r="J134"/>
  <c i="6" r="J176"/>
  <c r="BK171"/>
  <c r="BK150"/>
  <c r="BK165"/>
  <c r="J153"/>
  <c r="J186"/>
  <c r="J182"/>
  <c r="BK175"/>
  <c r="J156"/>
  <c r="J129"/>
  <c r="J165"/>
  <c r="BK160"/>
  <c r="BK139"/>
  <c r="BK127"/>
  <c i="7" r="J166"/>
  <c r="J151"/>
  <c r="J177"/>
  <c r="BK161"/>
  <c r="J144"/>
  <c r="J174"/>
  <c r="BK163"/>
  <c r="J139"/>
  <c r="BK129"/>
  <c r="BK168"/>
  <c r="J154"/>
  <c r="BK134"/>
  <c i="8" r="BK126"/>
  <c r="J122"/>
  <c r="BK121"/>
  <c i="9" r="J136"/>
  <c r="BK127"/>
  <c r="J137"/>
  <c r="J135"/>
  <c r="J127"/>
  <c i="2" r="J887"/>
  <c r="BK874"/>
  <c r="J871"/>
  <c r="BK867"/>
  <c r="J865"/>
  <c r="BK859"/>
  <c r="J856"/>
  <c r="BK851"/>
  <c r="J850"/>
  <c r="J849"/>
  <c r="BK845"/>
  <c r="BK841"/>
  <c r="BK803"/>
  <c r="BK785"/>
  <c r="J778"/>
  <c r="J771"/>
  <c r="BK745"/>
  <c r="J741"/>
  <c r="J725"/>
  <c r="BK705"/>
  <c r="BK697"/>
  <c r="J688"/>
  <c r="J671"/>
  <c r="BK662"/>
  <c r="BK654"/>
  <c r="BK646"/>
  <c r="BK625"/>
  <c r="J578"/>
  <c r="BK553"/>
  <c r="BK523"/>
  <c r="J512"/>
  <c r="BK480"/>
  <c r="J472"/>
  <c r="J459"/>
  <c r="BK440"/>
  <c r="BK407"/>
  <c r="BK385"/>
  <c r="BK363"/>
  <c r="J318"/>
  <c r="J293"/>
  <c r="BK272"/>
  <c r="J253"/>
  <c r="BK209"/>
  <c r="J193"/>
  <c r="J188"/>
  <c r="J164"/>
  <c i="1" r="AS94"/>
  <c i="2" r="BK721"/>
  <c r="J667"/>
  <c r="J659"/>
  <c r="J625"/>
  <c r="J587"/>
  <c r="J555"/>
  <c r="J535"/>
  <c r="BK509"/>
  <c r="J487"/>
  <c r="J480"/>
  <c r="BK466"/>
  <c r="J440"/>
  <c r="J429"/>
  <c r="BK405"/>
  <c r="J396"/>
  <c r="BK390"/>
  <c r="J371"/>
  <c r="BK339"/>
  <c r="BK311"/>
  <c r="BK290"/>
  <c r="J272"/>
  <c r="BK253"/>
  <c r="J226"/>
  <c r="BK217"/>
  <c r="BK188"/>
  <c r="J168"/>
  <c r="BK894"/>
  <c r="J841"/>
  <c r="J828"/>
  <c r="J815"/>
  <c r="J795"/>
  <c r="J785"/>
  <c r="J737"/>
  <c r="BK720"/>
  <c r="J716"/>
  <c r="J699"/>
  <c r="BK695"/>
  <c r="BK684"/>
  <c r="BK666"/>
  <c r="J648"/>
  <c r="BK587"/>
  <c r="J561"/>
  <c r="J545"/>
  <c r="J532"/>
  <c r="J523"/>
  <c r="BK504"/>
  <c r="J463"/>
  <c r="BK436"/>
  <c r="J409"/>
  <c r="J401"/>
  <c r="J363"/>
  <c r="J353"/>
  <c r="J327"/>
  <c r="BK306"/>
  <c r="J268"/>
  <c r="J235"/>
  <c r="J214"/>
  <c r="J195"/>
  <c r="J183"/>
  <c r="BK164"/>
  <c r="J894"/>
  <c r="BK883"/>
  <c r="J836"/>
  <c r="BK824"/>
  <c r="BK817"/>
  <c r="J808"/>
  <c r="BK795"/>
  <c r="BK773"/>
  <c r="BK738"/>
  <c r="J721"/>
  <c r="J714"/>
  <c r="J704"/>
  <c r="J690"/>
  <c r="BK671"/>
  <c r="BK664"/>
  <c r="BK651"/>
  <c r="BK593"/>
  <c r="J543"/>
  <c r="BK496"/>
  <c r="J456"/>
  <c r="BK429"/>
  <c r="J412"/>
  <c r="J385"/>
  <c r="BK371"/>
  <c r="J347"/>
  <c r="BK335"/>
  <c r="J306"/>
  <c r="BK286"/>
  <c r="J270"/>
  <c r="J263"/>
  <c r="BK242"/>
  <c r="BK232"/>
  <c r="BK211"/>
  <c r="BK192"/>
  <c r="J171"/>
  <c i="3" r="BK444"/>
  <c r="BK427"/>
  <c r="J419"/>
  <c r="J407"/>
  <c r="J397"/>
  <c r="J383"/>
  <c r="BK360"/>
  <c r="J348"/>
  <c r="J340"/>
  <c r="BK314"/>
  <c r="BK299"/>
  <c r="J291"/>
  <c r="J281"/>
  <c r="J244"/>
  <c r="BK233"/>
  <c r="BK226"/>
  <c r="BK213"/>
  <c r="BK193"/>
  <c r="BK160"/>
  <c r="J149"/>
  <c r="BK451"/>
  <c r="J427"/>
  <c r="J415"/>
  <c r="BK402"/>
  <c r="BK396"/>
  <c r="BK386"/>
  <c r="BK367"/>
  <c r="J345"/>
  <c r="J318"/>
  <c r="J309"/>
  <c r="BK291"/>
  <c r="BK276"/>
  <c r="BK255"/>
  <c r="J217"/>
  <c r="BK177"/>
  <c r="BK143"/>
  <c r="BK440"/>
  <c r="BK435"/>
  <c r="BK415"/>
  <c r="BK411"/>
  <c r="BK403"/>
  <c r="BK381"/>
  <c r="BK371"/>
  <c r="J362"/>
  <c r="BK348"/>
  <c r="BK338"/>
  <c r="J323"/>
  <c r="BK309"/>
  <c r="BK296"/>
  <c r="J255"/>
  <c r="J237"/>
  <c r="J210"/>
  <c r="BK196"/>
  <c r="BK190"/>
  <c r="J171"/>
  <c r="BK155"/>
  <c r="J411"/>
  <c r="BK406"/>
  <c r="J396"/>
  <c r="J370"/>
  <c r="J338"/>
  <c r="J329"/>
  <c r="BK324"/>
  <c r="BK318"/>
  <c r="BK297"/>
  <c r="BK281"/>
  <c r="J252"/>
  <c r="BK244"/>
  <c r="J226"/>
  <c r="J215"/>
  <c r="J203"/>
  <c r="J190"/>
  <c r="J174"/>
  <c r="J155"/>
  <c r="J135"/>
  <c i="4" r="J129"/>
  <c r="J134"/>
  <c r="J127"/>
  <c r="BK127"/>
  <c i="5" r="BK378"/>
  <c r="J357"/>
  <c r="BK352"/>
  <c r="BK330"/>
  <c r="J321"/>
  <c r="J301"/>
  <c r="BK283"/>
  <c r="J270"/>
  <c r="BK260"/>
  <c r="J255"/>
  <c r="BK248"/>
  <c r="BK239"/>
  <c r="BK226"/>
  <c r="J211"/>
  <c r="BK197"/>
  <c r="J170"/>
  <c r="J158"/>
  <c r="J144"/>
  <c r="BK388"/>
  <c r="J378"/>
  <c r="J359"/>
  <c r="BK346"/>
  <c r="BK309"/>
  <c r="J286"/>
  <c r="J273"/>
  <c r="J260"/>
  <c r="J252"/>
  <c r="J242"/>
  <c r="J233"/>
  <c r="J222"/>
  <c r="BK215"/>
  <c r="BK204"/>
  <c r="BK188"/>
  <c r="BK150"/>
  <c r="J142"/>
  <c r="BK387"/>
  <c r="BK369"/>
  <c r="J356"/>
  <c r="BK339"/>
  <c r="BK320"/>
  <c r="BK304"/>
  <c r="J289"/>
  <c r="BK281"/>
  <c r="J268"/>
  <c r="BK258"/>
  <c r="BK246"/>
  <c r="J228"/>
  <c r="BK209"/>
  <c r="J201"/>
  <c r="J177"/>
  <c r="BK159"/>
  <c r="J150"/>
  <c r="BK133"/>
  <c r="BK372"/>
  <c r="J354"/>
  <c r="J339"/>
  <c r="BK323"/>
  <c r="BK314"/>
  <c r="J293"/>
  <c r="BK284"/>
  <c r="BK268"/>
  <c r="J264"/>
  <c r="BK249"/>
  <c r="J226"/>
  <c r="J215"/>
  <c r="J207"/>
  <c r="J188"/>
  <c r="BK175"/>
  <c r="BK158"/>
  <c r="BK140"/>
  <c i="6" r="BK184"/>
  <c r="BK168"/>
  <c r="J149"/>
  <c r="J173"/>
  <c r="J158"/>
  <c r="J144"/>
  <c r="J184"/>
  <c r="BK176"/>
  <c r="BK158"/>
  <c r="J139"/>
  <c r="BK182"/>
  <c r="J168"/>
  <c r="BK156"/>
  <c r="BK134"/>
  <c i="7" r="BK174"/>
  <c r="J153"/>
  <c r="J141"/>
  <c r="J172"/>
  <c r="BK154"/>
  <c r="J129"/>
  <c r="J168"/>
  <c r="BK147"/>
  <c r="J134"/>
  <c r="BK177"/>
  <c r="J161"/>
  <c r="BK139"/>
  <c i="8" r="BK124"/>
  <c r="J125"/>
  <c r="J126"/>
  <c r="J124"/>
  <c i="9" r="BK138"/>
  <c r="BK135"/>
  <c r="BK125"/>
  <c r="J134"/>
  <c r="BK141"/>
  <c r="J126"/>
  <c r="BK134"/>
  <c r="BK129"/>
  <c i="2" r="J876"/>
  <c r="J874"/>
  <c r="J868"/>
  <c r="BK865"/>
  <c r="BK861"/>
  <c r="J859"/>
  <c r="BK854"/>
  <c r="J851"/>
  <c r="BK847"/>
  <c r="J845"/>
  <c r="J844"/>
  <c r="BK808"/>
  <c r="J797"/>
  <c r="BK781"/>
  <c r="J768"/>
  <c r="BK743"/>
  <c r="J731"/>
  <c r="BK728"/>
  <c r="J719"/>
  <c r="J695"/>
  <c r="BK682"/>
  <c r="J665"/>
  <c r="BK656"/>
  <c r="BK648"/>
  <c r="BK629"/>
  <c r="J559"/>
  <c r="J539"/>
  <c r="BK515"/>
  <c r="BK490"/>
  <c r="J477"/>
  <c r="J466"/>
  <c r="BK448"/>
  <c r="BK414"/>
  <c r="BK387"/>
  <c r="BK373"/>
  <c r="BK357"/>
  <c r="J310"/>
  <c r="J297"/>
  <c r="BK270"/>
  <c r="J247"/>
  <c r="BK226"/>
  <c r="BK195"/>
  <c r="J190"/>
  <c r="J156"/>
  <c r="J883"/>
  <c r="J839"/>
  <c r="BK790"/>
  <c r="BK765"/>
  <c r="J728"/>
  <c r="BK707"/>
  <c r="J629"/>
  <c r="BK571"/>
  <c r="BK539"/>
  <c r="BK530"/>
  <c r="BK512"/>
  <c r="J485"/>
  <c r="J469"/>
  <c r="BK444"/>
  <c r="BK434"/>
  <c r="J417"/>
  <c r="J407"/>
  <c r="BK396"/>
  <c r="BK379"/>
  <c r="BK370"/>
  <c r="BK347"/>
  <c r="BK309"/>
  <c r="BK279"/>
  <c r="J267"/>
  <c r="J250"/>
  <c r="BK223"/>
  <c r="BK214"/>
  <c r="BK186"/>
  <c r="BK158"/>
  <c r="J154"/>
  <c r="BK836"/>
  <c r="J824"/>
  <c r="J817"/>
  <c r="J803"/>
  <c r="J788"/>
  <c r="BK741"/>
  <c r="BK729"/>
  <c r="BK718"/>
  <c r="BK704"/>
  <c r="J697"/>
  <c r="BK686"/>
  <c r="J670"/>
  <c r="BK663"/>
  <c r="J644"/>
  <c r="J574"/>
  <c r="BK559"/>
  <c r="BK537"/>
  <c r="J530"/>
  <c r="J520"/>
  <c r="J499"/>
  <c r="J461"/>
  <c r="J434"/>
  <c r="BK417"/>
  <c r="J405"/>
  <c r="J368"/>
  <c r="J355"/>
  <c r="BK331"/>
  <c r="J311"/>
  <c r="J275"/>
  <c r="J246"/>
  <c r="BK220"/>
  <c r="BK199"/>
  <c r="BK190"/>
  <c r="BK168"/>
  <c r="J148"/>
  <c r="J891"/>
  <c r="BK839"/>
  <c r="BK832"/>
  <c r="J820"/>
  <c r="BK813"/>
  <c r="J794"/>
  <c r="BK778"/>
  <c r="J743"/>
  <c r="BK722"/>
  <c r="J715"/>
  <c r="J707"/>
  <c r="BK674"/>
  <c r="J668"/>
  <c r="BK665"/>
  <c r="J656"/>
  <c r="J610"/>
  <c r="BK590"/>
  <c r="J525"/>
  <c r="BK477"/>
  <c r="BK451"/>
  <c r="J426"/>
  <c r="J390"/>
  <c r="J379"/>
  <c r="BK353"/>
  <c r="J339"/>
  <c r="J319"/>
  <c r="J300"/>
  <c r="J283"/>
  <c r="BK268"/>
  <c r="J262"/>
  <c r="J237"/>
  <c r="J229"/>
  <c r="BK218"/>
  <c r="J207"/>
  <c r="BK183"/>
  <c r="J180"/>
  <c r="J162"/>
  <c i="3" r="J433"/>
  <c r="J421"/>
  <c r="BK412"/>
  <c r="J401"/>
  <c r="J392"/>
  <c r="J376"/>
  <c r="BK350"/>
  <c r="BK342"/>
  <c r="BK320"/>
  <c r="BK304"/>
  <c r="J300"/>
  <c r="BK293"/>
  <c r="BK287"/>
  <c r="BK252"/>
  <c r="BK237"/>
  <c r="BK228"/>
  <c r="BK215"/>
  <c r="BK210"/>
  <c r="J176"/>
  <c r="BK145"/>
  <c r="BK135"/>
  <c r="BK437"/>
  <c r="BK421"/>
  <c r="J413"/>
  <c r="BK397"/>
  <c r="BK389"/>
  <c r="J371"/>
  <c r="BK362"/>
  <c r="J336"/>
  <c r="BK321"/>
  <c r="J308"/>
  <c r="BK289"/>
  <c r="BK273"/>
  <c r="J242"/>
  <c r="J209"/>
  <c r="BK176"/>
  <c r="BK164"/>
  <c r="J444"/>
  <c r="BK433"/>
  <c r="BK416"/>
  <c r="BK413"/>
  <c r="BK408"/>
  <c r="J400"/>
  <c r="J378"/>
  <c r="J355"/>
  <c r="BK344"/>
  <c r="BK327"/>
  <c r="J313"/>
  <c r="J299"/>
  <c r="J273"/>
  <c r="BK242"/>
  <c r="BK230"/>
  <c r="J193"/>
  <c r="BK174"/>
  <c r="BK162"/>
  <c r="BK151"/>
  <c r="BK409"/>
  <c r="J404"/>
  <c r="BK378"/>
  <c r="J358"/>
  <c r="BK340"/>
  <c r="BK331"/>
  <c r="BK323"/>
  <c r="J316"/>
  <c r="J293"/>
  <c r="J276"/>
  <c r="J265"/>
  <c r="BK246"/>
  <c r="J228"/>
  <c r="BK206"/>
  <c r="J196"/>
  <c r="J186"/>
  <c r="BK171"/>
  <c r="BK157"/>
  <c r="J137"/>
  <c i="4" r="BK131"/>
  <c r="BK136"/>
  <c r="BK125"/>
  <c r="J124"/>
  <c i="5" r="BK377"/>
  <c r="BK374"/>
  <c r="BK354"/>
  <c r="J341"/>
  <c r="J323"/>
  <c r="J312"/>
  <c r="J296"/>
  <c r="BK273"/>
  <c r="BK262"/>
  <c r="J253"/>
  <c r="J247"/>
  <c r="BK233"/>
  <c r="BK218"/>
  <c r="J204"/>
  <c r="J193"/>
  <c r="J175"/>
  <c r="BK157"/>
  <c r="J140"/>
  <c r="J384"/>
  <c r="J374"/>
  <c r="J365"/>
  <c r="BK349"/>
  <c r="BK318"/>
  <c r="BK289"/>
  <c r="BK264"/>
  <c r="J257"/>
  <c r="BK245"/>
  <c r="J235"/>
  <c r="J219"/>
  <c r="BK207"/>
  <c r="BK193"/>
  <c r="BK172"/>
  <c r="BK152"/>
  <c r="BK144"/>
  <c r="J385"/>
  <c r="J377"/>
  <c r="BK357"/>
  <c r="J349"/>
  <c r="J333"/>
  <c r="J314"/>
  <c r="BK295"/>
  <c r="J283"/>
  <c r="J279"/>
  <c r="BK265"/>
  <c r="BK247"/>
  <c r="BK242"/>
  <c r="BK231"/>
  <c r="BK208"/>
  <c r="J184"/>
  <c r="J167"/>
  <c r="BK156"/>
  <c r="BK142"/>
  <c r="J388"/>
  <c r="J380"/>
  <c r="BK362"/>
  <c r="BK348"/>
  <c r="BK333"/>
  <c r="BK321"/>
  <c r="J309"/>
  <c r="BK296"/>
  <c r="J291"/>
  <c r="J281"/>
  <c r="J267"/>
  <c r="BK257"/>
  <c r="J248"/>
  <c r="J221"/>
  <c r="J209"/>
  <c r="J197"/>
  <c r="J179"/>
  <c r="BK170"/>
  <c r="J157"/>
  <c r="J137"/>
  <c i="6" r="BK186"/>
  <c r="BK173"/>
  <c r="BK153"/>
  <c r="BK129"/>
  <c r="BK164"/>
  <c r="BK149"/>
  <c r="J141"/>
  <c r="J180"/>
  <c r="BK162"/>
  <c r="BK144"/>
  <c r="BK132"/>
  <c r="BK180"/>
  <c r="J164"/>
  <c r="J150"/>
  <c r="J132"/>
  <c i="7" r="J170"/>
  <c r="J149"/>
  <c r="J127"/>
  <c r="J164"/>
  <c r="BK141"/>
  <c r="BK164"/>
  <c r="BK144"/>
  <c r="J132"/>
  <c r="BK170"/>
  <c r="BK158"/>
  <c r="J136"/>
  <c i="8" r="BK123"/>
  <c r="J123"/>
  <c r="BK125"/>
  <c r="BK122"/>
  <c i="9" r="BK137"/>
  <c r="J131"/>
  <c r="BK140"/>
  <c r="BK133"/>
  <c r="J128"/>
  <c r="J141"/>
  <c r="BK131"/>
  <c r="BK126"/>
  <c i="2" r="J596"/>
  <c r="BK520"/>
  <c r="BK487"/>
  <c r="BK469"/>
  <c r="BK456"/>
  <c r="J436"/>
  <c r="BK401"/>
  <c r="BK376"/>
  <c r="J366"/>
  <c r="J315"/>
  <c r="BK300"/>
  <c r="J290"/>
  <c r="J265"/>
  <c r="J242"/>
  <c r="J199"/>
  <c r="J178"/>
  <c r="BK885"/>
  <c r="BK876"/>
  <c r="BK792"/>
  <c r="BK758"/>
  <c r="BK715"/>
  <c r="J666"/>
  <c r="J641"/>
  <c r="BK608"/>
  <c r="BK558"/>
  <c r="J537"/>
  <c r="J527"/>
  <c r="J504"/>
  <c r="J482"/>
  <c r="BK472"/>
  <c r="J442"/>
  <c r="BK431"/>
  <c r="BK412"/>
  <c r="J397"/>
  <c r="BK393"/>
  <c r="J376"/>
  <c r="BK366"/>
  <c r="J348"/>
  <c r="BK310"/>
  <c r="BK293"/>
  <c r="BK263"/>
  <c r="J254"/>
  <c r="BK229"/>
  <c r="J203"/>
  <c r="BK171"/>
  <c r="BK154"/>
  <c r="BK879"/>
  <c r="J832"/>
  <c r="BK820"/>
  <c r="J806"/>
  <c r="BK794"/>
  <c r="J781"/>
  <c r="J738"/>
  <c r="J722"/>
  <c r="J713"/>
  <c r="J703"/>
  <c r="BK690"/>
  <c r="J674"/>
  <c r="BK668"/>
  <c r="J654"/>
  <c r="BK578"/>
  <c r="J558"/>
  <c r="BK535"/>
  <c r="BK525"/>
  <c r="J515"/>
  <c r="BK485"/>
  <c r="BK438"/>
  <c r="J424"/>
  <c r="BK402"/>
  <c r="J359"/>
  <c r="BK319"/>
  <c r="BK302"/>
  <c r="J259"/>
  <c r="J232"/>
  <c r="BK203"/>
  <c r="J176"/>
  <c r="BK162"/>
  <c r="J145"/>
  <c r="BK887"/>
  <c r="BK838"/>
  <c r="BK828"/>
  <c r="J811"/>
  <c r="BK806"/>
  <c r="J792"/>
  <c r="BK771"/>
  <c r="BK725"/>
  <c r="J720"/>
  <c r="BK713"/>
  <c r="BK703"/>
  <c r="J684"/>
  <c r="J663"/>
  <c r="BK641"/>
  <c r="BK596"/>
  <c r="BK545"/>
  <c r="BK507"/>
  <c r="BK461"/>
  <c r="BK442"/>
  <c r="J402"/>
  <c r="BK382"/>
  <c r="J370"/>
  <c r="BK348"/>
  <c r="BK337"/>
  <c r="BK318"/>
  <c r="BK297"/>
  <c r="BK267"/>
  <c r="BK250"/>
  <c r="BK235"/>
  <c r="J223"/>
  <c r="J217"/>
  <c r="J204"/>
  <c r="BK176"/>
  <c r="BK148"/>
  <c i="3" r="J440"/>
  <c r="J423"/>
  <c r="J416"/>
  <c r="J406"/>
  <c r="J381"/>
  <c r="BK352"/>
  <c r="BK345"/>
  <c r="BK329"/>
  <c r="BK308"/>
  <c r="J301"/>
  <c r="J296"/>
  <c r="J269"/>
  <c r="J246"/>
  <c r="BK236"/>
  <c r="BK223"/>
  <c r="BK203"/>
  <c r="J180"/>
  <c r="J141"/>
  <c r="J442"/>
  <c r="J435"/>
  <c r="J414"/>
  <c r="BK401"/>
  <c r="BK394"/>
  <c r="BK383"/>
  <c r="BK370"/>
  <c r="BK358"/>
  <c r="J334"/>
  <c r="BK313"/>
  <c r="BK306"/>
  <c r="BK278"/>
  <c r="BK265"/>
  <c r="J240"/>
  <c r="BK186"/>
  <c r="J168"/>
  <c r="BK141"/>
  <c r="J438"/>
  <c r="BK419"/>
  <c r="J412"/>
  <c r="BK404"/>
  <c r="J394"/>
  <c r="J367"/>
  <c r="J350"/>
  <c r="J343"/>
  <c r="BK311"/>
  <c r="BK301"/>
  <c r="J278"/>
  <c r="BK248"/>
  <c r="J220"/>
  <c r="BK199"/>
  <c r="J187"/>
  <c r="J164"/>
  <c r="BK149"/>
  <c r="J428"/>
  <c r="J408"/>
  <c r="J403"/>
  <c r="J364"/>
  <c r="BK355"/>
  <c r="BK336"/>
  <c r="J328"/>
  <c r="J321"/>
  <c r="J302"/>
  <c r="J287"/>
  <c r="BK269"/>
  <c r="J248"/>
  <c r="BK238"/>
  <c r="BK220"/>
  <c r="J199"/>
  <c r="BK180"/>
  <c r="J162"/>
  <c r="J145"/>
  <c i="4" r="BK134"/>
  <c r="J122"/>
  <c r="BK129"/>
  <c r="BK122"/>
  <c i="5" r="BK379"/>
  <c r="BK359"/>
  <c r="J343"/>
  <c r="J328"/>
  <c r="J318"/>
  <c r="J299"/>
  <c r="BK279"/>
  <c r="J263"/>
  <c r="J258"/>
  <c r="J250"/>
  <c r="BK240"/>
  <c r="J231"/>
  <c r="J203"/>
  <c r="J181"/>
  <c r="J161"/>
  <c r="J156"/>
  <c r="BK139"/>
  <c r="J382"/>
  <c r="J372"/>
  <c r="BK351"/>
  <c r="BK343"/>
  <c r="J306"/>
  <c r="BK276"/>
  <c r="BK270"/>
  <c r="BK253"/>
  <c r="J244"/>
  <c r="BK224"/>
  <c r="J212"/>
  <c r="J199"/>
  <c r="J174"/>
  <c r="BK163"/>
  <c r="J133"/>
  <c r="BK380"/>
  <c r="J366"/>
  <c r="J342"/>
  <c r="BK328"/>
  <c r="BK312"/>
  <c r="BK291"/>
  <c r="J278"/>
  <c r="BK263"/>
  <c r="J245"/>
  <c r="J237"/>
  <c r="BK205"/>
  <c r="BK179"/>
  <c r="BK161"/>
  <c r="BK155"/>
  <c r="J139"/>
  <c r="J387"/>
  <c r="J376"/>
  <c r="BK365"/>
  <c r="BK341"/>
  <c r="J330"/>
  <c r="BK316"/>
  <c r="BK301"/>
  <c r="BK288"/>
  <c r="J276"/>
  <c r="J265"/>
  <c r="BK250"/>
  <c r="BK237"/>
  <c r="J224"/>
  <c r="BK212"/>
  <c r="BK201"/>
  <c r="BK190"/>
  <c r="BK174"/>
  <c r="J159"/>
  <c r="BK135"/>
  <c i="6" r="BK178"/>
  <c r="J175"/>
  <c r="J134"/>
  <c r="J160"/>
  <c r="BK147"/>
  <c r="J127"/>
  <c r="J178"/>
  <c r="J147"/>
  <c r="BK136"/>
  <c r="J171"/>
  <c r="J162"/>
  <c r="BK141"/>
  <c r="J136"/>
  <c i="7" r="J179"/>
  <c r="J158"/>
  <c r="J147"/>
  <c r="BK166"/>
  <c r="BK151"/>
  <c r="BK179"/>
  <c r="BK172"/>
  <c r="BK153"/>
  <c r="BK136"/>
  <c r="BK127"/>
  <c r="J163"/>
  <c r="BK149"/>
  <c r="BK132"/>
  <c i="8" r="J121"/>
  <c i="9" r="J140"/>
  <c r="J133"/>
  <c r="J143"/>
  <c r="BK136"/>
  <c r="J125"/>
  <c r="J129"/>
  <c r="BK143"/>
  <c r="J138"/>
  <c r="BK128"/>
  <c i="2" l="1" r="P144"/>
  <c r="P173"/>
  <c r="BK206"/>
  <c r="J206"/>
  <c r="J100"/>
  <c r="T236"/>
  <c r="BK274"/>
  <c r="J274"/>
  <c r="J103"/>
  <c r="BK354"/>
  <c r="J354"/>
  <c r="J104"/>
  <c r="BK375"/>
  <c r="J375"/>
  <c r="J107"/>
  <c r="P406"/>
  <c r="P460"/>
  <c r="P544"/>
  <c r="T560"/>
  <c r="T683"/>
  <c r="BK698"/>
  <c r="J698"/>
  <c r="J113"/>
  <c r="T730"/>
  <c r="T796"/>
  <c r="P835"/>
  <c r="R846"/>
  <c r="BK860"/>
  <c r="J860"/>
  <c r="J118"/>
  <c r="P882"/>
  <c r="P886"/>
  <c i="3" r="P134"/>
  <c r="P159"/>
  <c r="T198"/>
  <c r="R239"/>
  <c r="T286"/>
  <c r="R317"/>
  <c r="R333"/>
  <c r="BK351"/>
  <c r="J351"/>
  <c r="J108"/>
  <c r="BK375"/>
  <c r="J375"/>
  <c r="J109"/>
  <c r="BK393"/>
  <c r="J393"/>
  <c r="J110"/>
  <c r="BK405"/>
  <c r="J405"/>
  <c r="J111"/>
  <c r="BK441"/>
  <c r="J441"/>
  <c r="J112"/>
  <c i="4" r="T121"/>
  <c r="T128"/>
  <c i="5" r="R132"/>
  <c r="R196"/>
  <c r="R223"/>
  <c r="BK230"/>
  <c r="J230"/>
  <c r="J101"/>
  <c r="BK287"/>
  <c r="J287"/>
  <c r="J102"/>
  <c r="T290"/>
  <c r="BK298"/>
  <c r="J298"/>
  <c r="J104"/>
  <c r="T338"/>
  <c r="R345"/>
  <c r="BK355"/>
  <c r="J355"/>
  <c r="J107"/>
  <c r="T383"/>
  <c r="T386"/>
  <c i="6" r="P126"/>
  <c r="BK146"/>
  <c r="J146"/>
  <c r="J99"/>
  <c r="P170"/>
  <c r="P179"/>
  <c r="R183"/>
  <c i="7" r="BK126"/>
  <c r="J126"/>
  <c r="J98"/>
  <c r="BK146"/>
  <c r="J146"/>
  <c r="J99"/>
  <c r="BK167"/>
  <c r="J167"/>
  <c r="J104"/>
  <c i="2" r="BK144"/>
  <c r="J144"/>
  <c r="J98"/>
  <c r="R173"/>
  <c r="T206"/>
  <c r="R236"/>
  <c r="R274"/>
  <c r="P354"/>
  <c r="R375"/>
  <c r="T406"/>
  <c r="BK460"/>
  <c r="J460"/>
  <c r="J109"/>
  <c r="BK544"/>
  <c r="J544"/>
  <c r="J110"/>
  <c r="P560"/>
  <c r="R683"/>
  <c r="T698"/>
  <c r="R730"/>
  <c r="R796"/>
  <c r="T835"/>
  <c r="T846"/>
  <c r="P860"/>
  <c r="T882"/>
  <c r="R886"/>
  <c i="3" r="BK134"/>
  <c r="J134"/>
  <c r="J98"/>
  <c r="BK159"/>
  <c r="J159"/>
  <c r="J99"/>
  <c r="R198"/>
  <c r="P239"/>
  <c r="BK286"/>
  <c r="J286"/>
  <c r="J103"/>
  <c r="BK317"/>
  <c r="J317"/>
  <c r="J104"/>
  <c r="BK333"/>
  <c r="J333"/>
  <c r="J107"/>
  <c r="P351"/>
  <c r="T375"/>
  <c r="P393"/>
  <c r="P405"/>
  <c r="R441"/>
  <c i="4" r="R121"/>
  <c r="P128"/>
  <c i="5" r="P132"/>
  <c r="T196"/>
  <c r="T223"/>
  <c r="P230"/>
  <c r="R287"/>
  <c r="BK290"/>
  <c r="J290"/>
  <c r="J103"/>
  <c r="T298"/>
  <c r="R338"/>
  <c r="P345"/>
  <c r="R355"/>
  <c r="R383"/>
  <c r="P386"/>
  <c i="6" r="BK126"/>
  <c r="J126"/>
  <c r="J98"/>
  <c r="P146"/>
  <c r="BK170"/>
  <c r="J170"/>
  <c r="J102"/>
  <c r="BK179"/>
  <c r="J179"/>
  <c r="J103"/>
  <c r="BK183"/>
  <c r="J183"/>
  <c r="J104"/>
  <c i="7" r="T126"/>
  <c r="T125"/>
  <c r="T146"/>
  <c r="P160"/>
  <c r="T167"/>
  <c i="8" r="R120"/>
  <c r="R119"/>
  <c r="R118"/>
  <c i="2" r="R144"/>
  <c r="BK173"/>
  <c r="J173"/>
  <c r="J99"/>
  <c r="P206"/>
  <c r="P236"/>
  <c r="T274"/>
  <c r="T354"/>
  <c r="T375"/>
  <c r="R406"/>
  <c r="R460"/>
  <c r="R544"/>
  <c r="BK560"/>
  <c r="J560"/>
  <c r="J111"/>
  <c r="BK683"/>
  <c r="J683"/>
  <c r="J112"/>
  <c r="R698"/>
  <c r="P730"/>
  <c r="P796"/>
  <c r="R835"/>
  <c r="P846"/>
  <c r="R860"/>
  <c r="BK882"/>
  <c r="J882"/>
  <c r="J119"/>
  <c r="T886"/>
  <c i="3" r="T134"/>
  <c r="R159"/>
  <c r="P198"/>
  <c r="T239"/>
  <c r="R286"/>
  <c r="T317"/>
  <c r="T333"/>
  <c r="T351"/>
  <c r="R375"/>
  <c r="T393"/>
  <c r="R405"/>
  <c r="P441"/>
  <c i="4" r="BK121"/>
  <c r="J121"/>
  <c r="J98"/>
  <c r="BK128"/>
  <c r="J128"/>
  <c r="J99"/>
  <c i="5" r="T132"/>
  <c r="P196"/>
  <c r="P223"/>
  <c r="T230"/>
  <c r="T287"/>
  <c r="R290"/>
  <c r="R298"/>
  <c r="P338"/>
  <c r="BK345"/>
  <c r="J345"/>
  <c r="J106"/>
  <c r="P355"/>
  <c r="P383"/>
  <c r="R386"/>
  <c i="6" r="T126"/>
  <c r="R146"/>
  <c r="R170"/>
  <c r="R179"/>
  <c r="P183"/>
  <c i="7" r="R126"/>
  <c r="R125"/>
  <c r="R146"/>
  <c r="T160"/>
  <c r="T159"/>
  <c r="R167"/>
  <c i="8" r="T120"/>
  <c r="T119"/>
  <c r="T118"/>
  <c i="2" r="T144"/>
  <c r="T173"/>
  <c r="R206"/>
  <c r="BK236"/>
  <c r="J236"/>
  <c r="J101"/>
  <c r="P274"/>
  <c r="R354"/>
  <c r="P375"/>
  <c r="BK406"/>
  <c r="J406"/>
  <c r="J108"/>
  <c r="T460"/>
  <c r="T544"/>
  <c r="R560"/>
  <c r="P683"/>
  <c r="P698"/>
  <c r="BK730"/>
  <c r="J730"/>
  <c r="J114"/>
  <c r="BK796"/>
  <c r="J796"/>
  <c r="J115"/>
  <c r="BK835"/>
  <c r="J835"/>
  <c r="J116"/>
  <c r="BK846"/>
  <c r="J846"/>
  <c r="J117"/>
  <c r="T860"/>
  <c r="R882"/>
  <c r="BK886"/>
  <c r="J886"/>
  <c r="J120"/>
  <c i="3" r="R134"/>
  <c r="T159"/>
  <c r="BK198"/>
  <c r="J198"/>
  <c r="J100"/>
  <c r="BK239"/>
  <c r="J239"/>
  <c r="J101"/>
  <c r="P286"/>
  <c r="P317"/>
  <c r="P333"/>
  <c r="R351"/>
  <c r="P375"/>
  <c r="R393"/>
  <c r="T405"/>
  <c r="T441"/>
  <c i="4" r="P121"/>
  <c r="P120"/>
  <c r="P119"/>
  <c i="1" r="AU97"/>
  <c i="4" r="R128"/>
  <c i="5" r="BK132"/>
  <c r="J132"/>
  <c r="J98"/>
  <c r="BK196"/>
  <c r="J196"/>
  <c r="J99"/>
  <c r="BK223"/>
  <c r="J223"/>
  <c r="J100"/>
  <c r="R230"/>
  <c r="P287"/>
  <c r="P290"/>
  <c r="P298"/>
  <c r="BK338"/>
  <c r="J338"/>
  <c r="J105"/>
  <c r="T345"/>
  <c r="T355"/>
  <c r="BK383"/>
  <c r="J383"/>
  <c r="J109"/>
  <c r="BK386"/>
  <c r="J386"/>
  <c r="J110"/>
  <c i="6" r="R126"/>
  <c r="R125"/>
  <c r="T146"/>
  <c r="T170"/>
  <c r="T179"/>
  <c r="T183"/>
  <c i="7" r="P126"/>
  <c r="P125"/>
  <c r="P146"/>
  <c r="BK160"/>
  <c r="J160"/>
  <c r="J103"/>
  <c r="R160"/>
  <c r="R159"/>
  <c r="P167"/>
  <c i="8" r="BK120"/>
  <c r="J120"/>
  <c r="J98"/>
  <c r="P120"/>
  <c r="P119"/>
  <c r="P118"/>
  <c i="1" r="AU101"/>
  <c i="9" r="BK124"/>
  <c r="J124"/>
  <c r="J98"/>
  <c r="P124"/>
  <c r="R124"/>
  <c r="T124"/>
  <c r="BK132"/>
  <c r="J132"/>
  <c r="J100"/>
  <c r="P132"/>
  <c r="R132"/>
  <c r="T132"/>
  <c r="BK139"/>
  <c r="J139"/>
  <c r="J101"/>
  <c r="P139"/>
  <c r="R139"/>
  <c r="T139"/>
  <c i="3" r="BK283"/>
  <c r="J283"/>
  <c r="J102"/>
  <c i="6" r="BK167"/>
  <c r="J167"/>
  <c r="J100"/>
  <c i="2" r="BK271"/>
  <c r="J271"/>
  <c r="J102"/>
  <c r="BK372"/>
  <c r="J372"/>
  <c r="J105"/>
  <c r="BK893"/>
  <c r="J893"/>
  <c r="J122"/>
  <c i="5" r="BK381"/>
  <c r="J381"/>
  <c r="J108"/>
  <c i="3" r="BK330"/>
  <c r="J330"/>
  <c r="J105"/>
  <c i="7" r="BK157"/>
  <c r="J157"/>
  <c r="J101"/>
  <c i="9" r="BK130"/>
  <c r="J130"/>
  <c r="J99"/>
  <c r="BK142"/>
  <c r="J142"/>
  <c r="J102"/>
  <c r="J89"/>
  <c r="BE127"/>
  <c r="BE131"/>
  <c r="BE133"/>
  <c r="BE135"/>
  <c r="BE136"/>
  <c r="BE137"/>
  <c r="BE138"/>
  <c r="E85"/>
  <c r="BE125"/>
  <c r="BE126"/>
  <c r="BE134"/>
  <c r="BE140"/>
  <c r="BE143"/>
  <c r="F92"/>
  <c r="BE128"/>
  <c r="BE129"/>
  <c r="BE141"/>
  <c i="8" r="J89"/>
  <c r="F92"/>
  <c r="BE123"/>
  <c r="BE124"/>
  <c r="BE126"/>
  <c r="E85"/>
  <c r="BE121"/>
  <c r="BE122"/>
  <c r="BE125"/>
  <c i="6" r="BK169"/>
  <c r="J169"/>
  <c r="J101"/>
  <c i="7" r="J89"/>
  <c r="E114"/>
  <c r="F121"/>
  <c r="BE127"/>
  <c r="BE139"/>
  <c r="BE141"/>
  <c r="BE144"/>
  <c r="BE153"/>
  <c r="BE164"/>
  <c i="6" r="BK125"/>
  <c r="BK124"/>
  <c r="J124"/>
  <c i="7" r="BE134"/>
  <c r="BE151"/>
  <c r="BE154"/>
  <c r="BE158"/>
  <c r="BE177"/>
  <c r="BE129"/>
  <c r="BE147"/>
  <c r="BE149"/>
  <c r="BE161"/>
  <c r="BE163"/>
  <c r="BE166"/>
  <c r="BE168"/>
  <c r="BE174"/>
  <c r="BE132"/>
  <c r="BE136"/>
  <c r="BE170"/>
  <c r="BE172"/>
  <c r="BE179"/>
  <c i="6" r="E85"/>
  <c r="J89"/>
  <c r="F92"/>
  <c r="BE129"/>
  <c r="BE144"/>
  <c r="BE147"/>
  <c r="BE158"/>
  <c r="BE184"/>
  <c r="BE149"/>
  <c r="BE156"/>
  <c r="BE160"/>
  <c r="BE162"/>
  <c r="BE164"/>
  <c r="BE165"/>
  <c r="BE168"/>
  <c r="BE127"/>
  <c r="BE132"/>
  <c r="BE150"/>
  <c r="BE153"/>
  <c r="BE171"/>
  <c r="BE175"/>
  <c r="BE176"/>
  <c r="BE178"/>
  <c r="BE180"/>
  <c r="BE134"/>
  <c r="BE136"/>
  <c r="BE139"/>
  <c r="BE141"/>
  <c r="BE173"/>
  <c r="BE182"/>
  <c r="BE186"/>
  <c i="4" r="BK120"/>
  <c r="J120"/>
  <c r="J97"/>
  <c i="5" r="J124"/>
  <c r="BE142"/>
  <c r="BE146"/>
  <c r="BE155"/>
  <c r="BE158"/>
  <c r="BE160"/>
  <c r="BE161"/>
  <c r="BE163"/>
  <c r="BE181"/>
  <c r="BE199"/>
  <c r="BE203"/>
  <c r="BE204"/>
  <c r="BE207"/>
  <c r="BE215"/>
  <c r="BE221"/>
  <c r="BE228"/>
  <c r="BE231"/>
  <c r="BE233"/>
  <c r="BE235"/>
  <c r="BE239"/>
  <c r="BE246"/>
  <c r="BE258"/>
  <c r="BE260"/>
  <c r="BE262"/>
  <c r="BE266"/>
  <c r="BE270"/>
  <c r="BE279"/>
  <c r="BE281"/>
  <c r="BE283"/>
  <c r="BE288"/>
  <c r="BE306"/>
  <c r="BE309"/>
  <c r="BE323"/>
  <c r="BE325"/>
  <c r="BE328"/>
  <c r="BE342"/>
  <c r="BE343"/>
  <c r="BE349"/>
  <c r="BE356"/>
  <c r="BE357"/>
  <c r="BE374"/>
  <c r="BE377"/>
  <c r="BE382"/>
  <c r="BE384"/>
  <c r="F92"/>
  <c r="BE135"/>
  <c r="BE139"/>
  <c r="BE144"/>
  <c r="BE150"/>
  <c r="BE167"/>
  <c r="BE170"/>
  <c r="BE172"/>
  <c r="BE174"/>
  <c r="BE184"/>
  <c r="BE190"/>
  <c r="BE197"/>
  <c r="BE211"/>
  <c r="BE218"/>
  <c r="BE222"/>
  <c r="BE224"/>
  <c r="BE226"/>
  <c r="BE244"/>
  <c r="BE247"/>
  <c r="BE249"/>
  <c r="BE253"/>
  <c r="BE255"/>
  <c r="BE256"/>
  <c r="BE263"/>
  <c r="BE268"/>
  <c r="BE273"/>
  <c r="BE274"/>
  <c r="BE299"/>
  <c r="BE346"/>
  <c r="BE348"/>
  <c r="BE351"/>
  <c r="BE352"/>
  <c r="BE359"/>
  <c r="BE372"/>
  <c r="BE378"/>
  <c r="BE379"/>
  <c r="BE133"/>
  <c r="BE137"/>
  <c r="BE156"/>
  <c r="BE157"/>
  <c r="BE177"/>
  <c r="BE179"/>
  <c r="BE193"/>
  <c r="BE205"/>
  <c r="BE208"/>
  <c r="BE209"/>
  <c r="BE237"/>
  <c r="BE240"/>
  <c r="BE248"/>
  <c r="BE250"/>
  <c r="BE257"/>
  <c r="BE267"/>
  <c r="BE276"/>
  <c r="BE278"/>
  <c r="BE286"/>
  <c r="BE289"/>
  <c r="BE291"/>
  <c r="BE295"/>
  <c r="BE301"/>
  <c r="BE304"/>
  <c r="BE312"/>
  <c r="BE316"/>
  <c r="BE318"/>
  <c r="BE320"/>
  <c r="BE321"/>
  <c r="BE330"/>
  <c r="BE335"/>
  <c r="BE339"/>
  <c r="BE341"/>
  <c r="BE354"/>
  <c r="BE376"/>
  <c r="BE387"/>
  <c r="BE388"/>
  <c r="E85"/>
  <c r="BE134"/>
  <c r="BE140"/>
  <c r="BE152"/>
  <c r="BE159"/>
  <c r="BE175"/>
  <c r="BE188"/>
  <c r="BE201"/>
  <c r="BE212"/>
  <c r="BE219"/>
  <c r="BE242"/>
  <c r="BE245"/>
  <c r="BE252"/>
  <c r="BE264"/>
  <c r="BE265"/>
  <c r="BE284"/>
  <c r="BE293"/>
  <c r="BE296"/>
  <c r="BE314"/>
  <c r="BE333"/>
  <c r="BE362"/>
  <c r="BE365"/>
  <c r="BE366"/>
  <c r="BE369"/>
  <c r="BE380"/>
  <c r="BE385"/>
  <c i="4" r="E85"/>
  <c r="J89"/>
  <c r="BE131"/>
  <c r="BE136"/>
  <c r="F92"/>
  <c r="BE122"/>
  <c r="BE125"/>
  <c r="BE127"/>
  <c r="BE134"/>
  <c r="BE124"/>
  <c r="BE129"/>
  <c i="2" r="BK143"/>
  <c r="J143"/>
  <c r="J97"/>
  <c i="3" r="BE141"/>
  <c r="BE160"/>
  <c r="BE174"/>
  <c r="BE186"/>
  <c r="BE187"/>
  <c r="BE190"/>
  <c r="BE206"/>
  <c r="BE209"/>
  <c r="BE228"/>
  <c r="BE230"/>
  <c r="BE252"/>
  <c r="BE255"/>
  <c r="BE276"/>
  <c r="BE287"/>
  <c r="BE289"/>
  <c r="BE293"/>
  <c r="BE297"/>
  <c r="BE304"/>
  <c r="BE309"/>
  <c r="BE313"/>
  <c r="BE321"/>
  <c r="BE343"/>
  <c r="BE352"/>
  <c r="BE360"/>
  <c r="BE371"/>
  <c r="BE374"/>
  <c r="BE378"/>
  <c r="BE381"/>
  <c r="BE386"/>
  <c r="BE392"/>
  <c r="BE399"/>
  <c r="BE401"/>
  <c r="BE410"/>
  <c r="BE412"/>
  <c r="BE414"/>
  <c r="BE416"/>
  <c r="E122"/>
  <c r="F129"/>
  <c r="BE135"/>
  <c r="BE137"/>
  <c r="BE143"/>
  <c r="BE145"/>
  <c r="BE164"/>
  <c r="BE176"/>
  <c r="BE213"/>
  <c r="BE215"/>
  <c r="BE233"/>
  <c r="BE244"/>
  <c r="BE246"/>
  <c r="BE258"/>
  <c r="BE265"/>
  <c r="BE269"/>
  <c r="BE278"/>
  <c r="BE300"/>
  <c r="BE301"/>
  <c r="BE302"/>
  <c r="BE314"/>
  <c r="BE316"/>
  <c r="BE318"/>
  <c r="BE320"/>
  <c r="BE328"/>
  <c r="BE331"/>
  <c r="BE334"/>
  <c r="BE340"/>
  <c r="BE342"/>
  <c r="BE345"/>
  <c r="BE358"/>
  <c r="BE362"/>
  <c r="BE367"/>
  <c r="BE370"/>
  <c r="BE389"/>
  <c r="BE394"/>
  <c r="BE396"/>
  <c r="BE397"/>
  <c r="BE400"/>
  <c r="BE415"/>
  <c r="BE424"/>
  <c r="BE427"/>
  <c r="BE433"/>
  <c r="BE438"/>
  <c r="BE442"/>
  <c r="BE444"/>
  <c r="J89"/>
  <c r="BE155"/>
  <c r="BE157"/>
  <c r="BE171"/>
  <c r="BE193"/>
  <c r="BE196"/>
  <c r="BE210"/>
  <c r="BE217"/>
  <c r="BE223"/>
  <c r="BE226"/>
  <c r="BE236"/>
  <c r="BE237"/>
  <c r="BE238"/>
  <c r="BE242"/>
  <c r="BE248"/>
  <c r="BE250"/>
  <c r="BE281"/>
  <c r="BE284"/>
  <c r="BE296"/>
  <c r="BE299"/>
  <c r="BE329"/>
  <c r="BE336"/>
  <c r="BE344"/>
  <c r="BE348"/>
  <c r="BE350"/>
  <c r="BE403"/>
  <c r="BE406"/>
  <c r="BE408"/>
  <c r="BE409"/>
  <c r="BE411"/>
  <c r="BE417"/>
  <c r="BE419"/>
  <c r="BE421"/>
  <c r="BE423"/>
  <c r="BE437"/>
  <c r="BE440"/>
  <c r="BE451"/>
  <c r="BE149"/>
  <c r="BE151"/>
  <c r="BE162"/>
  <c r="BE166"/>
  <c r="BE168"/>
  <c r="BE177"/>
  <c r="BE180"/>
  <c r="BE183"/>
  <c r="BE194"/>
  <c r="BE199"/>
  <c r="BE203"/>
  <c r="BE220"/>
  <c r="BE240"/>
  <c r="BE273"/>
  <c r="BE274"/>
  <c r="BE291"/>
  <c r="BE306"/>
  <c r="BE308"/>
  <c r="BE311"/>
  <c r="BE323"/>
  <c r="BE324"/>
  <c r="BE327"/>
  <c r="BE338"/>
  <c r="BE355"/>
  <c r="BE364"/>
  <c r="BE376"/>
  <c r="BE383"/>
  <c r="BE402"/>
  <c r="BE404"/>
  <c r="BE407"/>
  <c r="BE413"/>
  <c r="BE428"/>
  <c r="BE435"/>
  <c i="2" r="F139"/>
  <c r="BE154"/>
  <c r="BE156"/>
  <c r="BE164"/>
  <c r="BE188"/>
  <c r="BE195"/>
  <c r="BE199"/>
  <c r="BE203"/>
  <c r="BE226"/>
  <c r="BE254"/>
  <c r="BE272"/>
  <c r="BE275"/>
  <c r="BE290"/>
  <c r="BE300"/>
  <c r="BE310"/>
  <c r="BE311"/>
  <c r="BE319"/>
  <c r="BE357"/>
  <c r="BE363"/>
  <c r="BE366"/>
  <c r="BE373"/>
  <c r="BE398"/>
  <c r="BE405"/>
  <c r="BE407"/>
  <c r="BE417"/>
  <c r="BE434"/>
  <c r="BE444"/>
  <c r="BE463"/>
  <c r="BE469"/>
  <c r="BE480"/>
  <c r="BE482"/>
  <c r="BE485"/>
  <c r="BE487"/>
  <c r="BE499"/>
  <c r="BE504"/>
  <c r="BE515"/>
  <c r="BE517"/>
  <c r="BE523"/>
  <c r="BE527"/>
  <c r="BE535"/>
  <c r="BE553"/>
  <c r="BE558"/>
  <c r="BE559"/>
  <c r="BE571"/>
  <c r="BE578"/>
  <c r="BE625"/>
  <c r="BE644"/>
  <c r="BE646"/>
  <c r="BE651"/>
  <c r="BE669"/>
  <c r="BE671"/>
  <c r="BE682"/>
  <c r="BE684"/>
  <c r="BE686"/>
  <c r="BE695"/>
  <c r="BE697"/>
  <c r="BE699"/>
  <c r="BE714"/>
  <c r="BE719"/>
  <c r="BE728"/>
  <c r="BE731"/>
  <c r="BE745"/>
  <c r="BE781"/>
  <c r="BE784"/>
  <c r="BE797"/>
  <c r="BE811"/>
  <c r="BE815"/>
  <c r="BE820"/>
  <c r="BE821"/>
  <c r="BE828"/>
  <c r="BE836"/>
  <c r="BE838"/>
  <c r="BE841"/>
  <c r="BE887"/>
  <c r="BE891"/>
  <c r="J89"/>
  <c r="BE186"/>
  <c r="BE192"/>
  <c r="BE209"/>
  <c r="BE223"/>
  <c r="BE237"/>
  <c r="BE247"/>
  <c r="BE250"/>
  <c r="BE270"/>
  <c r="BE286"/>
  <c r="BE293"/>
  <c r="BE347"/>
  <c r="BE368"/>
  <c r="BE371"/>
  <c r="BE376"/>
  <c r="BE379"/>
  <c r="BE385"/>
  <c r="BE390"/>
  <c r="BE397"/>
  <c r="BE421"/>
  <c r="BE424"/>
  <c r="BE429"/>
  <c r="BE440"/>
  <c r="BE448"/>
  <c r="BE451"/>
  <c r="BE466"/>
  <c r="BE472"/>
  <c r="BE475"/>
  <c r="BE477"/>
  <c r="BE509"/>
  <c r="BE512"/>
  <c r="BE547"/>
  <c r="BE593"/>
  <c r="BE596"/>
  <c r="BE610"/>
  <c r="BE629"/>
  <c r="BE656"/>
  <c r="BE659"/>
  <c r="BE665"/>
  <c r="BE688"/>
  <c r="BE703"/>
  <c r="BE705"/>
  <c r="BE716"/>
  <c r="BE723"/>
  <c r="BE743"/>
  <c r="BE758"/>
  <c r="BE765"/>
  <c r="BE771"/>
  <c r="BE778"/>
  <c r="BE790"/>
  <c r="BE808"/>
  <c r="BE813"/>
  <c r="BE817"/>
  <c r="BE824"/>
  <c r="BE832"/>
  <c r="BE834"/>
  <c r="BE839"/>
  <c r="BE876"/>
  <c r="BE885"/>
  <c r="BE894"/>
  <c r="BE145"/>
  <c r="BE148"/>
  <c r="BE162"/>
  <c r="BE176"/>
  <c r="BE178"/>
  <c r="BE180"/>
  <c r="BE190"/>
  <c r="BE193"/>
  <c r="BE204"/>
  <c r="BE207"/>
  <c r="BE232"/>
  <c r="BE242"/>
  <c r="BE246"/>
  <c r="BE259"/>
  <c r="BE265"/>
  <c r="BE268"/>
  <c r="BE283"/>
  <c r="BE297"/>
  <c r="BE302"/>
  <c r="BE315"/>
  <c r="BE318"/>
  <c r="BE327"/>
  <c r="BE337"/>
  <c r="BE353"/>
  <c r="BE355"/>
  <c r="BE382"/>
  <c r="BE387"/>
  <c r="BE393"/>
  <c r="BE401"/>
  <c r="BE414"/>
  <c r="BE436"/>
  <c r="BE456"/>
  <c r="BE490"/>
  <c r="BE496"/>
  <c r="BE520"/>
  <c r="BE545"/>
  <c r="BE574"/>
  <c r="BE590"/>
  <c r="BE648"/>
  <c r="BE654"/>
  <c r="BE662"/>
  <c r="BE664"/>
  <c r="BE708"/>
  <c r="BE718"/>
  <c r="BE725"/>
  <c r="BE729"/>
  <c r="BE737"/>
  <c r="BE741"/>
  <c r="BE773"/>
  <c r="BE785"/>
  <c r="BE795"/>
  <c r="BE801"/>
  <c r="BE879"/>
  <c r="BE881"/>
  <c r="BE883"/>
  <c r="E85"/>
  <c r="BE158"/>
  <c r="BE168"/>
  <c r="BE171"/>
  <c r="BE174"/>
  <c r="BE183"/>
  <c r="BE211"/>
  <c r="BE214"/>
  <c r="BE217"/>
  <c r="BE218"/>
  <c r="BE220"/>
  <c r="BE229"/>
  <c r="BE233"/>
  <c r="BE235"/>
  <c r="BE253"/>
  <c r="BE262"/>
  <c r="BE263"/>
  <c r="BE267"/>
  <c r="BE279"/>
  <c r="BE295"/>
  <c r="BE306"/>
  <c r="BE309"/>
  <c r="BE331"/>
  <c r="BE335"/>
  <c r="BE339"/>
  <c r="BE342"/>
  <c r="BE348"/>
  <c r="BE359"/>
  <c r="BE370"/>
  <c r="BE396"/>
  <c r="BE402"/>
  <c r="BE409"/>
  <c r="BE412"/>
  <c r="BE426"/>
  <c r="BE431"/>
  <c r="BE438"/>
  <c r="BE442"/>
  <c r="BE459"/>
  <c r="BE461"/>
  <c r="BE507"/>
  <c r="BE525"/>
  <c r="BE530"/>
  <c r="BE532"/>
  <c r="BE537"/>
  <c r="BE539"/>
  <c r="BE543"/>
  <c r="BE555"/>
  <c r="BE561"/>
  <c r="BE587"/>
  <c r="BE608"/>
  <c r="BE641"/>
  <c r="BE663"/>
  <c r="BE666"/>
  <c r="BE667"/>
  <c r="BE668"/>
  <c r="BE670"/>
  <c r="BE674"/>
  <c r="BE690"/>
  <c r="BE693"/>
  <c r="BE704"/>
  <c r="BE707"/>
  <c r="BE713"/>
  <c r="BE715"/>
  <c r="BE720"/>
  <c r="BE721"/>
  <c r="BE722"/>
  <c r="BE738"/>
  <c r="BE768"/>
  <c r="BE788"/>
  <c r="BE792"/>
  <c r="BE794"/>
  <c r="BE803"/>
  <c r="BE806"/>
  <c r="BE844"/>
  <c r="BE845"/>
  <c r="BE847"/>
  <c r="BE849"/>
  <c r="BE850"/>
  <c r="BE851"/>
  <c r="BE854"/>
  <c r="BE856"/>
  <c r="BE859"/>
  <c r="BE861"/>
  <c r="BE865"/>
  <c r="BE867"/>
  <c r="BE868"/>
  <c r="BE871"/>
  <c r="BE874"/>
  <c r="F37"/>
  <c i="1" r="BD95"/>
  <c i="3" r="F35"/>
  <c i="1" r="BB96"/>
  <c i="4" r="F35"/>
  <c i="1" r="BB97"/>
  <c i="4" r="F34"/>
  <c i="1" r="BA97"/>
  <c i="4" r="F36"/>
  <c i="1" r="BC97"/>
  <c i="5" r="F36"/>
  <c i="1" r="BC98"/>
  <c i="6" r="J34"/>
  <c i="1" r="AW99"/>
  <c i="6" r="F37"/>
  <c i="1" r="BD99"/>
  <c i="7" r="F34"/>
  <c i="1" r="BA100"/>
  <c i="8" r="F34"/>
  <c i="1" r="BA101"/>
  <c i="8" r="F35"/>
  <c i="1" r="BB101"/>
  <c i="8" r="F36"/>
  <c i="1" r="BC101"/>
  <c i="9" r="F36"/>
  <c i="1" r="BC102"/>
  <c i="2" r="J34"/>
  <c i="1" r="AW95"/>
  <c i="3" r="F34"/>
  <c i="1" r="BA96"/>
  <c i="4" r="J34"/>
  <c i="1" r="AW97"/>
  <c i="5" r="F37"/>
  <c i="1" r="BD98"/>
  <c i="6" r="F34"/>
  <c i="1" r="BA99"/>
  <c i="7" r="F35"/>
  <c i="1" r="BB100"/>
  <c i="7" r="F37"/>
  <c i="1" r="BD100"/>
  <c i="9" r="F34"/>
  <c i="1" r="BA102"/>
  <c i="2" r="F36"/>
  <c i="1" r="BC95"/>
  <c i="3" r="F36"/>
  <c i="1" r="BC96"/>
  <c i="3" r="F37"/>
  <c i="1" r="BD96"/>
  <c i="5" r="F34"/>
  <c i="1" r="BA98"/>
  <c i="5" r="F35"/>
  <c i="1" r="BB98"/>
  <c i="7" r="F36"/>
  <c i="1" r="BC100"/>
  <c i="9" r="F37"/>
  <c i="1" r="BD102"/>
  <c i="9" r="F35"/>
  <c i="1" r="BB102"/>
  <c i="2" r="F34"/>
  <c i="1" r="BA95"/>
  <c i="2" r="F35"/>
  <c i="1" r="BB95"/>
  <c i="3" r="J34"/>
  <c i="1" r="AW96"/>
  <c i="4" r="F37"/>
  <c i="1" r="BD97"/>
  <c i="5" r="J34"/>
  <c i="1" r="AW98"/>
  <c i="6" r="F36"/>
  <c i="1" r="BC99"/>
  <c i="6" r="F35"/>
  <c i="1" r="BB99"/>
  <c i="7" r="J34"/>
  <c i="1" r="AW100"/>
  <c i="6" r="J30"/>
  <c i="8" r="J34"/>
  <c i="1" r="AW101"/>
  <c i="8" r="F37"/>
  <c i="1" r="BD101"/>
  <c i="9" r="J34"/>
  <c i="1" r="AW102"/>
  <c i="9" l="1" r="P123"/>
  <c r="P122"/>
  <c i="1" r="AU102"/>
  <c i="7" r="R124"/>
  <c i="3" r="T133"/>
  <c i="2" r="R143"/>
  <c i="7" r="P159"/>
  <c i="6" r="P169"/>
  <c i="3" r="R332"/>
  <c i="9" r="T123"/>
  <c r="T122"/>
  <c i="2" r="T143"/>
  <c i="6" r="R169"/>
  <c r="R124"/>
  <c i="5" r="T131"/>
  <c r="T130"/>
  <c i="7" r="T124"/>
  <c i="4" r="R120"/>
  <c r="R119"/>
  <c i="2" r="R374"/>
  <c i="6" r="P125"/>
  <c r="P124"/>
  <c i="1" r="AU99"/>
  <c i="5" r="R131"/>
  <c r="R130"/>
  <c i="7" r="P124"/>
  <c i="1" r="AU100"/>
  <c i="6" r="T169"/>
  <c i="3" r="P332"/>
  <c i="2" r="P374"/>
  <c i="3" r="R133"/>
  <c r="R132"/>
  <c i="2" r="T374"/>
  <c i="3" r="P133"/>
  <c r="P132"/>
  <c i="1" r="AU96"/>
  <c i="9" r="R123"/>
  <c r="R122"/>
  <c i="6" r="T125"/>
  <c r="T124"/>
  <c i="3" r="T332"/>
  <c i="5" r="P131"/>
  <c r="P130"/>
  <c i="1" r="AU98"/>
  <c i="4" r="T120"/>
  <c r="T119"/>
  <c i="2" r="P143"/>
  <c r="P142"/>
  <c i="1" r="AU95"/>
  <c i="2" r="BK374"/>
  <c r="J374"/>
  <c r="J106"/>
  <c i="3" r="BK133"/>
  <c r="J133"/>
  <c r="J97"/>
  <c i="7" r="BK125"/>
  <c r="J125"/>
  <c r="J97"/>
  <c i="2" r="BK892"/>
  <c r="J892"/>
  <c r="J121"/>
  <c i="3" r="BK332"/>
  <c r="J332"/>
  <c r="J106"/>
  <c i="7" r="BK159"/>
  <c r="J159"/>
  <c r="J102"/>
  <c i="8" r="BK119"/>
  <c r="J119"/>
  <c r="J97"/>
  <c i="5" r="BK131"/>
  <c r="J131"/>
  <c r="J97"/>
  <c i="9" r="BK123"/>
  <c r="J123"/>
  <c r="J97"/>
  <c i="1" r="AG99"/>
  <c i="6" r="J96"/>
  <c r="J125"/>
  <c r="J97"/>
  <c i="4" r="BK119"/>
  <c r="J119"/>
  <c i="2" r="BK142"/>
  <c r="J142"/>
  <c r="J96"/>
  <c r="J33"/>
  <c i="1" r="AV95"/>
  <c r="AT95"/>
  <c i="3" r="J33"/>
  <c i="1" r="AV96"/>
  <c r="AT96"/>
  <c i="4" r="J30"/>
  <c i="1" r="AG97"/>
  <c i="5" r="F33"/>
  <c i="1" r="AZ98"/>
  <c i="6" r="F33"/>
  <c i="1" r="AZ99"/>
  <c i="7" r="F33"/>
  <c i="1" r="AZ100"/>
  <c i="8" r="F33"/>
  <c i="1" r="AZ101"/>
  <c r="BB94"/>
  <c r="W31"/>
  <c r="BC94"/>
  <c r="W32"/>
  <c i="2" r="F33"/>
  <c i="1" r="AZ95"/>
  <c i="9" r="J33"/>
  <c i="1" r="AV102"/>
  <c r="AT102"/>
  <c r="BD94"/>
  <c r="W33"/>
  <c i="3" r="F33"/>
  <c i="1" r="AZ96"/>
  <c i="4" r="J33"/>
  <c i="1" r="AV97"/>
  <c r="AT97"/>
  <c i="4" r="F33"/>
  <c i="1" r="AZ97"/>
  <c i="5" r="J33"/>
  <c i="1" r="AV98"/>
  <c r="AT98"/>
  <c i="6" r="J33"/>
  <c i="1" r="AV99"/>
  <c r="AT99"/>
  <c r="AN99"/>
  <c i="7" r="J33"/>
  <c i="1" r="AV100"/>
  <c r="AT100"/>
  <c i="8" r="J33"/>
  <c i="1" r="AV101"/>
  <c r="AT101"/>
  <c i="9" r="F33"/>
  <c i="1" r="AZ102"/>
  <c r="BA94"/>
  <c r="W30"/>
  <c i="2" l="1" r="T142"/>
  <c r="R142"/>
  <c i="3" r="T132"/>
  <c i="5" r="BK130"/>
  <c r="J130"/>
  <c i="3" r="BK132"/>
  <c r="J132"/>
  <c r="J96"/>
  <c i="7" r="BK124"/>
  <c r="J124"/>
  <c r="J96"/>
  <c i="8" r="BK118"/>
  <c r="J118"/>
  <c r="J96"/>
  <c i="9" r="BK122"/>
  <c r="J122"/>
  <c r="J96"/>
  <c i="6" r="J39"/>
  <c i="1" r="AN97"/>
  <c i="4" r="J96"/>
  <c r="J39"/>
  <c i="1" r="AU94"/>
  <c i="2" r="J30"/>
  <c i="1" r="AG95"/>
  <c i="5" r="J30"/>
  <c i="1" r="AG98"/>
  <c r="AY94"/>
  <c r="AW94"/>
  <c r="AK30"/>
  <c r="AX94"/>
  <c r="AZ94"/>
  <c r="AV94"/>
  <c r="AK29"/>
  <c i="5" l="1" r="J39"/>
  <c r="J96"/>
  <c i="2" r="J39"/>
  <c i="1" r="AN95"/>
  <c r="AN98"/>
  <c i="7" r="J30"/>
  <c i="1" r="AG100"/>
  <c i="8" r="J30"/>
  <c i="1" r="AG101"/>
  <c i="9" r="J30"/>
  <c i="1" r="AG102"/>
  <c r="W29"/>
  <c r="AT94"/>
  <c i="3" r="J30"/>
  <c i="1" r="AG96"/>
  <c i="9" l="1" r="J39"/>
  <c i="8" r="J39"/>
  <c i="3" r="J39"/>
  <c i="7" r="J39"/>
  <c i="1" r="AN96"/>
  <c r="AN102"/>
  <c r="AN100"/>
  <c r="AN101"/>
  <c r="AG94"/>
  <c r="AK26"/>
  <c r="AK35"/>
  <c l="1" r="AN94"/>
</calcChain>
</file>

<file path=xl/sharedStrings.xml><?xml version="1.0" encoding="utf-8"?>
<sst xmlns="http://schemas.openxmlformats.org/spreadsheetml/2006/main">
  <si>
    <t>Export Komplet</t>
  </si>
  <si>
    <t/>
  </si>
  <si>
    <t>2.0</t>
  </si>
  <si>
    <t>ZAMOK</t>
  </si>
  <si>
    <t>False</t>
  </si>
  <si>
    <t>{68aa9610-2764-4b8e-be85-2537b585aa02}</t>
  </si>
  <si>
    <t>0,1</t>
  </si>
  <si>
    <t>21</t>
  </si>
  <si>
    <t>1</t>
  </si>
  <si>
    <t>12</t>
  </si>
  <si>
    <t>REKAPITULACE STAVBY</t>
  </si>
  <si>
    <t xml:space="preserve">v ---  níže se nacházejí doplnkové a pomocné údaje k sestavám  --- v</t>
  </si>
  <si>
    <t>Návod na vyplnění</t>
  </si>
  <si>
    <t>0,001</t>
  </si>
  <si>
    <t>Kód:</t>
  </si>
  <si>
    <t>2025-015</t>
  </si>
  <si>
    <t xml:space="preserve">Měnit lze pouze buňky se žlutým podbarvením!_x000d_
_x000d_
1) na prvním listu Rekapitulace stavby vyplňte v sestavě_x000d_
_x000d_
    a) Souhrnný list_x000d_
       - údaje o Uchazeči_x000d_
         (přenesou se do ostatních sestav i v jiných listech)_x000d_
_x000d_
    b) Rekapitulace objektů_x000d_
       - potřebné Ostatní náklady_x000d_
_x000d_
2) na vybraných listech vyplňte v sestavě_x000d_
_x000d_
    a) Krycí list_x000d_
       - údaje o Uchazeči, pokud se liší od údajů o Uchazeči na Souhrnném listu_x000d_
         (údaje se přenesou do ostatních sestav v daném listu)_x000d_
_x000d_
    b) Rekapitulace rozpočtu_x000d_
       - potřebné Ostatní náklady_x000d_
_x000d_
    c) Celkové náklady za stavbu_x000d_
       - ceny u položek_x000d_
       - množství, pokud má žluté podbarvení_x000d_
       - a v případě potřeby poznámku (ta je ve skrytém sloupci)</t>
  </si>
  <si>
    <t>Stavba:</t>
  </si>
  <si>
    <t>Areál společnosti FORESTINA s.r.o. Horažďovice, Blatenská 587</t>
  </si>
  <si>
    <t>KSO:</t>
  </si>
  <si>
    <t>CC-CZ:</t>
  </si>
  <si>
    <t>Místo:</t>
  </si>
  <si>
    <t>Horažďovice</t>
  </si>
  <si>
    <t>Datum:</t>
  </si>
  <si>
    <t>26. 11. 2025</t>
  </si>
  <si>
    <t>Zadavatel:</t>
  </si>
  <si>
    <t>IČ:</t>
  </si>
  <si>
    <t>FORESTINA s.r.o.</t>
  </si>
  <si>
    <t>DIČ:</t>
  </si>
  <si>
    <t>Uchazeč:</t>
  </si>
  <si>
    <t>Vyplň údaj</t>
  </si>
  <si>
    <t>Projektant:</t>
  </si>
  <si>
    <t>True</t>
  </si>
  <si>
    <t>STA projektový ateliér, s.r.o.</t>
  </si>
  <si>
    <t>Zpracovatel:</t>
  </si>
  <si>
    <t>Pavel Hrba</t>
  </si>
  <si>
    <t>Poznámka:</t>
  </si>
  <si>
    <t>Cena bez DPH</t>
  </si>
  <si>
    <t>Sazba daně</t>
  </si>
  <si>
    <t>Základ daně</t>
  </si>
  <si>
    <t>Výše daně</t>
  </si>
  <si>
    <t>DPH</t>
  </si>
  <si>
    <t>základní</t>
  </si>
  <si>
    <t>snížená</t>
  </si>
  <si>
    <t>zákl. přenesená</t>
  </si>
  <si>
    <t>sníž. přenesená</t>
  </si>
  <si>
    <t>nulová</t>
  </si>
  <si>
    <t>Cena s DPH</t>
  </si>
  <si>
    <t>v</t>
  </si>
  <si>
    <t>CZK</t>
  </si>
  <si>
    <t>Projektant</t>
  </si>
  <si>
    <t>Zpracovatel</t>
  </si>
  <si>
    <t>Datum a podpis:</t>
  </si>
  <si>
    <t>Razítko</t>
  </si>
  <si>
    <t>Objednavatel</t>
  </si>
  <si>
    <t>Uchazeč</t>
  </si>
  <si>
    <t>REKAPITULACE OBJEKTŮ STAVBY A SOUPISŮ PRACÍ</t>
  </si>
  <si>
    <t>Informatívní údaje z listů zakázek</t>
  </si>
  <si>
    <t>Kód</t>
  </si>
  <si>
    <t>Popis</t>
  </si>
  <si>
    <t>Cena bez DPH [CZK]</t>
  </si>
  <si>
    <t>Cena s DPH [CZK]</t>
  </si>
  <si>
    <t>Typ</t>
  </si>
  <si>
    <t>z toho Ostat._x000d_
náklady [CZK]</t>
  </si>
  <si>
    <t>DPH [CZK]</t>
  </si>
  <si>
    <t>Normohodiny [h]</t>
  </si>
  <si>
    <t>DPH základní [CZK]</t>
  </si>
  <si>
    <t>DPH snížená [CZK]</t>
  </si>
  <si>
    <t>DPH základní přenesená_x000d_
[CZK]</t>
  </si>
  <si>
    <t>DPH snížená přenesená_x000d_
[CZK]</t>
  </si>
  <si>
    <t>Základna_x000d_
DPH základní</t>
  </si>
  <si>
    <t>Základna_x000d_
DPH snížená</t>
  </si>
  <si>
    <t>Základna_x000d_
DPH zákl. přenesená</t>
  </si>
  <si>
    <t>Základna_x000d_
DPH sníž. přenesená</t>
  </si>
  <si>
    <t>Základna_x000d_
DPH nulová</t>
  </si>
  <si>
    <t>Náklady z rozpočtů</t>
  </si>
  <si>
    <t>D</t>
  </si>
  <si>
    <t>0</t>
  </si>
  <si>
    <t>###NOIMPORT###</t>
  </si>
  <si>
    <t>IMPORT</t>
  </si>
  <si>
    <t>{00000000-0000-0000-0000-000000000000}</t>
  </si>
  <si>
    <t>/</t>
  </si>
  <si>
    <t>010</t>
  </si>
  <si>
    <t>Administrativní část</t>
  </si>
  <si>
    <t>STA</t>
  </si>
  <si>
    <t>{0e1d3afc-a368-463a-a7a3-e114b9d51893}</t>
  </si>
  <si>
    <t>2</t>
  </si>
  <si>
    <t>020</t>
  </si>
  <si>
    <t>Hala</t>
  </si>
  <si>
    <t>{5c4e2521-7dee-472e-b127-0e49beaaef6a}</t>
  </si>
  <si>
    <t>021</t>
  </si>
  <si>
    <t>Hala - markýzy VP9</t>
  </si>
  <si>
    <t>{e3e7d31b-6dbe-4245-8402-26b3f7514172}</t>
  </si>
  <si>
    <t>030</t>
  </si>
  <si>
    <t>Venkovní úpravy</t>
  </si>
  <si>
    <t>{8b060006-cceb-46d8-bb42-7dd4341839aa}</t>
  </si>
  <si>
    <t>034</t>
  </si>
  <si>
    <t>Venkovní úpravy - přístřešek vrátnice VP2</t>
  </si>
  <si>
    <t>{43a3e2ee-366a-4af5-9516-a7362147a5fd}</t>
  </si>
  <si>
    <t>035</t>
  </si>
  <si>
    <t>Venkovní úpravy - přístřešek VP3</t>
  </si>
  <si>
    <t>{a8456b17-e805-4b2b-a150-f9140a03fa8d}</t>
  </si>
  <si>
    <t>080</t>
  </si>
  <si>
    <t>Technické zařízení budov</t>
  </si>
  <si>
    <t>{b8ac5236-4d13-41bd-9447-bd56b1070c55}</t>
  </si>
  <si>
    <t>090</t>
  </si>
  <si>
    <t>Vedlejší a ostatní rozpočtové náklady</t>
  </si>
  <si>
    <t>{bfe7374a-57ab-4b72-acd6-56a54440d281}</t>
  </si>
  <si>
    <t>KRYCÍ LIST SOUPISU PRACÍ</t>
  </si>
  <si>
    <t>Objekt:</t>
  </si>
  <si>
    <t>010 - Administrativní část</t>
  </si>
  <si>
    <t>REKAPITULACE ČLENĚNÍ SOUPISU PRACÍ</t>
  </si>
  <si>
    <t>Kód dílu - Popis</t>
  </si>
  <si>
    <t>Cena celkem [CZK]</t>
  </si>
  <si>
    <t>Náklady ze soupisu prací</t>
  </si>
  <si>
    <t>-1</t>
  </si>
  <si>
    <t>HSV - Práce a dodávky HSV</t>
  </si>
  <si>
    <t xml:space="preserve">    1 - Zemní práce</t>
  </si>
  <si>
    <t xml:space="preserve">    2 - Zakládání</t>
  </si>
  <si>
    <t xml:space="preserve">    3 - Svislé a kompletní konstrukce</t>
  </si>
  <si>
    <t xml:space="preserve">    4 - Vodorovné konstrukce</t>
  </si>
  <si>
    <t xml:space="preserve">    5 - Komunikace pozemní</t>
  </si>
  <si>
    <t xml:space="preserve">    6 - Úpravy povrchů, podlahy a osazování výplní</t>
  </si>
  <si>
    <t xml:space="preserve">    9 - Ostatní konstrukce a práce, bourání</t>
  </si>
  <si>
    <t xml:space="preserve">    998 - Přesun hmot</t>
  </si>
  <si>
    <t>PSV - Práce a dodávky PSV</t>
  </si>
  <si>
    <t xml:space="preserve">    711 - Izolace proti vodě, vlhkosti a plynům</t>
  </si>
  <si>
    <t xml:space="preserve">    712 - Povlakové krytiny</t>
  </si>
  <si>
    <t xml:space="preserve">    713 - Izolace tepelné</t>
  </si>
  <si>
    <t xml:space="preserve">    762 - Konstrukce tesařské</t>
  </si>
  <si>
    <t xml:space="preserve">    763 - Konstrukce suché výstavby</t>
  </si>
  <si>
    <t xml:space="preserve">    764 - Konstrukce klempířské</t>
  </si>
  <si>
    <t xml:space="preserve">    766 - Konstrukce truhlářské</t>
  </si>
  <si>
    <t xml:space="preserve">    767 - Konstrukce zámečnické</t>
  </si>
  <si>
    <t xml:space="preserve">    771 - Podlahy z dlaždic</t>
  </si>
  <si>
    <t xml:space="preserve">    775 - Podlahy skládané</t>
  </si>
  <si>
    <t xml:space="preserve">    776 - Podlahy povlakové</t>
  </si>
  <si>
    <t xml:space="preserve">    781 - Dokončovací práce - obklady</t>
  </si>
  <si>
    <t xml:space="preserve">    783 - Dokončovací práce - nátěry</t>
  </si>
  <si>
    <t xml:space="preserve">    784 - Dokončovací práce - malby a tapety</t>
  </si>
  <si>
    <t>M - Práce a dodávky M</t>
  </si>
  <si>
    <t xml:space="preserve">    33-M - Montáže dopravních zařízení</t>
  </si>
  <si>
    <t>SOUPIS PRACÍ</t>
  </si>
  <si>
    <t>PČ</t>
  </si>
  <si>
    <t>MJ</t>
  </si>
  <si>
    <t>Množství</t>
  </si>
  <si>
    <t>J.cena [CZK]</t>
  </si>
  <si>
    <t>Cenová soustava</t>
  </si>
  <si>
    <t>J. Nh [h]</t>
  </si>
  <si>
    <t>Nh celkem [h]</t>
  </si>
  <si>
    <t>J. hmotnost [t]</t>
  </si>
  <si>
    <t>Hmotnost celkem [t]</t>
  </si>
  <si>
    <t>J. suť [t]</t>
  </si>
  <si>
    <t>Suť Celkem [t]</t>
  </si>
  <si>
    <t>Náklady soupisu celkem</t>
  </si>
  <si>
    <t>HSV</t>
  </si>
  <si>
    <t>Práce a dodávky HSV</t>
  </si>
  <si>
    <t>ROZPOCET</t>
  </si>
  <si>
    <t>Zemní práce</t>
  </si>
  <si>
    <t>K</t>
  </si>
  <si>
    <t>131251106</t>
  </si>
  <si>
    <t>Hloubení jam nezapažených v hornině třídy těžitelnosti I skupiny 3 objem do 5000 m3 strojně</t>
  </si>
  <si>
    <t>m3</t>
  </si>
  <si>
    <t>4</t>
  </si>
  <si>
    <t>2073464730</t>
  </si>
  <si>
    <t>VV</t>
  </si>
  <si>
    <t>"Stavební jáma" 94*12*1,65</t>
  </si>
  <si>
    <t>"Pro 1.PP" 1,3/3*(8,8*14,7+sqrt(8,8*14,7*9,8*15,7)+9,8*15,7)</t>
  </si>
  <si>
    <t>162351103</t>
  </si>
  <si>
    <t>Vodorovné přemístění přes 50 do 500 m výkopku/sypaniny z horniny třídy těžitelnosti I skupiny 1 až 3</t>
  </si>
  <si>
    <t>1427890125</t>
  </si>
  <si>
    <t>Na meziskládku :</t>
  </si>
  <si>
    <t>"Zemina z pilot" 225*0,315*0,315*pi</t>
  </si>
  <si>
    <t>"Stavební jáma" 2045,063</t>
  </si>
  <si>
    <t>Zpět na zásypy :</t>
  </si>
  <si>
    <t>475,976</t>
  </si>
  <si>
    <t>3</t>
  </si>
  <si>
    <t>162751117</t>
  </si>
  <si>
    <t>Vodorovné přemístění přes 9 000 do 10000 m výkopku/sypaniny z horniny třídy těžitelnosti I skupiny 1 až 3</t>
  </si>
  <si>
    <t>-109961074</t>
  </si>
  <si>
    <t>"Přebytečná zemina" 2045,063-475,976</t>
  </si>
  <si>
    <t>162751119</t>
  </si>
  <si>
    <t>Příplatek k vodorovnému přemístění výkopku/sypaniny z horniny třídy těžitelnosti I skupiny 1 až 3 ZKD 1000 m přes 10000 m</t>
  </si>
  <si>
    <t>-1073244655</t>
  </si>
  <si>
    <t>"Škládka AZS-98 Zavlekov" (2045,063-475,976)*17</t>
  </si>
  <si>
    <t>5</t>
  </si>
  <si>
    <t>167151111</t>
  </si>
  <si>
    <t>Nakládání výkopku z hornin třídy těžitelnosti I skupiny 1 až 3 přes 100 m3</t>
  </si>
  <si>
    <t>1344455793</t>
  </si>
  <si>
    <t>"Zpět na zásypy" 475,976</t>
  </si>
  <si>
    <t>6</t>
  </si>
  <si>
    <t>171201231</t>
  </si>
  <si>
    <t>Poplatek za uložení zeminy a kamení na recyklační skládce (skládkovné) kód odpadu 17 05 04</t>
  </si>
  <si>
    <t>t</t>
  </si>
  <si>
    <t>601001348</t>
  </si>
  <si>
    <t>"Přebytečná zemina" (2045,063-475,976)*1,75</t>
  </si>
  <si>
    <t>7</t>
  </si>
  <si>
    <t>171251201</t>
  </si>
  <si>
    <t>Uložení sypaniny na skládky nebo meziskládky</t>
  </si>
  <si>
    <t>-201890480</t>
  </si>
  <si>
    <t>8</t>
  </si>
  <si>
    <t>174151101</t>
  </si>
  <si>
    <t>Zásyp jam, šachet rýh nebo kolem objektů sypaninou se zhutněním</t>
  </si>
  <si>
    <t>-1900741626</t>
  </si>
  <si>
    <t>"Okolo objektu" 1861,2-81,11-902,4-670,08*0,643</t>
  </si>
  <si>
    <t>"Okolo 1.PP" 183,863-12,936-51,744-112,545*0,8</t>
  </si>
  <si>
    <t>9</t>
  </si>
  <si>
    <t>181951112</t>
  </si>
  <si>
    <t>Úprava pláně v hornině třídy těžitelnosti I skupiny 1 až 3 se zhutněním strojně</t>
  </si>
  <si>
    <t>m2</t>
  </si>
  <si>
    <t>406470522</t>
  </si>
  <si>
    <t>"Pro pojezd při pilotáži" 94*12</t>
  </si>
  <si>
    <t>Zakládání</t>
  </si>
  <si>
    <t>10</t>
  </si>
  <si>
    <t>226212113</t>
  </si>
  <si>
    <t>Vrty velkoprofilové svislé zapažené D přes 550 do 650 mm hl od 0 do 5 m hornina III</t>
  </si>
  <si>
    <t>m</t>
  </si>
  <si>
    <t>976492648</t>
  </si>
  <si>
    <t>3,1*17+4*2+19*0,5</t>
  </si>
  <si>
    <t>11</t>
  </si>
  <si>
    <t>226212213</t>
  </si>
  <si>
    <t>Vrty velkoprofilové svislé zapažené D přes 550 do 650 mm hl od 0 do 10 m hornina III</t>
  </si>
  <si>
    <t>-395471513</t>
  </si>
  <si>
    <t>5,1+6*14+15*0,5</t>
  </si>
  <si>
    <t>231212112</t>
  </si>
  <si>
    <t>Zřízení pilot svislých zapažených D přes 450 do 650 mm hl od 0 do 10 m s vytažením pažnic z betonu železového</t>
  </si>
  <si>
    <t>-97416219</t>
  </si>
  <si>
    <t>3,1*17+4*2+5,1+6*14+34*0,5</t>
  </si>
  <si>
    <t>13</t>
  </si>
  <si>
    <t>M</t>
  </si>
  <si>
    <t>58932936</t>
  </si>
  <si>
    <t>beton C 25/30 X0,XC1-4,XD1-2,XA1-2,XF1 kamenivo frakce 0/16</t>
  </si>
  <si>
    <t>-2056310925</t>
  </si>
  <si>
    <t>166,8*0,315*0,315*pi</t>
  </si>
  <si>
    <t>51,996*1,05 'Přepočtené koeficientem množství</t>
  </si>
  <si>
    <t>14</t>
  </si>
  <si>
    <t>231611114</t>
  </si>
  <si>
    <t>Výztuž pilot betonovaných do země ocel z betonářské oceli 10 505</t>
  </si>
  <si>
    <t>1505817826</t>
  </si>
  <si>
    <t>"B500B 20mm" 166,8*12*2,47/1000*1,1</t>
  </si>
  <si>
    <t>"B500B 10mm" 166,8/0,25*0,47*pi*0,617/1000*1,1</t>
  </si>
  <si>
    <t>15</t>
  </si>
  <si>
    <t>239111112</t>
  </si>
  <si>
    <t>Odbourání vrchní části znehodnocené výplně pilot D piloty přes 450 do 650 mm</t>
  </si>
  <si>
    <t>-1455955893</t>
  </si>
  <si>
    <t>34*0,5</t>
  </si>
  <si>
    <t>16</t>
  </si>
  <si>
    <t>273323611</t>
  </si>
  <si>
    <t>Základové desky ze ŽB pro konstrukce bílých van tř. C 30/37</t>
  </si>
  <si>
    <t>-2091491331</t>
  </si>
  <si>
    <t>"1.PP" ((13,6637+15,68)/2*8,4+2,257*0,5-0,8*0,8+4*2,55)*0,3</t>
  </si>
  <si>
    <t>17</t>
  </si>
  <si>
    <t>273351121</t>
  </si>
  <si>
    <t>Zřízení bednění základových desek</t>
  </si>
  <si>
    <t>227236948</t>
  </si>
  <si>
    <t>(13,663+13,46+0,5+2,257+9,134+8,4+2,55*2+4)*0,4</t>
  </si>
  <si>
    <t>18</t>
  </si>
  <si>
    <t>273351122</t>
  </si>
  <si>
    <t>Odstranění bednění základových desek</t>
  </si>
  <si>
    <t>-402518547</t>
  </si>
  <si>
    <t>19</t>
  </si>
  <si>
    <t>273361821</t>
  </si>
  <si>
    <t>Výztuž základových desek betonářskou ocelí 10 505 (R)</t>
  </si>
  <si>
    <t>-1946271829</t>
  </si>
  <si>
    <t>40,18*0,09</t>
  </si>
  <si>
    <t>20</t>
  </si>
  <si>
    <t>274322611</t>
  </si>
  <si>
    <t>Základové pasy ze ŽB se zvýšenými nároky na prostředí tř. C 30/37</t>
  </si>
  <si>
    <t>-667061354</t>
  </si>
  <si>
    <t xml:space="preserve">"Žeb-a/01a"  ((8,2+4,7+6*2+2,4+1,2)*0,5+(34,4+2,2+37,1)*0,7)*0,45</t>
  </si>
  <si>
    <t xml:space="preserve">"Žeb-a/02"  (29+6+31,7+8,2)*0,5*1,35</t>
  </si>
  <si>
    <t>"SCH/4" 1,45*0,69*(1,288+1)/2</t>
  </si>
  <si>
    <t>274351121</t>
  </si>
  <si>
    <t>Zřízení bednění základových pasů rovného</t>
  </si>
  <si>
    <t>-537717122</t>
  </si>
  <si>
    <t xml:space="preserve">"Žeb-a/01a"  (8,2+4,7+6*2+2,4+1,2+34,4+2,2+37,1)*0,45*2</t>
  </si>
  <si>
    <t xml:space="preserve">"Žeb-a/02"  (29+6+31,7+8,2)*1,35*2</t>
  </si>
  <si>
    <t>"SCH/4" (1,45+0,69)*2*(1,288+1)/2</t>
  </si>
  <si>
    <t>22</t>
  </si>
  <si>
    <t>274351122</t>
  </si>
  <si>
    <t>Odstranění bednění základových pasů rovného</t>
  </si>
  <si>
    <t>-2047326951</t>
  </si>
  <si>
    <t>23</t>
  </si>
  <si>
    <t>274361821</t>
  </si>
  <si>
    <t>Výztuž základových pasů betonářskou ocelí 10 505 (R)</t>
  </si>
  <si>
    <t>-677502160</t>
  </si>
  <si>
    <t>"Předpoklad" 81,331*0,09</t>
  </si>
  <si>
    <t>Svislé a kompletní konstrukce</t>
  </si>
  <si>
    <t>24</t>
  </si>
  <si>
    <t>311113151</t>
  </si>
  <si>
    <t>Nadzákladová zeď tl přes 100 do 150 mm z hladkých tvárnic ztraceného bednění včetně výplně z betonu tř. C 25/30</t>
  </si>
  <si>
    <t>-279378389</t>
  </si>
  <si>
    <t>"1.PP" (5,95*3+2,5+2,45+1,15)*2,7-0,96*2,28*3</t>
  </si>
  <si>
    <t>25</t>
  </si>
  <si>
    <t>311113152</t>
  </si>
  <si>
    <t>Nadzákladová zeď tl přes 150 do 200 mm z hladkých tvárnic ztraceného bednění včetně výplně z betonu tř. C 25/30</t>
  </si>
  <si>
    <t>7501137</t>
  </si>
  <si>
    <t>"1.PP" 1,2*1,505+ (5,95+8,125)*2,7-1*2,28-0,96*2,28*3</t>
  </si>
  <si>
    <t>26</t>
  </si>
  <si>
    <t>311321611</t>
  </si>
  <si>
    <t>Nosná zeď ze ŽB tř. C 30/37 bez výztuže</t>
  </si>
  <si>
    <t>718891202</t>
  </si>
  <si>
    <t>"Výtahová šachta" ((1,6+2,41)*2*9,1-1*2,1*4)*0,2</t>
  </si>
  <si>
    <t>"SCH.02" ((3,1+4,375*2+3,175)*7,18+1,2*2,7-0,96*2,28)*0,2</t>
  </si>
  <si>
    <t>27</t>
  </si>
  <si>
    <t>311351121</t>
  </si>
  <si>
    <t>Zřízení oboustranného bednění nosných nadzákladových zdí</t>
  </si>
  <si>
    <t>314285042</t>
  </si>
  <si>
    <t>"Výtahová šachta" ((1,6+2,41)*2*9,1-1*2,1*4)*2</t>
  </si>
  <si>
    <t>"SCH.02" ((3,1+4,375*2+3,175)*7,18+1,2*2,7-0,96*2,28)*2</t>
  </si>
  <si>
    <t>28</t>
  </si>
  <si>
    <t>311351122</t>
  </si>
  <si>
    <t>Odstranění oboustranného bednění nosných nadzákladových zdí</t>
  </si>
  <si>
    <t>2050812533</t>
  </si>
  <si>
    <t>29</t>
  </si>
  <si>
    <t>311361821</t>
  </si>
  <si>
    <t>Výztuž nosných zdí betonářskou ocelí 10 505</t>
  </si>
  <si>
    <t>-1109297014</t>
  </si>
  <si>
    <t>(58,099*0,15+30,962*0,2+34,702)*0,12</t>
  </si>
  <si>
    <t>30</t>
  </si>
  <si>
    <t>337173110</t>
  </si>
  <si>
    <t>Montáž ocelových kcí skeletů 1 až 2 podlažních budov</t>
  </si>
  <si>
    <t>-897106889</t>
  </si>
  <si>
    <t>"Nosná konstrukce" 83339/1000*1,1</t>
  </si>
  <si>
    <t>"Sekundární konstrukce" 824,88/1000*1,1</t>
  </si>
  <si>
    <t>31</t>
  </si>
  <si>
    <t>M-337-1-010</t>
  </si>
  <si>
    <t>nosná ocelová konstrukce administrativní přístavby včetně povrchové úpravy</t>
  </si>
  <si>
    <t>-306325738</t>
  </si>
  <si>
    <t>32</t>
  </si>
  <si>
    <t>380326342</t>
  </si>
  <si>
    <t>Kompletní konstrukce ČOV, nádrží, vodojemů, žlabů ze ŽB pro konstrukce bílých van tř. C 30/37 tl přes 150 do 300 mm</t>
  </si>
  <si>
    <t>-1245839047</t>
  </si>
  <si>
    <t>"1.PP" ((7,3+13,266+8,021+2,257+0,3+13,46)*2,7-2,51*1,125)*0,3</t>
  </si>
  <si>
    <t>"Jímka" (1,4*1,4+(0,8+1,4)*2*1,05)*0,3</t>
  </si>
  <si>
    <t>33</t>
  </si>
  <si>
    <t>380356211</t>
  </si>
  <si>
    <t>Bednění kompletních konstrukcí ČOV, nádrží nebo vodojemů omítaných ploch rovinných zřízení</t>
  </si>
  <si>
    <t>1309012455</t>
  </si>
  <si>
    <t>"1.PP" ((7,3+13,266+8,021+2,257+0,3+13,46)*2,7-2,51*1,125)*2+0,3*1,125*2</t>
  </si>
  <si>
    <t>"Jímka" 1,4*4*0,8*4*1,5</t>
  </si>
  <si>
    <t>34</t>
  </si>
  <si>
    <t>380356212</t>
  </si>
  <si>
    <t>Bednění kompletních konstrukcí ČOV, nádrží nebo vodojemů omítaných ploch rovinných odstranění</t>
  </si>
  <si>
    <t>-326123956</t>
  </si>
  <si>
    <t>35</t>
  </si>
  <si>
    <t>380361006</t>
  </si>
  <si>
    <t>Výztuž kompletních konstrukcí ČOV, nádrží nebo vodojemů z betonářské oceli 10 505</t>
  </si>
  <si>
    <t>1023165685</t>
  </si>
  <si>
    <t>37,256*0,12</t>
  </si>
  <si>
    <t>36</t>
  </si>
  <si>
    <t>3809-1-010</t>
  </si>
  <si>
    <t>Dodávka a montáž betonového prefa anglického dvorku u m.č. 0.06</t>
  </si>
  <si>
    <t>ks</t>
  </si>
  <si>
    <t>-2051548032</t>
  </si>
  <si>
    <t>Vodorovné konstrukce</t>
  </si>
  <si>
    <t>37</t>
  </si>
  <si>
    <t>411321414</t>
  </si>
  <si>
    <t>Stropy deskové ze ŽB tř. C 25/30</t>
  </si>
  <si>
    <t>-1271663471</t>
  </si>
  <si>
    <t>"SP-a/01" 691,7*(0,05+0,05/2)</t>
  </si>
  <si>
    <t>"PDL-a.02" 633,4*(0,05+0,05/2)</t>
  </si>
  <si>
    <t>"Nad 1.PP" ((13,163+15,204)/2*8,2+1,724*0,25-3,1*4,675-2,15*0,2)*0,25</t>
  </si>
  <si>
    <t>"Nad výtahem" 2*2,41*0,15</t>
  </si>
  <si>
    <t>38</t>
  </si>
  <si>
    <t>411351011</t>
  </si>
  <si>
    <t>Zřízení bednění stropů deskových tl přes 5 do 25 cm bez podpěrné kce</t>
  </si>
  <si>
    <t>-57697844</t>
  </si>
  <si>
    <t>"Nad 1.PP" (13,163+15,204)/2*8,2+1,724*0,25-3,1*4,675-2,15*0,2</t>
  </si>
  <si>
    <t>(13,163+15,204+8,2+8,621+0,25+(3,1+4,675+0,3)*2-2,51*2)*0,25</t>
  </si>
  <si>
    <t>"Nad výtahem" (2+2,41)*2*0,15+1,6*2,01</t>
  </si>
  <si>
    <t>39</t>
  </si>
  <si>
    <t>411351012</t>
  </si>
  <si>
    <t>Odstranění bednění stropů deskových tl přes 5 do 25 cm bez podpěrné kce</t>
  </si>
  <si>
    <t>-822882756</t>
  </si>
  <si>
    <t>40</t>
  </si>
  <si>
    <t>411354249</t>
  </si>
  <si>
    <t>Bednění stropů ztracené z hraněných trapézových vln v 60 mm plech pozinkovaný tl 1,0 mm</t>
  </si>
  <si>
    <t>-33539318</t>
  </si>
  <si>
    <t>"TP-a.01" 633,4</t>
  </si>
  <si>
    <t>"TP-a.02" 691,7</t>
  </si>
  <si>
    <t>41</t>
  </si>
  <si>
    <t>411354313</t>
  </si>
  <si>
    <t>Zřízení podpěrné konstrukce stropů výšky do 4 m tl přes 15 do 25 cm</t>
  </si>
  <si>
    <t>2014919728</t>
  </si>
  <si>
    <t>"Nad výtahem" 1,6*2,01</t>
  </si>
  <si>
    <t>42</t>
  </si>
  <si>
    <t>411354314</t>
  </si>
  <si>
    <t>Odstranění podpěrné konstrukce stropů výšky do 4 m tl přes 15 do 25 cm</t>
  </si>
  <si>
    <t>-681680535</t>
  </si>
  <si>
    <t>43</t>
  </si>
  <si>
    <t>411361821</t>
  </si>
  <si>
    <t>Výztuž stropů betonářskou ocelí 10 505</t>
  </si>
  <si>
    <t>-989156869</t>
  </si>
  <si>
    <t>"SP-a/01" 691,7/0,15*0,89/1000</t>
  </si>
  <si>
    <t>"PDL-a.02" 633,4/0,15*0,89/1000</t>
  </si>
  <si>
    <t>"Nad 1.PP" 25,453*0,15</t>
  </si>
  <si>
    <t>"Nad výtahem" 2*2,41*0,15*0,15</t>
  </si>
  <si>
    <t>44</t>
  </si>
  <si>
    <t>411362021</t>
  </si>
  <si>
    <t>Výztuž stropů svařovanými sítěmi Kari</t>
  </si>
  <si>
    <t>547952787</t>
  </si>
  <si>
    <t>"SP-a/01" 691,7*1,1*5,4/1000</t>
  </si>
  <si>
    <t>"PDL-a.02" 633,4*1,1*5,4/1000</t>
  </si>
  <si>
    <t>45</t>
  </si>
  <si>
    <t>4309-1-010</t>
  </si>
  <si>
    <t>Monolitické železobetonové schodiště z 1.PP do 2.NP 3 x 4,45 m, šířka ramene 1200 mm, 43 stupňů,vč. ISO prvků, ozn. SCH/02</t>
  </si>
  <si>
    <t>kpl</t>
  </si>
  <si>
    <t>1123187192</t>
  </si>
  <si>
    <t>46</t>
  </si>
  <si>
    <t>434311115</t>
  </si>
  <si>
    <t>Schodišťové stupně dusané na terén z betonu tř. C 20/25 bez potěru</t>
  </si>
  <si>
    <t>-1098975366</t>
  </si>
  <si>
    <t>"SCH/04" 1,25*2</t>
  </si>
  <si>
    <t>47</t>
  </si>
  <si>
    <t>434351141</t>
  </si>
  <si>
    <t>Zřízení bednění stupňů přímočarých schodišť</t>
  </si>
  <si>
    <t>194449358</t>
  </si>
  <si>
    <t>"SCH/04" 1,25*2*(0,144+0,345)+0,144*0,345/2*4</t>
  </si>
  <si>
    <t>48</t>
  </si>
  <si>
    <t>434351142</t>
  </si>
  <si>
    <t>Odstranění bednění stupňů přímočarých schodišť</t>
  </si>
  <si>
    <t>191869658</t>
  </si>
  <si>
    <t>49</t>
  </si>
  <si>
    <t>463211151</t>
  </si>
  <si>
    <t>Rovnanina objemu přes 3 m3 z lomového kamene tříděného hmotnosti do 80 kg s urovnáním líce</t>
  </si>
  <si>
    <t>356000513</t>
  </si>
  <si>
    <t>"Výměna podloží" 94*12*0,8</t>
  </si>
  <si>
    <t>50</t>
  </si>
  <si>
    <t>4809-1-010</t>
  </si>
  <si>
    <t>Dodávka a montáž monolitické železobetonové konstrukce přístupového mola (lávky) cca 1,4x3 m</t>
  </si>
  <si>
    <t>1307043178</t>
  </si>
  <si>
    <t>Komunikace pozemní</t>
  </si>
  <si>
    <t>51</t>
  </si>
  <si>
    <t>564961315</t>
  </si>
  <si>
    <t>Podklad z betonového recyklátu plochy přes 100 m2 tl 200 mm</t>
  </si>
  <si>
    <t>-1623453703</t>
  </si>
  <si>
    <t>Úpravy povrchů, podlahy a osazování výplní</t>
  </si>
  <si>
    <t>52</t>
  </si>
  <si>
    <t>612142001</t>
  </si>
  <si>
    <t>Pletivo sklovláknité vnitřních stěn vtlačené do tmelu</t>
  </si>
  <si>
    <t>-246889604</t>
  </si>
  <si>
    <t>"Vestavek do haly" (10,85+0,65*2)*4,2+11,05*0,89-0,9*2,15</t>
  </si>
  <si>
    <t>53</t>
  </si>
  <si>
    <t>612323111</t>
  </si>
  <si>
    <t>Vápenocementová omítka hladkých vnitřních stěn tloušťky do 5 mm nanášená ručně</t>
  </si>
  <si>
    <t>-1254114641</t>
  </si>
  <si>
    <t>54</t>
  </si>
  <si>
    <t>622135011</t>
  </si>
  <si>
    <t>Vyrovnání podkladu vnějších stěn tmelem tl do 2 mm</t>
  </si>
  <si>
    <t>-433555222</t>
  </si>
  <si>
    <t>"F-a.01E" 11,41</t>
  </si>
  <si>
    <t>"F-a.01G" 27,12</t>
  </si>
  <si>
    <t>55</t>
  </si>
  <si>
    <t>622211041</t>
  </si>
  <si>
    <t>Montáž kontaktního zateplení vnějších stěn lepením a mechanickým kotvením polystyrénových desek do betonu a zdiva tl přes 160 do 200 mm</t>
  </si>
  <si>
    <t>-1036972074</t>
  </si>
  <si>
    <t>"F-a.01F" 25,29</t>
  </si>
  <si>
    <t>56</t>
  </si>
  <si>
    <t>28376652</t>
  </si>
  <si>
    <t>deska XPS hrana polodrážková a hladký povrch 500kPA λ=0,035 tl 200mm</t>
  </si>
  <si>
    <t>1523845037</t>
  </si>
  <si>
    <t>63,82</t>
  </si>
  <si>
    <t>63,82*1,05 'Přepočtené koeficientem množství</t>
  </si>
  <si>
    <t>57</t>
  </si>
  <si>
    <t>622151001</t>
  </si>
  <si>
    <t>Penetrační akrylátový nátěr vnějších pastovitých tenkovrstvých omítek stěn</t>
  </si>
  <si>
    <t>822221822</t>
  </si>
  <si>
    <t>58</t>
  </si>
  <si>
    <t>622211051</t>
  </si>
  <si>
    <t>Montáž kontaktního zateplení vnějších stěn lepením a mechanickým kotvením polystyrénových desek do betonu a zdiva tl přes 200 do 240 mm</t>
  </si>
  <si>
    <t>-1198992935</t>
  </si>
  <si>
    <t>59</t>
  </si>
  <si>
    <t>28375958</t>
  </si>
  <si>
    <t>deska EPS 70 fasádní λ=0,039 tl 240mm</t>
  </si>
  <si>
    <t>73703966</t>
  </si>
  <si>
    <t>58,93</t>
  </si>
  <si>
    <t>58,93*1,05 'Přepočtené koeficientem množství</t>
  </si>
  <si>
    <t>60</t>
  </si>
  <si>
    <t>631311113</t>
  </si>
  <si>
    <t>Mazanina tl přes 50 do 80 mm z betonu prostého bez zvýšených nároků na prostředí tř. C 12/15</t>
  </si>
  <si>
    <t>21480832</t>
  </si>
  <si>
    <t>"1.PP-pod zákl.deskou" ((13,6637+15,68)/2*8,4+2,257*0,5-0,8*0,8+4*2,55)*0,05</t>
  </si>
  <si>
    <t>61</t>
  </si>
  <si>
    <t>631311115</t>
  </si>
  <si>
    <t>Mazanina tl přes 50 do 80 mm z betonu prostého bez zvýšených nároků na prostředí tř. C 20/25</t>
  </si>
  <si>
    <t>1283882473</t>
  </si>
  <si>
    <t>"PDL-a/01" 607,78*0,056</t>
  </si>
  <si>
    <t>"PDL-a/02" 567,56*0,056</t>
  </si>
  <si>
    <t>"PDL-a/04" 92,25*0,05</t>
  </si>
  <si>
    <t>62</t>
  </si>
  <si>
    <t>631311136</t>
  </si>
  <si>
    <t>Mazanina tl přes 120 do 240 mm z betonu prostého bez zvýšených nároků na prostředí tř. C 25/30</t>
  </si>
  <si>
    <t>-1601687320</t>
  </si>
  <si>
    <t>"PDL-a/01a"(8,2*37,35-2,4*1,87-2,45*4)*0,15</t>
  </si>
  <si>
    <t>"PDL-a/01b" (8,2*37,3-4,6*6)*0,15</t>
  </si>
  <si>
    <t>63</t>
  </si>
  <si>
    <t>631319011</t>
  </si>
  <si>
    <t>Příplatek k mazanině tl přes 50 do 80 mm za přehlazení povrchu</t>
  </si>
  <si>
    <t>-1765599913</t>
  </si>
  <si>
    <t>64</t>
  </si>
  <si>
    <t>631319171</t>
  </si>
  <si>
    <t>Příplatek k mazanině tl přes 50 do 80 mm za stržení povrchu spodní vrstvy před vložením výztuže</t>
  </si>
  <si>
    <t>-799947475</t>
  </si>
  <si>
    <t>65</t>
  </si>
  <si>
    <t>631319175</t>
  </si>
  <si>
    <t>Příplatek k mazanině tl přes 120 do 240 mm za stržení povrchu spodní vrstvy před vložením výztuže</t>
  </si>
  <si>
    <t>-192102505</t>
  </si>
  <si>
    <t>Dvě vrstvy :</t>
  </si>
  <si>
    <t>"PDL-a/01a"(8,2*37,35-2,4*1,87-2,45*4)*0,15*2</t>
  </si>
  <si>
    <t>"PDL-a/01b" (8,2*37,3-4,6*6)*0,15*2</t>
  </si>
  <si>
    <t>66</t>
  </si>
  <si>
    <t>631351101</t>
  </si>
  <si>
    <t>Zřízení bednění rýh a hran v podlahách</t>
  </si>
  <si>
    <t>-528773645</t>
  </si>
  <si>
    <t>"PDL-a/01a"(8,2+37,35+1,87+2,45)*2*0,15</t>
  </si>
  <si>
    <t>"PDL-a/01b" (8,2+37,3*2+6)*0,15</t>
  </si>
  <si>
    <t>67</t>
  </si>
  <si>
    <t>631351102</t>
  </si>
  <si>
    <t>Odstranění bednění rýh a hran v podlahách</t>
  </si>
  <si>
    <t>-2075024535</t>
  </si>
  <si>
    <t>68</t>
  </si>
  <si>
    <t>631362021</t>
  </si>
  <si>
    <t>Výztuž mazanin svařovanými sítěmi Kari</t>
  </si>
  <si>
    <t>1562956210</t>
  </si>
  <si>
    <t>Předpoklad 2xKARI 150/150/8 :</t>
  </si>
  <si>
    <t>"PDL-a/01a"(8,2*37,35-2,4*1,87-2,45*4)*1,1*5,4/1000*2</t>
  </si>
  <si>
    <t>"PDL-a/01b" (8,2*37,3-4,6*6)*1,1*5,4/1000*2</t>
  </si>
  <si>
    <t>Předpoklad KARI 150/150/6 :</t>
  </si>
  <si>
    <t>"PDL-a/01" 607,78*1,1*3,01/1000</t>
  </si>
  <si>
    <t>"PDL-a/02" 567,56*1,1*3,01/1000</t>
  </si>
  <si>
    <t>"PDL-a/04" 92,25*1,1*3,01/1000</t>
  </si>
  <si>
    <t>69</t>
  </si>
  <si>
    <t>632481213</t>
  </si>
  <si>
    <t>Separační vrstva z PE fólie</t>
  </si>
  <si>
    <t>970433247</t>
  </si>
  <si>
    <t>"PDL-a/01" 607,78</t>
  </si>
  <si>
    <t>"PDL-a/02" 567,56*2</t>
  </si>
  <si>
    <t>"PDL-a/04" 92,25</t>
  </si>
  <si>
    <t>70</t>
  </si>
  <si>
    <t>634112113</t>
  </si>
  <si>
    <t>Obvodová dilatace podlahovým páskem z pěnového PE mezi stěnou a mazaninou nebo potěrem v 80 mm</t>
  </si>
  <si>
    <t>-330519324</t>
  </si>
  <si>
    <t>"PDL-a/01" 607,78*0,9</t>
  </si>
  <si>
    <t>"PDL-a/02" 567,56*0,9</t>
  </si>
  <si>
    <t>"PDL-a/04" 92,25*1,1</t>
  </si>
  <si>
    <t>71</t>
  </si>
  <si>
    <t>635111242</t>
  </si>
  <si>
    <t>Násyp pod podlahy z hrubého kameniva 16-32 se zhutněním</t>
  </si>
  <si>
    <t>-1341189419</t>
  </si>
  <si>
    <t>"PDL-a/01" (5,5*4,7+3,63*2,4+26,8*5,5+2,2*1,55+1,7*36,65+13,5*0,5+31,7*5,5+36,7*1,7-0,5*1,2)*0,2</t>
  </si>
  <si>
    <t>72</t>
  </si>
  <si>
    <t>636311112</t>
  </si>
  <si>
    <t>Kladení dlažby z betonových dlaždic 400x400 mm na sucho na terče do výšky přes 25 do 70 mm</t>
  </si>
  <si>
    <t>-1888739100</t>
  </si>
  <si>
    <t>"SP-a/03" 29,04</t>
  </si>
  <si>
    <t>73</t>
  </si>
  <si>
    <t>59245320</t>
  </si>
  <si>
    <t>dlažba chodníková betonová 400x400mm tl 50mm přírodní</t>
  </si>
  <si>
    <t>1812060802</t>
  </si>
  <si>
    <t>29,04</t>
  </si>
  <si>
    <t>29,04*1,02 'Přepočtené koeficientem množství</t>
  </si>
  <si>
    <t>74</t>
  </si>
  <si>
    <t>642942111</t>
  </si>
  <si>
    <t>Osazování zárubní nebo rámů dveřních kovových do 2,5 m2 na MC</t>
  </si>
  <si>
    <t>kus</t>
  </si>
  <si>
    <t>-1238848495</t>
  </si>
  <si>
    <t>"D.01" 22</t>
  </si>
  <si>
    <t>"D.02" 32</t>
  </si>
  <si>
    <t>"D.03" 2</t>
  </si>
  <si>
    <t>"D.05" 1</t>
  </si>
  <si>
    <t>75</t>
  </si>
  <si>
    <t>M-642-1-010</t>
  </si>
  <si>
    <t>ocelová zárubeň pro bezfalcové dveře tl.100-150mm, 600-1100/2100mm + přáškový nátěr</t>
  </si>
  <si>
    <t>80704076</t>
  </si>
  <si>
    <t>76</t>
  </si>
  <si>
    <t>642945111</t>
  </si>
  <si>
    <t>Osazování protipožárních nebo protiplynových zárubní dveří jednokřídlových do 2,5 m2</t>
  </si>
  <si>
    <t>-322288603</t>
  </si>
  <si>
    <t>"DP.02" 1</t>
  </si>
  <si>
    <t>"DP.04" 1</t>
  </si>
  <si>
    <t>"DP.05" 7</t>
  </si>
  <si>
    <t>"DP.06" 1</t>
  </si>
  <si>
    <t>77</t>
  </si>
  <si>
    <t>M-642-1-020</t>
  </si>
  <si>
    <t>ocelová zárubeň pro bezfalcové dveře tl.100-150mm, 600-1100/2100mm, protipožární + přáškový nátěr</t>
  </si>
  <si>
    <t>-33905624</t>
  </si>
  <si>
    <t>Ostatní konstrukce a práce, bourání</t>
  </si>
  <si>
    <t>78</t>
  </si>
  <si>
    <t>945412111</t>
  </si>
  <si>
    <t>Teleskopická hydraulická montážní plošina výška zdvihu do 8 m</t>
  </si>
  <si>
    <t>den</t>
  </si>
  <si>
    <t>-454228751</t>
  </si>
  <si>
    <t>"Pro montáž ocelové konstrukce a fasády" 120</t>
  </si>
  <si>
    <t>79</t>
  </si>
  <si>
    <t>949101111</t>
  </si>
  <si>
    <t>Lešení pomocné pro objekty pozemních staveb s lešeňovou podlahou v do 1,9 m zatížení do 150 kg/m2</t>
  </si>
  <si>
    <t>1788669844</t>
  </si>
  <si>
    <t>"Interiér" 1238,55*0,8</t>
  </si>
  <si>
    <t>80</t>
  </si>
  <si>
    <t>952901111</t>
  </si>
  <si>
    <t>Vyčištění budov bytové a občanské výstavby při výšce podlaží do 4 m</t>
  </si>
  <si>
    <t>1195530888</t>
  </si>
  <si>
    <t>"1.PP" 92,25</t>
  </si>
  <si>
    <t>"1.NP" 607,78-29,04</t>
  </si>
  <si>
    <t>"2.NP" 567,56</t>
  </si>
  <si>
    <t>81</t>
  </si>
  <si>
    <t>953321113</t>
  </si>
  <si>
    <t>Vložky do svislých dilatačních spár z minerální plsti tl. přes 40 do 50 mm</t>
  </si>
  <si>
    <t>777627326</t>
  </si>
  <si>
    <t>"Výtahová šachta" (1,8*2+2,41)*1,5</t>
  </si>
  <si>
    <t>"SCH.02" 4,625*11,02+4,625*7,18+3,1*(0,55+0,25)</t>
  </si>
  <si>
    <t>82</t>
  </si>
  <si>
    <t>953333118</t>
  </si>
  <si>
    <t>PVC těsnící pás do pracovních spar betonových kcí vnitřní š 190 mm</t>
  </si>
  <si>
    <t>-500857949</t>
  </si>
  <si>
    <t>"1.PP" 7,3+13,266+8,021+2,257+0,3+13,46</t>
  </si>
  <si>
    <t>83</t>
  </si>
  <si>
    <t>953511711</t>
  </si>
  <si>
    <t>Nosný tepelně-izolační prvek pro připojení volně vyložené ocelové konstrukce prut D14</t>
  </si>
  <si>
    <t>-1318545718</t>
  </si>
  <si>
    <t>"SCH/04" 1,25</t>
  </si>
  <si>
    <t>84</t>
  </si>
  <si>
    <t>953943211</t>
  </si>
  <si>
    <t>Osazování hasicího přístroje</t>
  </si>
  <si>
    <t>340576517</t>
  </si>
  <si>
    <t>85</t>
  </si>
  <si>
    <t>44932115.R</t>
  </si>
  <si>
    <t>přístroj hasicí ruční práškový s hasící schopností 21A, 113B, C</t>
  </si>
  <si>
    <t>799776634</t>
  </si>
  <si>
    <t>998</t>
  </si>
  <si>
    <t>Přesun hmot</t>
  </si>
  <si>
    <t>86</t>
  </si>
  <si>
    <t>998014221</t>
  </si>
  <si>
    <t>Přesun hmot pro budovy vícepodlažní v do 18 m z kovových dílců</t>
  </si>
  <si>
    <t>-20321153</t>
  </si>
  <si>
    <t>PSV</t>
  </si>
  <si>
    <t>Práce a dodávky PSV</t>
  </si>
  <si>
    <t>711</t>
  </si>
  <si>
    <t>Izolace proti vodě, vlhkosti a plynům</t>
  </si>
  <si>
    <t>87</t>
  </si>
  <si>
    <t>711111011</t>
  </si>
  <si>
    <t>Provedení izolace proti zemní vlhkosti vodorovné za studena suspenzí asfaltovou</t>
  </si>
  <si>
    <t>-1195533363</t>
  </si>
  <si>
    <t>"PDL-a/01"8,2*37,35-2,4*1,87-2,45*4+8,2*37,3-4,6*6</t>
  </si>
  <si>
    <t>"PDL-a/03" 101,813-29,04</t>
  </si>
  <si>
    <t>88</t>
  </si>
  <si>
    <t>711112011</t>
  </si>
  <si>
    <t>Provedení izolace proti zemní vlhkosti svislé za studena suspenzí asfaltovou</t>
  </si>
  <si>
    <t>532118106</t>
  </si>
  <si>
    <t>"PDL-a/01 - vytažení na stěny"(8,2+37,35+1,87+2,45+8,2+37,3*2+6)*2*0,3</t>
  </si>
  <si>
    <t xml:space="preserve">"F-a/01E, F,G"  (29+6+31,7+8,2)*1,5+(8,644+13,266)*2,95</t>
  </si>
  <si>
    <t>89</t>
  </si>
  <si>
    <t>11163346</t>
  </si>
  <si>
    <t>suspenze hydroizolační asfaltová</t>
  </si>
  <si>
    <t>-2117349612</t>
  </si>
  <si>
    <t>643,015+265,362</t>
  </si>
  <si>
    <t>908,377*0,00105 'Přepočtené koeficientem množství</t>
  </si>
  <si>
    <t>90</t>
  </si>
  <si>
    <t>711161383</t>
  </si>
  <si>
    <t>Izolace proti zemní vlhkosti nopovou fólií ukončení horní lištou</t>
  </si>
  <si>
    <t>-269706710</t>
  </si>
  <si>
    <t>"1.PP" 13,163+15,204+8,2+8,621+0,25+(3,1+4,675+0,3)*2-2,51*2</t>
  </si>
  <si>
    <t>91</t>
  </si>
  <si>
    <t>711471051</t>
  </si>
  <si>
    <t>Provedení vodorovné izolace proti tlakové vodě termoplasty lepenou fólií PVC</t>
  </si>
  <si>
    <t>-1972156187</t>
  </si>
  <si>
    <t>92</t>
  </si>
  <si>
    <t>711472051</t>
  </si>
  <si>
    <t>Provedení svislé izolace proti tlakové vodě termoplasty lepenou fólií PVC</t>
  </si>
  <si>
    <t>-229510171</t>
  </si>
  <si>
    <t xml:space="preserve">"F-a/01E, F, G"  (29+6+31,7+8,2)*1,5+(8,644+13,266)*2,95</t>
  </si>
  <si>
    <t>93</t>
  </si>
  <si>
    <t>28322005</t>
  </si>
  <si>
    <t>fólie hydroizolační pro spodní stavbu mPVC tl 2,0mm</t>
  </si>
  <si>
    <t>-930646761</t>
  </si>
  <si>
    <t>908,377*1,1655 'Přepočtené koeficientem množství</t>
  </si>
  <si>
    <t>94</t>
  </si>
  <si>
    <t>711491171</t>
  </si>
  <si>
    <t>Provedení doplňků izolace proti vodě na vodorovné ploše z textilií vrstva podkladní</t>
  </si>
  <si>
    <t>-935387145</t>
  </si>
  <si>
    <t>95</t>
  </si>
  <si>
    <t>711491172</t>
  </si>
  <si>
    <t>Provedení doplňků izolace proti vodě na vodorovné ploše z textilií vrstva ochranná</t>
  </si>
  <si>
    <t>-798243143</t>
  </si>
  <si>
    <t>96</t>
  </si>
  <si>
    <t>711491271</t>
  </si>
  <si>
    <t>Provedení doplňků izolace proti vodě na ploše svislé z textilií vrstva podkladní</t>
  </si>
  <si>
    <t>2009728597</t>
  </si>
  <si>
    <t>260,187</t>
  </si>
  <si>
    <t xml:space="preserve">"F-a/01 G"  (8,644+13,266)*2,95</t>
  </si>
  <si>
    <t>97</t>
  </si>
  <si>
    <t>711491272</t>
  </si>
  <si>
    <t>Provedení doplňků izolace proti vodě na ploše svislé z textilií vrstva ochranná</t>
  </si>
  <si>
    <t>1986636607</t>
  </si>
  <si>
    <t>98</t>
  </si>
  <si>
    <t>69311082</t>
  </si>
  <si>
    <t>geotextilie netkaná separační, ochranná, filtrační, drenážní PP 500g/m2</t>
  </si>
  <si>
    <t>317485758</t>
  </si>
  <si>
    <t>(643,015+260,187)*2+64,635</t>
  </si>
  <si>
    <t>1871,039*1,05 'Přepočtené koeficientem množství</t>
  </si>
  <si>
    <t>99</t>
  </si>
  <si>
    <t>998711102</t>
  </si>
  <si>
    <t>Přesun hmot tonážní pro izolace proti vodě, vlhkosti a plynům v objektech v přes 6 do 12 m</t>
  </si>
  <si>
    <t>138245925</t>
  </si>
  <si>
    <t>712</t>
  </si>
  <si>
    <t>Povlakové krytiny</t>
  </si>
  <si>
    <t>100</t>
  </si>
  <si>
    <t>712311101</t>
  </si>
  <si>
    <t>Provedení povlakové krytiny střech do 10° za studena lakem penetračním nebo asfaltovým</t>
  </si>
  <si>
    <t>232806937</t>
  </si>
  <si>
    <t>101</t>
  </si>
  <si>
    <t>11163150</t>
  </si>
  <si>
    <t>lak penetrační asfaltový</t>
  </si>
  <si>
    <t>-156688150</t>
  </si>
  <si>
    <t>29,04*0,00032 'Přepočtené koeficientem množství</t>
  </si>
  <si>
    <t>102</t>
  </si>
  <si>
    <t>712341559</t>
  </si>
  <si>
    <t>Provedení povlakové krytiny střech do 10° pásy NAIP přitavením v plné ploše</t>
  </si>
  <si>
    <t>1786541053</t>
  </si>
  <si>
    <t>103</t>
  </si>
  <si>
    <t>62853004</t>
  </si>
  <si>
    <t>pás asfaltový natavitelný modifikovaný SBS s vložkou ze skleněné tkaniny a spalitelnou PE fólií nebo jemnozrnným minerálním posypem na horním povrchu tl 4,0mm</t>
  </si>
  <si>
    <t>762528160</t>
  </si>
  <si>
    <t>29,04*1,1655 'Přepočtené koeficientem množství</t>
  </si>
  <si>
    <t>104</t>
  </si>
  <si>
    <t>712361701</t>
  </si>
  <si>
    <t>Provedení povlakové krytiny střech do 10° fólií položenou volně s přilepením spojů</t>
  </si>
  <si>
    <t>-1377262261</t>
  </si>
  <si>
    <t>"SP-a/01" (5,2+43+32,175)*6,45+(5,2+2,9+43+5,225+32,175)*1,5-2,1*1+1,7*5,2+4,425*0,8</t>
  </si>
  <si>
    <t xml:space="preserve">"Vnitřní  strana atiky" ((5,2+43+32,175+5,85*3)*2+88,325)*0,6</t>
  </si>
  <si>
    <t>"Stěna haly" 88,325*0,3</t>
  </si>
  <si>
    <t>105</t>
  </si>
  <si>
    <t>28329028</t>
  </si>
  <si>
    <t>fólie PE vyztužená Al vrstvou pro parotěsnou vrstvu 150g/m2 s integrovanou lepící páskou</t>
  </si>
  <si>
    <t>-1820593451</t>
  </si>
  <si>
    <t>858,452</t>
  </si>
  <si>
    <t>858,452*1,1655 'Přepočtené koeficientem množství</t>
  </si>
  <si>
    <t>106</t>
  </si>
  <si>
    <t>712363001</t>
  </si>
  <si>
    <t>Provedení povlakové krytiny střech do 10° termoplastickou fólií PVC rozvinutím a natažením v ploše</t>
  </si>
  <si>
    <t>793519891</t>
  </si>
  <si>
    <t>107</t>
  </si>
  <si>
    <t>28343016</t>
  </si>
  <si>
    <t>fólie hydroizolační střešní mPVC určená ke stabilizaci přitížením a do vegetačních střech tl 2,0mm</t>
  </si>
  <si>
    <t>-620979372</t>
  </si>
  <si>
    <t>108</t>
  </si>
  <si>
    <t>712363003</t>
  </si>
  <si>
    <t>Provedení povlakové krytina střech do 10° spoj 2 pásů fólií PVC horkovzdušným navařením</t>
  </si>
  <si>
    <t>-1323218480</t>
  </si>
  <si>
    <t>29,04/1,2</t>
  </si>
  <si>
    <t>109</t>
  </si>
  <si>
    <t>712363352</t>
  </si>
  <si>
    <t>Povlakové krytiny střech do 10° z tvarovaných poplastovaných lišt délky 2 m koutová lišta vnitřní rš 100 mm</t>
  </si>
  <si>
    <t>46864054</t>
  </si>
  <si>
    <t>"Vnitřní spodní strana atiky" (5,2+43+32,175+5,85*3)*2+88,325</t>
  </si>
  <si>
    <t>"Stěna haly" 88,325</t>
  </si>
  <si>
    <t>110</t>
  </si>
  <si>
    <t>712363353</t>
  </si>
  <si>
    <t>Povlakové krytiny střech do 10° z tvarovaných poplastovaných lišt délky 2 m koutová lišta vnější rš 100 mm</t>
  </si>
  <si>
    <t>-1876523028</t>
  </si>
  <si>
    <t>"Vnitřní horní strana atiky" (5,2+43+32,175+5,85*3)*2+88,325*2</t>
  </si>
  <si>
    <t>111</t>
  </si>
  <si>
    <t>712363354</t>
  </si>
  <si>
    <t>Povlakové krytiny střech do 10° z tvarovaných poplastovaných lišt délky 2 m stěnová lišta vyhnutá rš 70 mm</t>
  </si>
  <si>
    <t>-1115333467</t>
  </si>
  <si>
    <t>112</t>
  </si>
  <si>
    <t>712363357</t>
  </si>
  <si>
    <t>Povlakové krytiny střech do 10° z tvarovaných poplastovaných lišt délky 2 m okapnice široká rš 250 mm</t>
  </si>
  <si>
    <t>-1952034623</t>
  </si>
  <si>
    <t>1,7+4,425</t>
  </si>
  <si>
    <t>113</t>
  </si>
  <si>
    <t>712363359</t>
  </si>
  <si>
    <t>Povlakové krytiny střech do 10° z tvarovaných poplastovaných lišt délky 2 m závětrná lišta rš 300 mm</t>
  </si>
  <si>
    <t>-524203749</t>
  </si>
  <si>
    <t>"Okraj střechy" 1,35*2</t>
  </si>
  <si>
    <t>114</t>
  </si>
  <si>
    <t>712363412</t>
  </si>
  <si>
    <t>Provedení povlak krytiny mechanicky kotvenou do trapézu TI tl do 100 mm krajní pole, budova v do 18 m</t>
  </si>
  <si>
    <t>693066901</t>
  </si>
  <si>
    <t>"Hlava atik" (6,4+44,2+33,375)*7,2+88,325*1,35+1,7*5,15+4,425*0,85-601,949</t>
  </si>
  <si>
    <t>115</t>
  </si>
  <si>
    <t>712363612</t>
  </si>
  <si>
    <t>Provedení povlak krytiny mechanicky kotvenou do trapézu TI tl přes 240 mm krajní pole, budova v do 18 m</t>
  </si>
  <si>
    <t>-1546793878</t>
  </si>
  <si>
    <t>"SP-a/01" 691,7</t>
  </si>
  <si>
    <t xml:space="preserve">"Vnitřní  strana atiky" ((5,2+43+32,175+5,85*3)*2+88,325)*0,33</t>
  </si>
  <si>
    <t>"Stěna haly" 88,325*0,33</t>
  </si>
  <si>
    <t>116</t>
  </si>
  <si>
    <t>DEK.1015102120</t>
  </si>
  <si>
    <t>DEKPLAN 76 kotvený 2,0mm š.1,60m šedá (24m2)</t>
  </si>
  <si>
    <t>-1059990465</t>
  </si>
  <si>
    <t>814,625</t>
  </si>
  <si>
    <t>814,625*1,1655 'Přepočtené koeficientem množství</t>
  </si>
  <si>
    <t>117</t>
  </si>
  <si>
    <t>712391171</t>
  </si>
  <si>
    <t>Provedení povlakové krytiny střech do 10° podkladní textilní vrstvy</t>
  </si>
  <si>
    <t>-330776935</t>
  </si>
  <si>
    <t>"SP-a/03" 29,04*2</t>
  </si>
  <si>
    <t>118</t>
  </si>
  <si>
    <t>69311199</t>
  </si>
  <si>
    <t>geotextilie netkaná separační, ochranná, filtrační, drenážní PES(70%)+PP(30%) 300g/m2</t>
  </si>
  <si>
    <t>1009019903</t>
  </si>
  <si>
    <t>842,454</t>
  </si>
  <si>
    <t>842,454*1,155 'Přepočtené koeficientem množství</t>
  </si>
  <si>
    <t>119</t>
  </si>
  <si>
    <t>998712102</t>
  </si>
  <si>
    <t>Přesun hmot tonážní pro krytiny povlakové v objektech v přes 6 do 12 m</t>
  </si>
  <si>
    <t>1130242856</t>
  </si>
  <si>
    <t>713</t>
  </si>
  <si>
    <t>Izolace tepelné</t>
  </si>
  <si>
    <t>120</t>
  </si>
  <si>
    <t>713111136</t>
  </si>
  <si>
    <t>Montáž izolace tepelné stropů volně kladenými rohožemi, pásy, dílci, deskami mezi trámy</t>
  </si>
  <si>
    <t>1719375770</t>
  </si>
  <si>
    <t>"F-a.03" 35,24</t>
  </si>
  <si>
    <t>121</t>
  </si>
  <si>
    <t>ISV.8592248001212</t>
  </si>
  <si>
    <t>Isover FASSIL 200mm, λD = 0,035 (W·m-1·K-1),1200x600x200mm, izolace s univerzálním použitím. Vhodné také jako akustická izolace a do protipožárních konstrukcí.</t>
  </si>
  <si>
    <t>-797330090</t>
  </si>
  <si>
    <t>35,24</t>
  </si>
  <si>
    <t>35,24*1,05 'Přepočtené koeficientem množství</t>
  </si>
  <si>
    <t>122</t>
  </si>
  <si>
    <t>713121111</t>
  </si>
  <si>
    <t>Montáž izolace tepelné podlah volně kladenými rohožemi, pásy, dílci, deskami 1 vrstva</t>
  </si>
  <si>
    <t>-1580565044</t>
  </si>
  <si>
    <t>"PDL-a/02" 567,56</t>
  </si>
  <si>
    <t>123</t>
  </si>
  <si>
    <t>63151437</t>
  </si>
  <si>
    <t>deska tepelně izolační minerální plovoucích podlah λ=0,036-0,037 tl 50mm</t>
  </si>
  <si>
    <t>-733811129</t>
  </si>
  <si>
    <t>567,56</t>
  </si>
  <si>
    <t>567,56*1,05 'Přepočtené koeficientem množství</t>
  </si>
  <si>
    <t>124</t>
  </si>
  <si>
    <t>28376416</t>
  </si>
  <si>
    <t>deska XPS hrana polodrážková a hladký povrch 300kPA λ=0,035 tl 40mm</t>
  </si>
  <si>
    <t>1069718484</t>
  </si>
  <si>
    <t>92,25</t>
  </si>
  <si>
    <t>92,25*1,05 'Přepočtené koeficientem množství</t>
  </si>
  <si>
    <t>125</t>
  </si>
  <si>
    <t>713121121</t>
  </si>
  <si>
    <t>Montáž izolace tepelné podlah volně kladenými rohožemi, pásy, dílci, deskami 2 vrstvy</t>
  </si>
  <si>
    <t>753299962</t>
  </si>
  <si>
    <t>126</t>
  </si>
  <si>
    <t>28375030</t>
  </si>
  <si>
    <t>deska EPS 150 pro konstrukce s vysokým zatížením λ=0,035 tl 90mm</t>
  </si>
  <si>
    <t>341673027</t>
  </si>
  <si>
    <t>607,78</t>
  </si>
  <si>
    <t>607,78*2,1 'Přepočtené koeficientem množství</t>
  </si>
  <si>
    <t>127</t>
  </si>
  <si>
    <t>713123211</t>
  </si>
  <si>
    <t>Montáž tepelné izolace z XPS tepelně izolačního systému základové desky svisle 1 vrstva do 100 mm</t>
  </si>
  <si>
    <t>-1932498749</t>
  </si>
  <si>
    <t>"F-a/01G" 27,12</t>
  </si>
  <si>
    <t>128</t>
  </si>
  <si>
    <t>28376382</t>
  </si>
  <si>
    <t>deska XPS hrana polodrážková a hladký povrch 500kPA λ=0,035 tl 100mm</t>
  </si>
  <si>
    <t>1448452311</t>
  </si>
  <si>
    <t>27,12</t>
  </si>
  <si>
    <t>27,12*1,08 'Přepočtené koeficientem množství</t>
  </si>
  <si>
    <t>129</t>
  </si>
  <si>
    <t>713123212</t>
  </si>
  <si>
    <t>Montáž tepelné izolace z XPS tepelně izolačního systému základové desky svisle 1 vrstva přes 100 do 200 mm</t>
  </si>
  <si>
    <t>-600679900</t>
  </si>
  <si>
    <t>130</t>
  </si>
  <si>
    <t>1835217189</t>
  </si>
  <si>
    <t>176,985</t>
  </si>
  <si>
    <t>176,985*1,08 'Přepočtené koeficientem množství</t>
  </si>
  <si>
    <t>131</t>
  </si>
  <si>
    <t>713131161</t>
  </si>
  <si>
    <t>Montáž izolace tepelné stěn připevněné sponkami parotěsné reflexní tl do 5 mm</t>
  </si>
  <si>
    <t>-1462405513</t>
  </si>
  <si>
    <t>"Fa.01A" 133,76</t>
  </si>
  <si>
    <t>"Fa.01B" 219,04</t>
  </si>
  <si>
    <t>"Fa.01C" 143,94</t>
  </si>
  <si>
    <t>"Fa.01D" 11,66</t>
  </si>
  <si>
    <t>132</t>
  </si>
  <si>
    <t>28329276</t>
  </si>
  <si>
    <t>fólie PE vyztužená pro parotěsnou vrstvu (reakce na oheň - třída E) 140g/m2</t>
  </si>
  <si>
    <t>-901394798</t>
  </si>
  <si>
    <t>543,64</t>
  </si>
  <si>
    <t>543,64*1,05 'Přepočtené koeficientem množství</t>
  </si>
  <si>
    <t>133</t>
  </si>
  <si>
    <t>713131243</t>
  </si>
  <si>
    <t>Montáž izolace tepelné stěn lepením celoplošně v kombinaci s mechanickým kotvením rohoží, pásů, dílců, desek tl přes 140 do 200 mm</t>
  </si>
  <si>
    <t>-2011377942</t>
  </si>
  <si>
    <t>134</t>
  </si>
  <si>
    <t>1753452973</t>
  </si>
  <si>
    <t>508,4</t>
  </si>
  <si>
    <t>508,4*1,05 'Přepočtené koeficientem množství</t>
  </si>
  <si>
    <t>135</t>
  </si>
  <si>
    <t>713141138</t>
  </si>
  <si>
    <t>Montáž izolace tepelné střech plochých lepené za studena nízkoexpanzní (PUR) pěnou 2 vrstvy rohoží, pásů, dílců, desek</t>
  </si>
  <si>
    <t>1951360815</t>
  </si>
  <si>
    <t>136</t>
  </si>
  <si>
    <t>63151404</t>
  </si>
  <si>
    <t>deska tepelně izolační minerální plochých střech vrchní vrstva 60kPa λ=0,037-0,039 tl 140mm</t>
  </si>
  <si>
    <t>-88957619</t>
  </si>
  <si>
    <t>661,449</t>
  </si>
  <si>
    <t>661,449*1,05 'Přepočtené koeficientem množství</t>
  </si>
  <si>
    <t>137</t>
  </si>
  <si>
    <t>63151500</t>
  </si>
  <si>
    <t>deska tepelně izolační minerální plochých střech vrchní vrstva 70kPa λ=0,038-0,039 tl 80mm</t>
  </si>
  <si>
    <t>460404187</t>
  </si>
  <si>
    <t>138</t>
  </si>
  <si>
    <t>713141152</t>
  </si>
  <si>
    <t>Montáž izolace tepelné střech plochých kladené volně 2 vrstvy rohoží, pásů, dílců, desek</t>
  </si>
  <si>
    <t>1431173531</t>
  </si>
  <si>
    <t>139</t>
  </si>
  <si>
    <t>28376421</t>
  </si>
  <si>
    <t>deska XPS hrana polodrážková a hladký povrch 300kPA λ=0,035 tl 80mm</t>
  </si>
  <si>
    <t>1076223318</t>
  </si>
  <si>
    <t>29,04*1,05 'Přepočtené koeficientem množství</t>
  </si>
  <si>
    <t>140</t>
  </si>
  <si>
    <t>28376422</t>
  </si>
  <si>
    <t>deska XPS hrana polodrážková a hladký povrch 300kPA λ=0,035 tl 100mm</t>
  </si>
  <si>
    <t>-184861899</t>
  </si>
  <si>
    <t>141</t>
  </si>
  <si>
    <t>713141243</t>
  </si>
  <si>
    <t>Přikotvení tepelné izolace šrouby do betonu pro izolaci tl přes 140 do 200 mm</t>
  </si>
  <si>
    <t>697014775</t>
  </si>
  <si>
    <t>142</t>
  </si>
  <si>
    <t>713141336</t>
  </si>
  <si>
    <t>Montáž izolace tepelné střech plochých lepené za studena nízkoexpanzní (PUR) pěnou, spádová vrstva</t>
  </si>
  <si>
    <t>-358126045</t>
  </si>
  <si>
    <t>143</t>
  </si>
  <si>
    <t>28376141</t>
  </si>
  <si>
    <t>klín izolační spád do 5% EPS 100</t>
  </si>
  <si>
    <t>1090256214</t>
  </si>
  <si>
    <t>"SP-a/03" 29,04*(0,03+0,15)/2</t>
  </si>
  <si>
    <t>2,614*1,05 'Přepočtené koeficientem množství</t>
  </si>
  <si>
    <t>144</t>
  </si>
  <si>
    <t>713141338</t>
  </si>
  <si>
    <t>Montáž izolace tepelné střech plochých lepené za studena nízkoexpanzní (PUR) pěnou, spádová vrstva z dvouspádových klínů</t>
  </si>
  <si>
    <t>-1166796342</t>
  </si>
  <si>
    <t>145</t>
  </si>
  <si>
    <t>28376104</t>
  </si>
  <si>
    <t>klín izolační spádový z čedičové minerální vaty 70kPa</t>
  </si>
  <si>
    <t>2046636338</t>
  </si>
  <si>
    <t>661,49*0,12</t>
  </si>
  <si>
    <t>79,379*1,05 'Přepočtené koeficientem množství</t>
  </si>
  <si>
    <t>146</t>
  </si>
  <si>
    <t>713141356</t>
  </si>
  <si>
    <t>Montáž spádové izolace na zhlaví atiky š do 500 mm lepené za studena nízkoexpanzní (PUR) pěnou</t>
  </si>
  <si>
    <t>-330924105</t>
  </si>
  <si>
    <t>"Hlava atiky" 151,6</t>
  </si>
  <si>
    <t>147</t>
  </si>
  <si>
    <t>713141396</t>
  </si>
  <si>
    <t>Montáž izolace tepelné stěn v do 1000 mm na atiky a prostupy střechou lepené nízkoexpanzní (PUR) pěnou</t>
  </si>
  <si>
    <t>788628508</t>
  </si>
  <si>
    <t>"Vnitřní strana atiky" 151,6*0,69</t>
  </si>
  <si>
    <t>148</t>
  </si>
  <si>
    <t>63151624</t>
  </si>
  <si>
    <t>deska tepelně izolační minerální plochých střech spodní vrstva 30kPa λ=0,035-0,037 tl 100mm</t>
  </si>
  <si>
    <t>-1308513799</t>
  </si>
  <si>
    <t>"Hlava atiky" 151,6*0,2</t>
  </si>
  <si>
    <t>134,924*1,05 'Přepočtené koeficientem množství</t>
  </si>
  <si>
    <t>149</t>
  </si>
  <si>
    <t>998713102</t>
  </si>
  <si>
    <t>Přesun hmot tonážní pro izolace tepelné v objektech v přes 6 do 12 m</t>
  </si>
  <si>
    <t>1324037385</t>
  </si>
  <si>
    <t>762</t>
  </si>
  <si>
    <t>Konstrukce tesařské</t>
  </si>
  <si>
    <t>150</t>
  </si>
  <si>
    <t>762361312</t>
  </si>
  <si>
    <t>Konstrukční a vyrovnávací vrstva pod klempířské prvky (atiky) z desek dřevoštěpkových tl 22 mm</t>
  </si>
  <si>
    <t>648434510</t>
  </si>
  <si>
    <t>"Hlava atik" 151,6*0,665</t>
  </si>
  <si>
    <t>151</t>
  </si>
  <si>
    <t>762431026</t>
  </si>
  <si>
    <t>Obložení stěn z desek OSB tl 22 mm nebroušených na pero a drážku přibíjených</t>
  </si>
  <si>
    <t>-1321843207</t>
  </si>
  <si>
    <t>"Hlava atik" 151,6*(0,69+0,79+0,1)</t>
  </si>
  <si>
    <t>152</t>
  </si>
  <si>
    <t>762439001</t>
  </si>
  <si>
    <t>Montáž obložení stěn podkladový rošt</t>
  </si>
  <si>
    <t>1235273793</t>
  </si>
  <si>
    <t>"Fa.01A-01D" 508,4/0,9</t>
  </si>
  <si>
    <t>153</t>
  </si>
  <si>
    <t>60512125</t>
  </si>
  <si>
    <t>hranol stavební řezivo průřezu do 120cm2 do dl 6m</t>
  </si>
  <si>
    <t>1076082248</t>
  </si>
  <si>
    <t>"Předpoklad hranolek 60/60mm" 564,886*0,06*0,06</t>
  </si>
  <si>
    <t>2,034*1,1 'Přepočtené koeficientem množství</t>
  </si>
  <si>
    <t>154</t>
  </si>
  <si>
    <t>762495000</t>
  </si>
  <si>
    <t>Spojovací prostředky pro montáž olištování, obložení stropů, střešních podhledů a stěn</t>
  </si>
  <si>
    <t>891004802</t>
  </si>
  <si>
    <t>155</t>
  </si>
  <si>
    <t>998762102</t>
  </si>
  <si>
    <t>Přesun hmot tonážní pro kce tesařské v objektech v přes 6 do 12 m</t>
  </si>
  <si>
    <t>2090691067</t>
  </si>
  <si>
    <t>763</t>
  </si>
  <si>
    <t>Konstrukce suché výstavby</t>
  </si>
  <si>
    <t>156</t>
  </si>
  <si>
    <t>763111311</t>
  </si>
  <si>
    <t>SDK příčka tl 75 mm profil CW+UW 50 desky 1xA 12,5 s izolací EI 30 Rw do 45 dB</t>
  </si>
  <si>
    <t>1091897588</t>
  </si>
  <si>
    <t>"Nad dveřmi L/01, 02" 1,475*0,56*5</t>
  </si>
  <si>
    <t>"Nad dveřmi L/04" 1,16*0,38*4</t>
  </si>
  <si>
    <t>"Nad dveřmi L/05" 1,495*0,38</t>
  </si>
  <si>
    <t>"Nad stěnou L/06-08" (6,075*2+21,195)*0,38</t>
  </si>
  <si>
    <t>"Nad dveřmi L/09, 13" 1,24*0,38*4</t>
  </si>
  <si>
    <t>"Nad dveřmi L/10" 1,96*0,38</t>
  </si>
  <si>
    <t>"Nad dveřmi L/11, 14, 15, 16" 1,06*0,38*7</t>
  </si>
  <si>
    <t>"Nad dveřmi L/11" 1,69*0,38</t>
  </si>
  <si>
    <t>"Nad dveřmi L/17" 1,49*0,38</t>
  </si>
  <si>
    <t>157</t>
  </si>
  <si>
    <t>763111321</t>
  </si>
  <si>
    <t>SDK příčka tl 75 mm profil CW+UW 50 desky 1xDF 12,5 s izolací EI 45 Rw do 46 dB</t>
  </si>
  <si>
    <t>-50893616</t>
  </si>
  <si>
    <t>"Nad dveřmi LP/01" 1,475*0,56</t>
  </si>
  <si>
    <t>"Nad dveřmi LP/02" 1,49*0,38</t>
  </si>
  <si>
    <t>158</t>
  </si>
  <si>
    <t>763111424</t>
  </si>
  <si>
    <t>SDK příčka tl 125 mm profil CW+UW 75 desky 2xDF 12,5 s izolací EI 90 Rw do 57 dB</t>
  </si>
  <si>
    <t>-512312102</t>
  </si>
  <si>
    <t>"M.č.1.17" 3,5*4,08-0,9*2,15</t>
  </si>
  <si>
    <t>"M.č.1.33/35" 5,85*4,08</t>
  </si>
  <si>
    <t>"2.NP" (1,49*3+4,9*2+0,4*2+2,49+4,625+5,2*3+0,25*2)*3,8+2,49*1,2-1,16*3,36*3-1,06*3,74</t>
  </si>
  <si>
    <t>159</t>
  </si>
  <si>
    <t>763111444</t>
  </si>
  <si>
    <t>SDK příčka tl 125 mm profil CW+UW 75 desky 2xDFH2 12,5 s izolací EI 90 Rw do 57 dB</t>
  </si>
  <si>
    <t>-1133450256</t>
  </si>
  <si>
    <t>"M.č.1.16-20" (6,2+1,75*4+0,6*1)*4,08-0,8*2,15*2-0,8*2,15*3-0,9*2,15*2</t>
  </si>
  <si>
    <t>"M.č.1.09-14" (2,5+3,365+2,03+0,8+0,475+1,575*3+5,85)*4,08-0,8*2,15*2-0,9*2,15*2-1,05*2,27-1,125*2,27</t>
  </si>
  <si>
    <t>"M.č.1.05-07" (1,45*2+1,8+2,875*2+0,9*5)*4,08-0,8*2,15*3-0,9*2,15*3</t>
  </si>
  <si>
    <t>"M.č.1.22-27" (6,075*2+3,15*2+1,65+1,925)*4,08-0,8*2,15*2-0,9*2,15*5</t>
  </si>
  <si>
    <t>"M.č.1.28-33" (6,075*2+3,15*2+1,65+1,925)*4,08-0,8*2,15*2-0,9*2,15*5</t>
  </si>
  <si>
    <t>"M.č.1.34-39" (6,075*2+3,15*2+1,65+1,925)*4,08-0,8*2,15*2-0,9*2,15*5</t>
  </si>
  <si>
    <t>"M.č.2.05-08" (2,625*2+0,9*5+5,175+4,475)*3,89-0,8*2,15*3</t>
  </si>
  <si>
    <t>"M.č.2.12-16" (6,39+2,625*2+0,9*3+5,175+4,28)*3,89-0,8*2,15*4</t>
  </si>
  <si>
    <t>160</t>
  </si>
  <si>
    <t>763111450</t>
  </si>
  <si>
    <t>SDK příčka tl 200 mm profil CW+UW 150 desky 2xDFH2 12,5 s izolací EI 90 Rw do 56 dB</t>
  </si>
  <si>
    <t>42715135</t>
  </si>
  <si>
    <t>"1.NP" (2,3*2+1,875*3+2,175*2)*4,08</t>
  </si>
  <si>
    <t>"2.NP" (2,3*2+2,15*2)*3,9</t>
  </si>
  <si>
    <t>161</t>
  </si>
  <si>
    <t>763111713</t>
  </si>
  <si>
    <t>SDK příčka ukončení ve volném prostoru</t>
  </si>
  <si>
    <t>1674560521</t>
  </si>
  <si>
    <t>"1.NP" 4,08*2</t>
  </si>
  <si>
    <t>"2.NP" 3,9*6</t>
  </si>
  <si>
    <t>162</t>
  </si>
  <si>
    <t>763111714</t>
  </si>
  <si>
    <t>SDK příčka zalomení</t>
  </si>
  <si>
    <t>-1103079794</t>
  </si>
  <si>
    <t>"1.NP" 4,08*6</t>
  </si>
  <si>
    <t>"2.NP" 3,9*10</t>
  </si>
  <si>
    <t>163</t>
  </si>
  <si>
    <t>763111751</t>
  </si>
  <si>
    <t>Příplatek k SDK příčce za plochu do 6 m2 jednotlivě</t>
  </si>
  <si>
    <t>1850505517</t>
  </si>
  <si>
    <t>"Nad stěnou L/06-08" 6,075*2*0,38</t>
  </si>
  <si>
    <t>164</t>
  </si>
  <si>
    <t>763121451</t>
  </si>
  <si>
    <t>SDK stěna předsazená tl 75 mm profil CW+UW 50 desky 2xDF 12,5 bez izolace EI 30</t>
  </si>
  <si>
    <t>-1366616816</t>
  </si>
  <si>
    <t>"Obklad sloupů u schodiště" (1,1+0,2)*2*(3,47+3,46)*2</t>
  </si>
  <si>
    <t>165</t>
  </si>
  <si>
    <t>763121455</t>
  </si>
  <si>
    <t>SDK stěna předsazená tl 125 mm profil CW+UW 100 desky 2xDF 12,5 bez izolace EI 30</t>
  </si>
  <si>
    <t>-1789735123</t>
  </si>
  <si>
    <t>F-a/01A a F-a/01B :</t>
  </si>
  <si>
    <t>"1.NP" (5,85+2,095+3,175)*1,2+(1,875+1,375*2+4,9+3,03+1,7+0,35+0,375+6,2+32,05+6,2-3,15-3,9*2)*4,08-0,96*3,17-0,95*3,17*6</t>
  </si>
  <si>
    <t>"1.NP" (0,25+1,815+1,85+6,2*3+5,38+5,35-2,5-1,6)*3,9-0,96*3,36</t>
  </si>
  <si>
    <t>Stěna u haly :</t>
  </si>
  <si>
    <t>"1.NP" (89,8-2,62-5,025-10,45-0,4)*4,08-0,9*2,15</t>
  </si>
  <si>
    <t>"2.NP" (89,8-1,825-0,4)*3,9</t>
  </si>
  <si>
    <t>Příčka tl. 300mm - předstěna oboustranně :</t>
  </si>
  <si>
    <t>"1.NP" (4,825*2+5,85+6,2)*4,08</t>
  </si>
  <si>
    <t>Příčka tl. 320mm - předstěna oboustranně :</t>
  </si>
  <si>
    <t>"2.NP" (5,55+8,385+27,545)*2*3,9-0,9*2,15*9*2</t>
  </si>
  <si>
    <t>"Odpočet SDRK do vlhka" -17,79</t>
  </si>
  <si>
    <t>Příčka tl. 350mm - předstěna oboustranně :</t>
  </si>
  <si>
    <t>"1.NP" ((6,3*3+5,95+5,025*2+5,7+5,1+3,4*2+9,525+9,825+10,85*2)*4,08-(+0,9*2,15*3+1,3*3,09+0,9*2,1))*2</t>
  </si>
  <si>
    <t>"Odpočet SDRK do vlhka" -150,715</t>
  </si>
  <si>
    <t>166</t>
  </si>
  <si>
    <t>763121465</t>
  </si>
  <si>
    <t>SDK stěna předsazená tl 75 mm profil CW+UW 50 desky 2xDFH2 12,5 s izolací EI 45</t>
  </si>
  <si>
    <t>1262905420</t>
  </si>
  <si>
    <t>Instalační předstěny :</t>
  </si>
  <si>
    <t>"1.NP" (0,9*12+1,8)*(1,2+0,15)</t>
  </si>
  <si>
    <t>"2.NP" (0,9*8+1,6+1,8*2)*(1,2+0,15)</t>
  </si>
  <si>
    <t>167</t>
  </si>
  <si>
    <t>763121467</t>
  </si>
  <si>
    <t>SDK stěna předsazená tl 125 mm profil CW+UW 100 desky 2xDFH2 12,5 s izolací EI 45</t>
  </si>
  <si>
    <t>-603320224</t>
  </si>
  <si>
    <t>"1.NP" (3,15+3,9*2)*4,08</t>
  </si>
  <si>
    <t>"2.NP" (2,5+1,6)*3,9-0,96*3,36</t>
  </si>
  <si>
    <t>"1.NP" 5,025*4,08</t>
  </si>
  <si>
    <t>"1.NP" 4,35*2*4,08</t>
  </si>
  <si>
    <t>"2.NP" (5,55+0,5)*3,9-0,9*2,15*3</t>
  </si>
  <si>
    <t>"1.NP" (4,2+1,475+5,025*2+5,101+6,3+3,4+4,15*2)*4,08-0,9*2,15*3-0,9*2,1</t>
  </si>
  <si>
    <t>168</t>
  </si>
  <si>
    <t>763131432</t>
  </si>
  <si>
    <t>SDK podhled deska 1xDF 15 bez izolace dvouvrstvá spodní kce profil CD+UD REI 90</t>
  </si>
  <si>
    <t>-1282402090</t>
  </si>
  <si>
    <t>"1.NP" 8,99+7,6+3,87+7,71+2,17+1,19+1,37+5,21+1,6+1,58+1,6+5,87+2,77+5,35+7,22+6,65+7,02+6,65</t>
  </si>
  <si>
    <t>"2.NP" 8,47+4,04+8,58+4+8,41+3,87+8,23</t>
  </si>
  <si>
    <t>169</t>
  </si>
  <si>
    <t>763131471.R</t>
  </si>
  <si>
    <t>SDK podhled deska 1xDFH2 15 bez izolace dvouvrstvá spodní kce profil CD+UD REI do 90</t>
  </si>
  <si>
    <t>1130761494</t>
  </si>
  <si>
    <t>"1.NP" 3,08+3,41+2,77+3,47*4</t>
  </si>
  <si>
    <t>170</t>
  </si>
  <si>
    <t>763131751</t>
  </si>
  <si>
    <t>Montáž parotěsné zábrany do SDK podhledu</t>
  </si>
  <si>
    <t>-1939483439</t>
  </si>
  <si>
    <t>"F-a.03" (1,245*1,55+5,4*6,2)*2</t>
  </si>
  <si>
    <t>171</t>
  </si>
  <si>
    <t>-108327837</t>
  </si>
  <si>
    <t>35,41</t>
  </si>
  <si>
    <t>35,41*1,1235 'Přepočtené koeficientem množství</t>
  </si>
  <si>
    <t>172</t>
  </si>
  <si>
    <t>28329030</t>
  </si>
  <si>
    <t>fólie kontaktní difuzně propustná pro doplňkovou hydroizolační vrstvu, monolitická třívrstvá PES/PP 150-160g/m2, integrovaná samolepící páska</t>
  </si>
  <si>
    <t>746266316</t>
  </si>
  <si>
    <t>173</t>
  </si>
  <si>
    <t>763131761</t>
  </si>
  <si>
    <t>Příplatek k SDK podhledu za plochu do 3 m2 jednotlivě</t>
  </si>
  <si>
    <t>-757926038</t>
  </si>
  <si>
    <t>"1.NP" 2,17+1,19+1,37+1,6+1,58+1,6+2,77+2,77</t>
  </si>
  <si>
    <t>174</t>
  </si>
  <si>
    <t>763135102</t>
  </si>
  <si>
    <t>Montáž SDK kazetového podhledu z kazet 600x600 mm na zavěšenou polozapuštěnou nosnou konstrukci</t>
  </si>
  <si>
    <t>1975016838</t>
  </si>
  <si>
    <t>"1.NP" 21,48+83,06+125,37+21,17+15,12+5,29+8,59+15,69+55,83+13,29+13,45+22,9+23,8+23,53+22,61</t>
  </si>
  <si>
    <t>"2.NP" 36,66+30,46+49,28+16,11+29,99+20,63*2+20,25+30,87+38,49+7,52+7,23+6,19+40,53+3,87+14,49+15,52+30,97+31,98+65,8+4,49</t>
  </si>
  <si>
    <t>175</t>
  </si>
  <si>
    <t>59030571</t>
  </si>
  <si>
    <t>podhled kazetový bez děrování polozapuštěná hrana tl 10mm 600x600mm</t>
  </si>
  <si>
    <t>-350150799</t>
  </si>
  <si>
    <t>993,14</t>
  </si>
  <si>
    <t>993,14*1,05 'Přepočtené koeficientem množství</t>
  </si>
  <si>
    <t>176</t>
  </si>
  <si>
    <t>763171313</t>
  </si>
  <si>
    <t>Montáž klapek revizních protipožárních SDK kcí vel. přes 0,25 do 0,5 m2 pro příčky nebo předsazené stěny</t>
  </si>
  <si>
    <t>860489931</t>
  </si>
  <si>
    <t>177</t>
  </si>
  <si>
    <t>763171413</t>
  </si>
  <si>
    <t>Montáž klapek revizních protipožárních SDK kcí vel. přes 0,25 do 0,5 m2 pro podhledy</t>
  </si>
  <si>
    <t>1791348782</t>
  </si>
  <si>
    <t>178</t>
  </si>
  <si>
    <t>59030166</t>
  </si>
  <si>
    <t>klapka revizní protipožární pro stěny a podhledy tl 12,5mm 600x600mm</t>
  </si>
  <si>
    <t>1477656331</t>
  </si>
  <si>
    <t>179</t>
  </si>
  <si>
    <t>763173111</t>
  </si>
  <si>
    <t>Montáž úchytu pro umyvadlo v SDK kci</t>
  </si>
  <si>
    <t>405570161</t>
  </si>
  <si>
    <t>180</t>
  </si>
  <si>
    <t>59030729</t>
  </si>
  <si>
    <t>konstrukce pro uchycení umyvadla s nástěnnými bateriemi osová rozteč CW profilů 450-625mm</t>
  </si>
  <si>
    <t>547893340</t>
  </si>
  <si>
    <t>181</t>
  </si>
  <si>
    <t>763173112</t>
  </si>
  <si>
    <t>Montáž úchytu pro pisoár v SDK kci</t>
  </si>
  <si>
    <t>1504542886</t>
  </si>
  <si>
    <t>182</t>
  </si>
  <si>
    <t>59030728</t>
  </si>
  <si>
    <t>konstrukce pro uchycení pisoáru osová rozteč CW profilů 450-625mm</t>
  </si>
  <si>
    <t>-584438186</t>
  </si>
  <si>
    <t>183</t>
  </si>
  <si>
    <t>763173113</t>
  </si>
  <si>
    <t>Montáž úchytu pro WC v SDK kci</t>
  </si>
  <si>
    <t>-787342143</t>
  </si>
  <si>
    <t>184</t>
  </si>
  <si>
    <t>59030731</t>
  </si>
  <si>
    <t>konstrukce pro uchycení WC osová rozteč CW profilů 450-625mm</t>
  </si>
  <si>
    <t>2031740299</t>
  </si>
  <si>
    <t>185</t>
  </si>
  <si>
    <t>763181411</t>
  </si>
  <si>
    <t>Ztužující výplň otvoru pro dveře s CW a UW profilem pro příčky do 2,60 m</t>
  </si>
  <si>
    <t>870563078</t>
  </si>
  <si>
    <t>"1.NP" 44</t>
  </si>
  <si>
    <t>"2.NP" 22</t>
  </si>
  <si>
    <t>186</t>
  </si>
  <si>
    <t>763182314</t>
  </si>
  <si>
    <t>Ostění oken z desek v SDK konstrukci hl přes 0,3 do 0,5 m</t>
  </si>
  <si>
    <t>1397806258</t>
  </si>
  <si>
    <t>Vnější otvory :</t>
  </si>
  <si>
    <t>"1.NP" 0,96+0,85*6+3,17*2*7+2,27</t>
  </si>
  <si>
    <t>"2.NP" 0,96*2+3,36*8</t>
  </si>
  <si>
    <t xml:space="preserve">Příčky tl. 320 mm : </t>
  </si>
  <si>
    <t>"2.NP" 0,9*9+2,15*2*2</t>
  </si>
  <si>
    <t xml:space="preserve">Příčky tl. 350 mm : </t>
  </si>
  <si>
    <t>"1.NP" 1,3+3,09*2+0,8+0,9*3+2,15*2*3+2,1*2</t>
  </si>
  <si>
    <t>187</t>
  </si>
  <si>
    <t>998763302</t>
  </si>
  <si>
    <t>Přesun hmot tonážní pro konstrukce montované z desek v objektech v přes 6 do 12 m</t>
  </si>
  <si>
    <t>-212373272</t>
  </si>
  <si>
    <t>764</t>
  </si>
  <si>
    <t>Konstrukce klempířské</t>
  </si>
  <si>
    <t>188</t>
  </si>
  <si>
    <t>764212664</t>
  </si>
  <si>
    <t>Oplechování rovné okapové hrany z Pz s povrchovou úpravou rš 330 mm</t>
  </si>
  <si>
    <t>182794813</t>
  </si>
  <si>
    <t>"KL.05" 11,5</t>
  </si>
  <si>
    <t>189</t>
  </si>
  <si>
    <t>764242401.R</t>
  </si>
  <si>
    <t>Oplechování štítu závětrnou lištou z TiZn předzvětralého plechu rš 90 mm</t>
  </si>
  <si>
    <t>883503193</t>
  </si>
  <si>
    <t>"KL.01" 151,6</t>
  </si>
  <si>
    <t>190</t>
  </si>
  <si>
    <t>764246445</t>
  </si>
  <si>
    <t>Oplechování parapetů rovných celoplošně lepené z TiZn předzvětralého plechu rš 400 mm</t>
  </si>
  <si>
    <t>593296324</t>
  </si>
  <si>
    <t>"KL.02" 15,3</t>
  </si>
  <si>
    <t>191</t>
  </si>
  <si>
    <t>764246446</t>
  </si>
  <si>
    <t>Oplechování parapetů rovných celoplošně lepené z TiZn předzvětralého plechu rš 500 mm</t>
  </si>
  <si>
    <t>-793160</t>
  </si>
  <si>
    <t>"KL.02" 100,8</t>
  </si>
  <si>
    <t>"KL.06" 7,6</t>
  </si>
  <si>
    <t>192</t>
  </si>
  <si>
    <t>764248426</t>
  </si>
  <si>
    <t>Oplechování římsy rovné celoplošně lepené z TiZn předzvětralého plechu rš 500 mm</t>
  </si>
  <si>
    <t>-455466054</t>
  </si>
  <si>
    <t>"KL.04" 1,8</t>
  </si>
  <si>
    <t>193</t>
  </si>
  <si>
    <t>764341416</t>
  </si>
  <si>
    <t>Lemování rovných zdí střech s krytinou skládanou z TiZn předzvětralého plechu rš 500 mm</t>
  </si>
  <si>
    <t>1253354011</t>
  </si>
  <si>
    <t>"KL.03" 97,2</t>
  </si>
  <si>
    <t>194</t>
  </si>
  <si>
    <t>998764102</t>
  </si>
  <si>
    <t>Přesun hmot tonážní pro konstrukce klempířské v objektech v přes 6 do 12 m</t>
  </si>
  <si>
    <t>-273033118</t>
  </si>
  <si>
    <t>766</t>
  </si>
  <si>
    <t>Konstrukce truhlářské</t>
  </si>
  <si>
    <t>195</t>
  </si>
  <si>
    <t>766660001</t>
  </si>
  <si>
    <t>Montáž dveřních křídel otvíravých jednokřídlových š do 0,8 m do ocelové zárubně</t>
  </si>
  <si>
    <t>1639984009</t>
  </si>
  <si>
    <t>196</t>
  </si>
  <si>
    <t>M-766-1-010</t>
  </si>
  <si>
    <t>dveře dřevěné bezfalcové plné 700/2100 mm, HPL tl. 0,8 mm</t>
  </si>
  <si>
    <t>581730275</t>
  </si>
  <si>
    <t>197</t>
  </si>
  <si>
    <t>M-766-1-020</t>
  </si>
  <si>
    <t>dveře dřevěné bezfalcové plné 800/2100 mm, HPL tl. 0,8 mm</t>
  </si>
  <si>
    <t>465252884</t>
  </si>
  <si>
    <t>198</t>
  </si>
  <si>
    <t>766660002</t>
  </si>
  <si>
    <t>Montáž dveřních křídel otvíravých jednokřídlových š přes 0,8 m do ocelové zárubně</t>
  </si>
  <si>
    <t>1108058080</t>
  </si>
  <si>
    <t>199</t>
  </si>
  <si>
    <t>M-766-1-030</t>
  </si>
  <si>
    <t>dveře dřevěné bezfalcové plné 900/2100 mm, HPL tl. 0,8 mm</t>
  </si>
  <si>
    <t>-175156560</t>
  </si>
  <si>
    <t>200</t>
  </si>
  <si>
    <t>766660021</t>
  </si>
  <si>
    <t>Montáž dveřních křídel otvíravých jednokřídlových š do 0,8 m požárních do ocelové zárubně</t>
  </si>
  <si>
    <t>1912588884</t>
  </si>
  <si>
    <t>201</t>
  </si>
  <si>
    <t>M-766-1-040</t>
  </si>
  <si>
    <t>dveře dřevěné bezfalcové plné 800/2100 mm EW 30 DP3+C, HPL tl. 0,8 mm</t>
  </si>
  <si>
    <t>1734818052</t>
  </si>
  <si>
    <t>202</t>
  </si>
  <si>
    <t>766660717</t>
  </si>
  <si>
    <t>Montáž samozavírače na ocelovou zárubeň a dveřní křídlo</t>
  </si>
  <si>
    <t>362508780</t>
  </si>
  <si>
    <t>203</t>
  </si>
  <si>
    <t>54917250</t>
  </si>
  <si>
    <t>samozavírač dveří hydraulický</t>
  </si>
  <si>
    <t>1533593544</t>
  </si>
  <si>
    <t>204</t>
  </si>
  <si>
    <t>766660729</t>
  </si>
  <si>
    <t>Montáž dveřního interiérového kování - štítku s klikou</t>
  </si>
  <si>
    <t>957919045</t>
  </si>
  <si>
    <t>55+2+10</t>
  </si>
  <si>
    <t>205</t>
  </si>
  <si>
    <t>54914123</t>
  </si>
  <si>
    <t>dveřní kování interiérové klika/klika</t>
  </si>
  <si>
    <t>327395011</t>
  </si>
  <si>
    <t>206</t>
  </si>
  <si>
    <t>766660741.R</t>
  </si>
  <si>
    <t>Montáž držadla/madla dveří</t>
  </si>
  <si>
    <t>-968857599</t>
  </si>
  <si>
    <t>207</t>
  </si>
  <si>
    <t>55147128</t>
  </si>
  <si>
    <t>madlo invalidní rovné nerez lesk 700mm</t>
  </si>
  <si>
    <t>769585411</t>
  </si>
  <si>
    <t>208</t>
  </si>
  <si>
    <t>766660752</t>
  </si>
  <si>
    <t>Montáž dveřního interiérového kování - zámkové vložky</t>
  </si>
  <si>
    <t>-145719224</t>
  </si>
  <si>
    <t>209</t>
  </si>
  <si>
    <t>54964210</t>
  </si>
  <si>
    <t>vložka cylindrická stavební 35+55</t>
  </si>
  <si>
    <t>1084527049</t>
  </si>
  <si>
    <t>210</t>
  </si>
  <si>
    <t>766694126</t>
  </si>
  <si>
    <t>Montáž parapetních desek dřevěných nebo plastových š přes 30 cm</t>
  </si>
  <si>
    <t>833102775</t>
  </si>
  <si>
    <t>2,62+6,9+3,7</t>
  </si>
  <si>
    <t>211</t>
  </si>
  <si>
    <t>60794108</t>
  </si>
  <si>
    <t>parapet dřevotřískový vnitřní povrch laminátový š 550mm</t>
  </si>
  <si>
    <t>-1711827098</t>
  </si>
  <si>
    <t>13,22</t>
  </si>
  <si>
    <t>13,22*1,1 'Přepočtené koeficientem množství</t>
  </si>
  <si>
    <t>212</t>
  </si>
  <si>
    <t>60794121</t>
  </si>
  <si>
    <t>koncovka PVC k parapetním dřevotřískovým deskám 600mm</t>
  </si>
  <si>
    <t>1375195004</t>
  </si>
  <si>
    <t>213</t>
  </si>
  <si>
    <t>998766102</t>
  </si>
  <si>
    <t>Přesun hmot tonážní pro kce truhlářské v objektech v přes 6 do 12 m</t>
  </si>
  <si>
    <t>1666809381</t>
  </si>
  <si>
    <t>767</t>
  </si>
  <si>
    <t>Konstrukce zámečnické</t>
  </si>
  <si>
    <t>214</t>
  </si>
  <si>
    <t>767165111</t>
  </si>
  <si>
    <t>Montáž madel šroubováním</t>
  </si>
  <si>
    <t>678350036</t>
  </si>
  <si>
    <t>"ZA.01a" 7,9</t>
  </si>
  <si>
    <t>"ZA.01b" 12,2</t>
  </si>
  <si>
    <t>"ZA.02" 7,9</t>
  </si>
  <si>
    <t>"ZA.03b" 4,2*2</t>
  </si>
  <si>
    <t>"ZA.04" 8,5</t>
  </si>
  <si>
    <t>215</t>
  </si>
  <si>
    <t>55342298</t>
  </si>
  <si>
    <t>schodišťové madlo na zeď DN 40 mm NR + kotvy Pz + 2x nátěr</t>
  </si>
  <si>
    <t>-1630386502</t>
  </si>
  <si>
    <t>216</t>
  </si>
  <si>
    <t>767223221</t>
  </si>
  <si>
    <t>Montáž přímého kovového zábradlí do betonu konstrukce na schodišti v interiéru</t>
  </si>
  <si>
    <t>1084064554</t>
  </si>
  <si>
    <t>"ZA.03a" 7,7</t>
  </si>
  <si>
    <t>"ZA.05" 9</t>
  </si>
  <si>
    <t>217</t>
  </si>
  <si>
    <t>767223222</t>
  </si>
  <si>
    <t>Montáž přímého kovového zábradlí do betonu konstrukce na schodišti v exteriéru</t>
  </si>
  <si>
    <t>-2030029334</t>
  </si>
  <si>
    <t>"ZA.06" (1,825+1,872)*2</t>
  </si>
  <si>
    <t>218</t>
  </si>
  <si>
    <t>55342292</t>
  </si>
  <si>
    <t>zábradlí s horizontální výplní schodišťové, kotvení boční, madlo NR, ostatní Pz + 2x nátěr</t>
  </si>
  <si>
    <t>-971661213</t>
  </si>
  <si>
    <t>16,7+7,394</t>
  </si>
  <si>
    <t>219</t>
  </si>
  <si>
    <t>7679-1-010</t>
  </si>
  <si>
    <t>Kompletní dodávka a montáž systémového skládaného fasádního systému Dekmetal DMK1A - specifikace viz. výkaz</t>
  </si>
  <si>
    <t>1789829712</t>
  </si>
  <si>
    <t>"Fa.01F" 25,29</t>
  </si>
  <si>
    <t>Specifikace položky :</t>
  </si>
  <si>
    <t>-fasádní obklad z lakoveného ocelového pozinkovaného plechu - DEKCASSETTE Ideal tl. 32 mm</t>
  </si>
  <si>
    <t xml:space="preserve"> - systémový svislý rošt (větraná mezera) - DEKMETAL profily J50/J80 tl. 60 mm</t>
  </si>
  <si>
    <t xml:space="preserve">  - vzduchová mezera pro montáž venkovních žaluzií tl. min. 140 mm</t>
  </si>
  <si>
    <t xml:space="preserve">- difúzně otevřená fólie lehkého typu -  DEKTEN PRO PLUS tl. 0,6 mm</t>
  </si>
  <si>
    <t xml:space="preserve"> - tepelná izolace z tuhých desek z minerálních vláken (? = 0,034  W/(m.K) - ISOVER Fassil) - je započteno v tepelných izolacích !!</t>
  </si>
  <si>
    <t>- pozinkované konzoly typu L tl. 2 mm - DEKMETAL bodové L - konzoly</t>
  </si>
  <si>
    <t>220</t>
  </si>
  <si>
    <t>7679-1-012</t>
  </si>
  <si>
    <t>Kompletní dodávka a montáž systémového skládaného fasádního systému podhledu Dekmetal DMK1A - specifikace viz. výkaz</t>
  </si>
  <si>
    <t>-1097624750</t>
  </si>
  <si>
    <t>221</t>
  </si>
  <si>
    <t>7679-1-020</t>
  </si>
  <si>
    <t>Dodávka a montáž fasádního obkladu soklu Al plechem</t>
  </si>
  <si>
    <t>-133090383</t>
  </si>
  <si>
    <t>222</t>
  </si>
  <si>
    <t>7679-1-030</t>
  </si>
  <si>
    <t>Dodávka a montáž interiérových prosklených Al výplní - stěn, dveří, nadsvětlíků a nástavců do podhledu</t>
  </si>
  <si>
    <t>61213937</t>
  </si>
  <si>
    <t>"Dveře, okna" 1,475*3,17*5+1,05*2,27+1,16*3,36*4+1,495*3,36+1,24*3,36+1,96*3,36+1,06*3,36+1,69*3,36+1,24*3,36*3+1,06*3,36*6+1,49*3,36+2,125*2,27</t>
  </si>
  <si>
    <t>"Stěny" 6,075*3,36*2+21,195*3,36</t>
  </si>
  <si>
    <t>223</t>
  </si>
  <si>
    <t>7679-1-031</t>
  </si>
  <si>
    <t>Dodávka a montáž interiérových prosklených protipožárních Al výplní - stěn, dveří, nadsvětlíků a nástavců do podhledu</t>
  </si>
  <si>
    <t>2099478165</t>
  </si>
  <si>
    <t>1,475*3,17+1,49*3,36</t>
  </si>
  <si>
    <t>224</t>
  </si>
  <si>
    <t>7679-1-040</t>
  </si>
  <si>
    <t xml:space="preserve">Dodávka a montáž exteriérových prosklených Al výplní - stěn, včetně rozšiřovacích profilů </t>
  </si>
  <si>
    <t>-344746429</t>
  </si>
  <si>
    <t>"V.01-03" (2,62+6,9+3,405)*6,39-1,1*3,36</t>
  </si>
  <si>
    <t>"V.04" 2,35*7,59</t>
  </si>
  <si>
    <t>"V.05-10" (9,1+5,85+29,37)*3,47+(4,895+6,39+38)*3,36</t>
  </si>
  <si>
    <t>"V.11-13" 1,725*8,49+(6,26+27,25)*3,36</t>
  </si>
  <si>
    <t>225</t>
  </si>
  <si>
    <t>7679-1-050</t>
  </si>
  <si>
    <t xml:space="preserve">Dodávka a montáž exteriérových prosklených Al výplní - oken včetně rozšiřovacích profilů </t>
  </si>
  <si>
    <t>1783447574</t>
  </si>
  <si>
    <t>"O.01" 0,95*3,62*6</t>
  </si>
  <si>
    <t>"O.02" 0,95*3,56</t>
  </si>
  <si>
    <t>226</t>
  </si>
  <si>
    <t>7679-1-060</t>
  </si>
  <si>
    <t xml:space="preserve">Dodávka a montáž exteriérových prosklených Al výplní - dveří včetně rozšiřovacích profilů </t>
  </si>
  <si>
    <t>-1180899946</t>
  </si>
  <si>
    <t>"Dex.01" 1,85*4,03</t>
  </si>
  <si>
    <t>"Dex.02" 0,96*3,67</t>
  </si>
  <si>
    <t>227</t>
  </si>
  <si>
    <t>7679-1-130</t>
  </si>
  <si>
    <t>Dodávka a montáž zádržného systému na střeše</t>
  </si>
  <si>
    <t>-1061244444</t>
  </si>
  <si>
    <t>228</t>
  </si>
  <si>
    <t>7679-1-140</t>
  </si>
  <si>
    <t>Dodávka a montáž kastlíku vnějších okenních žaluzií EZ/01</t>
  </si>
  <si>
    <t>-1875520555</t>
  </si>
  <si>
    <t>"1.NP" 2,62+6,9+3,7+29,72+5,875</t>
  </si>
  <si>
    <t>"2.NP" 1,575+8,4+3,725+43,9+6,39*2+27,2+6,58</t>
  </si>
  <si>
    <t>229</t>
  </si>
  <si>
    <t>7679-1-150</t>
  </si>
  <si>
    <t>Dodávka a montáž ocelového schodiště z 1.NP do 2.NP, šířka ramene cca 1200 mm, 23 stupňů, včetně povrchové úpravy, ozn. SCH/01</t>
  </si>
  <si>
    <t>kg</t>
  </si>
  <si>
    <t>-60606424</t>
  </si>
  <si>
    <t>1137*1,1</t>
  </si>
  <si>
    <t>230</t>
  </si>
  <si>
    <t>7679-1-160</t>
  </si>
  <si>
    <t>Dodávka a montáž ocelového schodiště z 1.NP do 2.NP, šířka ramene 1075 mm, 23 stupňů, včetně povrchové úpravy, ozn. SCH/03</t>
  </si>
  <si>
    <t>1522969347</t>
  </si>
  <si>
    <t>960,9*1,1</t>
  </si>
  <si>
    <t>231</t>
  </si>
  <si>
    <t>7679-1-170</t>
  </si>
  <si>
    <t>Dodávka a montáž ocelového vstupního schodiště, šířka ramene 1450 mm, 5 stupňů, včetně povrchové úpravy, ozn. SCH/04</t>
  </si>
  <si>
    <t>-1944089799</t>
  </si>
  <si>
    <t>365,7*1,1</t>
  </si>
  <si>
    <t>232</t>
  </si>
  <si>
    <t>7679-1-180</t>
  </si>
  <si>
    <t xml:space="preserve">Dodávka a montáž výlezu (poklopu) na střechu  ze středového schodiště</t>
  </si>
  <si>
    <t>-1513445606</t>
  </si>
  <si>
    <t>233</t>
  </si>
  <si>
    <t>998767202</t>
  </si>
  <si>
    <t>Přesun hmot procentní pro zámečnické konstrukce v objektech v přes 6 do 12 m</t>
  </si>
  <si>
    <t>%</t>
  </si>
  <si>
    <t>1109568049</t>
  </si>
  <si>
    <t>771</t>
  </si>
  <si>
    <t>Podlahy z dlaždic</t>
  </si>
  <si>
    <t>234</t>
  </si>
  <si>
    <t>771121011</t>
  </si>
  <si>
    <t>Nátěr penetrační na podlahu</t>
  </si>
  <si>
    <t>278916535</t>
  </si>
  <si>
    <t>"1.PP" 92,25-20*1,2*0,31</t>
  </si>
  <si>
    <t>"1.NP" 607,78-29,04-23*1,2*0,29</t>
  </si>
  <si>
    <t>"2.NP" 8,47+4,04+8,58+6,19+4+8,41+3,87+8,23</t>
  </si>
  <si>
    <t>235</t>
  </si>
  <si>
    <t>771274323</t>
  </si>
  <si>
    <t>Montáž obkladů stupnic z dlaždic keramických reliéfních nebo z dekorů lepených cementovým flexibilním rychletuhnoucím lepidlem š přes 250 do 300 mm</t>
  </si>
  <si>
    <t>-870946276</t>
  </si>
  <si>
    <t>1,2*23</t>
  </si>
  <si>
    <t>236</t>
  </si>
  <si>
    <t>59761138</t>
  </si>
  <si>
    <t>schodovka keramická mrazuvzdorná R10/A povrch reliéfní/matný tl do 10mm š přes 250 do 300mm dl přes 400 do 600mm</t>
  </si>
  <si>
    <t>-1761246008</t>
  </si>
  <si>
    <t>27,6</t>
  </si>
  <si>
    <t>27,6*1,1 'Přepočtené koeficientem množství</t>
  </si>
  <si>
    <t>237</t>
  </si>
  <si>
    <t>771274324</t>
  </si>
  <si>
    <t>Montáž obkladů stupnic z dlaždic keramických reliéfních nebo z dekorů lepených cementovým flexibilním rychletuhnoucím lepidlem š přes 300 do 350 mm</t>
  </si>
  <si>
    <t>729791045</t>
  </si>
  <si>
    <t>1,2*20</t>
  </si>
  <si>
    <t>238</t>
  </si>
  <si>
    <t>59761093</t>
  </si>
  <si>
    <t>schodovka keramická mrazuvzdorná R9/A povrch reliéfní/matný tl do 10mm š přes 350 do 400mm dl přes 600 do 800mm</t>
  </si>
  <si>
    <t>1253623837</t>
  </si>
  <si>
    <t>24*1,1 'Přepočtené koeficientem množství</t>
  </si>
  <si>
    <t>239</t>
  </si>
  <si>
    <t>771274332</t>
  </si>
  <si>
    <t>Montáž obkladů podstupnic z dlaždic keramických hladkých lepených cementovým flexibilním rychletuhnoucím lepidlem v přes 150 do 200 mm</t>
  </si>
  <si>
    <t>290115592</t>
  </si>
  <si>
    <t>1,2*(20+23)</t>
  </si>
  <si>
    <t>240</t>
  </si>
  <si>
    <t>771474112</t>
  </si>
  <si>
    <t>Montáž soklů z dlaždic keramických rovných lepených cementovým flexibilním lepidlem v přes 65 do 90 mm</t>
  </si>
  <si>
    <t>163268640</t>
  </si>
  <si>
    <t>707,336*0,9-203,94</t>
  </si>
  <si>
    <t>241</t>
  </si>
  <si>
    <t>771474132</t>
  </si>
  <si>
    <t>Montáž soklů z dlaždic keramických schodišťových stupňovitých lepených cementovým flexibilním lepidlem v přes 65 do 90 mm</t>
  </si>
  <si>
    <t>-554027145</t>
  </si>
  <si>
    <t>"Sch2" (0,1575+0,31)*20*2+(0,17087+0,29)*23*2</t>
  </si>
  <si>
    <t>242</t>
  </si>
  <si>
    <t>59761184</t>
  </si>
  <si>
    <t>sokl keramický mrazuvzdorný povrch hladký/matný tl do 10mm výšky přes 65 do 90mm</t>
  </si>
  <si>
    <t>-1834545890</t>
  </si>
  <si>
    <t>432,662+39,9</t>
  </si>
  <si>
    <t>472,562*1,1 'Přepočtené koeficientem množství</t>
  </si>
  <si>
    <t>243</t>
  </si>
  <si>
    <t>771574415</t>
  </si>
  <si>
    <t>Montáž podlah keramických hladkých lepených cementovým flexibilním lepidlem přes 6 do 9 ks/m2</t>
  </si>
  <si>
    <t>1603533007</t>
  </si>
  <si>
    <t>244</t>
  </si>
  <si>
    <t>59761137</t>
  </si>
  <si>
    <t>dlažba keramická slinutá mrazuvzdorná povrch hladký/matný tl do 10mm přes 6 do 9ks/m2</t>
  </si>
  <si>
    <t>-557533126</t>
  </si>
  <si>
    <t>707,336+1,2*20*0,1575+1,2*23*0,17087</t>
  </si>
  <si>
    <t>715,832*1,1 'Přepočtené koeficientem množství</t>
  </si>
  <si>
    <t>245</t>
  </si>
  <si>
    <t>771577211</t>
  </si>
  <si>
    <t>Příplatek k montáži podlah keramických lepených cementovým flexibilním lepidlem za plochu do 5 m2</t>
  </si>
  <si>
    <t>-1820661080</t>
  </si>
  <si>
    <t>"1.PP" 4,88+3</t>
  </si>
  <si>
    <t>"1.NP" 3,87+2,17+1,19+3,08+1,37+1,6+3,41+1,58+1,6+2,77*2+3,47*4</t>
  </si>
  <si>
    <t>"2.NP" 4,04+4+3,87</t>
  </si>
  <si>
    <t>246</t>
  </si>
  <si>
    <t>771591112</t>
  </si>
  <si>
    <t>Izolace pod dlažbu nátěrem nebo stěrkou ve dvou vrstvách</t>
  </si>
  <si>
    <t>-1677119683</t>
  </si>
  <si>
    <t>"1.PP" 3</t>
  </si>
  <si>
    <t>"1.NP" 8,99+7,6+3,87+7,71+1,19+3,08+21,17+1,37+1,6+3,41+1,58+1,6+5,87+2,77*2+5,35+7,22+3,47*4+6,65+7,02+6,65</t>
  </si>
  <si>
    <t>247</t>
  </si>
  <si>
    <t>771591264</t>
  </si>
  <si>
    <t>Izolace těsnícími pásy mezi podlahou a stěnou</t>
  </si>
  <si>
    <t>-209596300</t>
  </si>
  <si>
    <t>169,95*1,2</t>
  </si>
  <si>
    <t>248</t>
  </si>
  <si>
    <t>998771102</t>
  </si>
  <si>
    <t>Přesun hmot tonážní pro podlahy z dlaždic v objektech v přes 6 do 12 m</t>
  </si>
  <si>
    <t>-630896314</t>
  </si>
  <si>
    <t>775</t>
  </si>
  <si>
    <t>Podlahy skládané</t>
  </si>
  <si>
    <t>249</t>
  </si>
  <si>
    <t>775121111</t>
  </si>
  <si>
    <t>Vodou ředitelná penetrace savého podkladu skládaných podlah</t>
  </si>
  <si>
    <t>-1586718611</t>
  </si>
  <si>
    <t>"2.NP" 49,28+29,99+20,63*2+20,25+30,87+40,53+14,49+15,52+30,97+31,98+65,8</t>
  </si>
  <si>
    <t>250</t>
  </si>
  <si>
    <t>775141111</t>
  </si>
  <si>
    <t>Stěrka podlahová nivelační pro vyrovnání podkladu skládaných podlah pevnosti 20 MPa tl do 3 mm</t>
  </si>
  <si>
    <t>-847242463</t>
  </si>
  <si>
    <t>251</t>
  </si>
  <si>
    <t>775413115</t>
  </si>
  <si>
    <t>Montáž podlahové lišty ze dřeva tvrdého nebo měkkého lepené</t>
  </si>
  <si>
    <t>384804818</t>
  </si>
  <si>
    <t>370,94*0,6</t>
  </si>
  <si>
    <t>252</t>
  </si>
  <si>
    <t>61418101</t>
  </si>
  <si>
    <t>lišta podlahová dřevěná dub 8x35mm</t>
  </si>
  <si>
    <t>-1966423690</t>
  </si>
  <si>
    <t>222,564</t>
  </si>
  <si>
    <t>222,564*1,08 'Přepočtené koeficientem množství</t>
  </si>
  <si>
    <t>253</t>
  </si>
  <si>
    <t>775511411</t>
  </si>
  <si>
    <t>Podlahy z vlysů lepených tl do 22 mm š přes 40 do 50 mm dl přes 240 do 300 mm dub I</t>
  </si>
  <si>
    <t>-1434609542</t>
  </si>
  <si>
    <t>254</t>
  </si>
  <si>
    <t>998775102</t>
  </si>
  <si>
    <t>Přesun hmot tonážní pro podlahy skládané v objektech v přes 6 do 12 m</t>
  </si>
  <si>
    <t>1793108134</t>
  </si>
  <si>
    <t>776</t>
  </si>
  <si>
    <t>Podlahy povlakové</t>
  </si>
  <si>
    <t>255</t>
  </si>
  <si>
    <t>776121112</t>
  </si>
  <si>
    <t>Vodou ředitelná penetrace savého podkladu povlakových podlah</t>
  </si>
  <si>
    <t>825399110</t>
  </si>
  <si>
    <t>"2.NP" 36,66+30,46+16,11+38,49+7,52+7,23+3,87+4,49</t>
  </si>
  <si>
    <t>256</t>
  </si>
  <si>
    <t>776141121</t>
  </si>
  <si>
    <t>Stěrka podlahová nivelační pro vyrovnání podkladu povlakových podlah pevnosti 30 MPa tl do 3 mm</t>
  </si>
  <si>
    <t>1213054358</t>
  </si>
  <si>
    <t>257</t>
  </si>
  <si>
    <t>776241111</t>
  </si>
  <si>
    <t>Lepení hladkých (bez vzoru) pásů ze sametového vinylu</t>
  </si>
  <si>
    <t>1944118279</t>
  </si>
  <si>
    <t>258</t>
  </si>
  <si>
    <t>28411145</t>
  </si>
  <si>
    <t>podlahovina vinylová homogenní protiskluzná se vsypem a výztuž. vrstvou, třída zátěže 34/43, hořlavost Bfl-s1 tl 3,00mm</t>
  </si>
  <si>
    <t>-920793769</t>
  </si>
  <si>
    <t>144,83</t>
  </si>
  <si>
    <t>144,83*1,1 'Přepočtené koeficientem množství</t>
  </si>
  <si>
    <t>259</t>
  </si>
  <si>
    <t>776411211</t>
  </si>
  <si>
    <t>Montáž tahaných obvodových soklíků z PVC výšky do 80 mm</t>
  </si>
  <si>
    <t>-18410702</t>
  </si>
  <si>
    <t>144,83*0,8</t>
  </si>
  <si>
    <t>260</t>
  </si>
  <si>
    <t>28341070</t>
  </si>
  <si>
    <t>lišta soklová vinilová</t>
  </si>
  <si>
    <t>1352702009</t>
  </si>
  <si>
    <t>115,864</t>
  </si>
  <si>
    <t>115,864*1,02 'Přepočtené koeficientem množství</t>
  </si>
  <si>
    <t>261</t>
  </si>
  <si>
    <t>998776102</t>
  </si>
  <si>
    <t>Přesun hmot tonážní pro podlahy povlakové v objektech v přes 6 do 12 m</t>
  </si>
  <si>
    <t>1220512570</t>
  </si>
  <si>
    <t>781</t>
  </si>
  <si>
    <t>Dokončovací práce - obklady</t>
  </si>
  <si>
    <t>262</t>
  </si>
  <si>
    <t>781121011</t>
  </si>
  <si>
    <t>Nátěr penetrační na stěnu</t>
  </si>
  <si>
    <t>-1811872459</t>
  </si>
  <si>
    <t>"1.PP" 33,2</t>
  </si>
  <si>
    <t>"1.NP" 798,4</t>
  </si>
  <si>
    <t>"2.NP" 68,2+27,8+63+27,6+61,8+26,5+66,9</t>
  </si>
  <si>
    <t>263</t>
  </si>
  <si>
    <t>781131112</t>
  </si>
  <si>
    <t>Izolace pod obklad nátěrem nebo stěrkou ve dvou vrstvách</t>
  </si>
  <si>
    <t>-1965140715</t>
  </si>
  <si>
    <t>"Vytažení na stěny a za sprchami" 221,638*0,2+1*2*2,1*7</t>
  </si>
  <si>
    <t>264</t>
  </si>
  <si>
    <t>781472215</t>
  </si>
  <si>
    <t>Montáž obkladů keramických hladkých lepených cementovým flexibilním lepidlem přes 6 do 9 ks/m2</t>
  </si>
  <si>
    <t>642719501</t>
  </si>
  <si>
    <t>265</t>
  </si>
  <si>
    <t>59761718</t>
  </si>
  <si>
    <t>obklad keramický nemrazuvzdorný povrch hladký/matný tl do 10mm přes 6 do 9ks/m2</t>
  </si>
  <si>
    <t>1231655108</t>
  </si>
  <si>
    <t>1173,4</t>
  </si>
  <si>
    <t>1173,4*1,15 'Přepočtené koeficientem množství</t>
  </si>
  <si>
    <t>266</t>
  </si>
  <si>
    <t>781492211</t>
  </si>
  <si>
    <t>Montáž profilů rohových lepených flexibilním cementovým lepidlem</t>
  </si>
  <si>
    <t>-646936495</t>
  </si>
  <si>
    <t>"1.NP" 3,17*5+0,9*13+1,8+(2,15*2+0,9)*5</t>
  </si>
  <si>
    <t>"2.NP" 3,36*6+0,9*8+1,8*2+(2,15*2+0,9)*3</t>
  </si>
  <si>
    <t>267</t>
  </si>
  <si>
    <t>781492251</t>
  </si>
  <si>
    <t>Montáž profilů ukončovacích lepených flexibilním cementovým lepidlem</t>
  </si>
  <si>
    <t>-1515837897</t>
  </si>
  <si>
    <t>3,17*2</t>
  </si>
  <si>
    <t>268</t>
  </si>
  <si>
    <t>19416012</t>
  </si>
  <si>
    <t>lišta ukončovací nerezová 10mm</t>
  </si>
  <si>
    <t>-1411603470</t>
  </si>
  <si>
    <t>101,91+6,34</t>
  </si>
  <si>
    <t>108,25*1,05 'Přepočtené koeficientem množství</t>
  </si>
  <si>
    <t>269</t>
  </si>
  <si>
    <t>781495115</t>
  </si>
  <si>
    <t>Spárování vnitřních obkladů silikonem</t>
  </si>
  <si>
    <t>1346605010</t>
  </si>
  <si>
    <t xml:space="preserve">"Mezi obkladem a dlažbou"  (1,2+2,05)*2-0,9+759,6/3,17+341,8/3,36</t>
  </si>
  <si>
    <t>270</t>
  </si>
  <si>
    <t>998781102</t>
  </si>
  <si>
    <t>Přesun hmot tonážní pro obklady keramické v objektech v přes 6 do 12 m</t>
  </si>
  <si>
    <t>-731654405</t>
  </si>
  <si>
    <t>783</t>
  </si>
  <si>
    <t>Dokončovací práce - nátěry</t>
  </si>
  <si>
    <t>271</t>
  </si>
  <si>
    <t>783213011</t>
  </si>
  <si>
    <t>Napouštěcí jednonásobný syntetický biocidní nátěr tesařských prvků nezabudovaných do konstrukce</t>
  </si>
  <si>
    <t>-1465329006</t>
  </si>
  <si>
    <t>"Předpoklad hranolek 60/60mm" 564,886*0,06*4</t>
  </si>
  <si>
    <t>272</t>
  </si>
  <si>
    <t>7839-1-010</t>
  </si>
  <si>
    <t>Protipožární nátěr nosné ocelové konstrukce</t>
  </si>
  <si>
    <t>1214348403</t>
  </si>
  <si>
    <t>784</t>
  </si>
  <si>
    <t>Dokončovací práce - malby a tapety</t>
  </si>
  <si>
    <t>273</t>
  </si>
  <si>
    <t>784181111</t>
  </si>
  <si>
    <t>Základní silikátová jednonásobná bezbarvá penetrace podkladu v místnostech v do 3,80 m</t>
  </si>
  <si>
    <t>-702664992</t>
  </si>
  <si>
    <t>"Na omítce" 405,955</t>
  </si>
  <si>
    <t>"Na SDRK" (25,79+1,392+169,027+548,407+94,176)*2+36,036+1879,691+281,943+130,02+23,14</t>
  </si>
  <si>
    <t>"Odpočet obkladů" -1173,4+33,2</t>
  </si>
  <si>
    <t>274</t>
  </si>
  <si>
    <t>784321031</t>
  </si>
  <si>
    <t>Dvojnásobné silikátové bílé malby v místnosti v do 3,80 m</t>
  </si>
  <si>
    <t>-13472773</t>
  </si>
  <si>
    <t>Práce a dodávky M</t>
  </si>
  <si>
    <t>33-M</t>
  </si>
  <si>
    <t>Montáže dopravních zařízení</t>
  </si>
  <si>
    <t>275</t>
  </si>
  <si>
    <t>M-33-1-010</t>
  </si>
  <si>
    <t>Dodávka a montáž osobního průchozího výtahu</t>
  </si>
  <si>
    <t>1714970105</t>
  </si>
  <si>
    <t>020 - Hala</t>
  </si>
  <si>
    <t>-569514294</t>
  </si>
  <si>
    <t>"Stavební jáma" 54*132*0,54</t>
  </si>
  <si>
    <t>-1001415552</t>
  </si>
  <si>
    <t>"Zemina z pilot" (968+192)*0,5*0,5*pi</t>
  </si>
  <si>
    <t>"Zpět na zásypy" 269,514</t>
  </si>
  <si>
    <t>-1305679142</t>
  </si>
  <si>
    <t>"Přebytečná zemina" 3849,12-269,514</t>
  </si>
  <si>
    <t>-1241638990</t>
  </si>
  <si>
    <t>"Škládka AZS-98 Zavlekov" 3579,606*17</t>
  </si>
  <si>
    <t>828621911</t>
  </si>
  <si>
    <t>-216732625</t>
  </si>
  <si>
    <t>"Přebytečná zemina" 3579,606*1,75</t>
  </si>
  <si>
    <t>611896969</t>
  </si>
  <si>
    <t>487775429</t>
  </si>
  <si>
    <t>3849,12-6628,9*0,54</t>
  </si>
  <si>
    <t>440091459</t>
  </si>
  <si>
    <t>"Pojezd pro pilotáž" 54*132</t>
  </si>
  <si>
    <t>226213213</t>
  </si>
  <si>
    <t>Vrty velkoprofilové svislé zapažené D přes 850 do 1050 mm hl od 0 do 10 m hornina III</t>
  </si>
  <si>
    <t>-1423164101</t>
  </si>
  <si>
    <t>10*(6+1+24+1+8+1+7+2+1+17)+9*16*2</t>
  </si>
  <si>
    <t>226213313</t>
  </si>
  <si>
    <t>Vrty velkoprofilové svislé zapažené D přes 850 do 1050 mm hl od 0 do 20 m hornina III</t>
  </si>
  <si>
    <t>-92243593</t>
  </si>
  <si>
    <t>12*16</t>
  </si>
  <si>
    <t>231212113</t>
  </si>
  <si>
    <t>Zřízení pilot svislých zapažených D přes 650 do 1250 mm hl od 0 do 10 m s vytažením pažnic z betonu železového</t>
  </si>
  <si>
    <t>-577276393</t>
  </si>
  <si>
    <t>231212213</t>
  </si>
  <si>
    <t>Zřízení pilot svislých zapažených D přes 650 do 1250 mm hl od 0 do 20 m s vytažením pažnic z betonu železového</t>
  </si>
  <si>
    <t>-520855362</t>
  </si>
  <si>
    <t>1198028780</t>
  </si>
  <si>
    <t>(968+192)*0,5*0,5*pi</t>
  </si>
  <si>
    <t>911,062*1,05 'Přepočtené koeficientem množství</t>
  </si>
  <si>
    <t>-1106954101</t>
  </si>
  <si>
    <t>"B500B 20mm" (968+192)*12*2,47/1000</t>
  </si>
  <si>
    <t>"B500B 10mm" (968+192)/0,25*0,78*pi*0,617/1000</t>
  </si>
  <si>
    <t>239111113</t>
  </si>
  <si>
    <t>Odbourání vrchní části znehodnocené výplně pilot D piloty přes 650 do 1250 mm</t>
  </si>
  <si>
    <t>-13874084</t>
  </si>
  <si>
    <t>(26+9+3*3+17+7+16*3)*0,5</t>
  </si>
  <si>
    <t>274125004.R</t>
  </si>
  <si>
    <t xml:space="preserve">Montáž ŽB základových pasů hmotnosti přes  7 t</t>
  </si>
  <si>
    <t>1536956150</t>
  </si>
  <si>
    <t>59319007</t>
  </si>
  <si>
    <t>základový pas ŽB včetně výztuže přes 140 do 170kg/m3 objem prefabrikátu přes 1m3</t>
  </si>
  <si>
    <t>-415471387</t>
  </si>
  <si>
    <t>2,92*(4,905*2+4,99*4+4,98*6+4,645*8+4,62*2+4,57*2+5,125*3+5,2*9)*0,4</t>
  </si>
  <si>
    <t>(2,52*5,2+2,41*5,2*2+2*5,2+2,03*5,2+2,03*5,125+1,72*(4,905+4,99*2+4,98*3+4,645*8+4,57*2)+2,58*(4,905+4,99*2+4,98*3+4,645*2))*0,4</t>
  </si>
  <si>
    <t>274313811</t>
  </si>
  <si>
    <t>Základové pasy z betonu tř. C 25/30</t>
  </si>
  <si>
    <t>-448577153</t>
  </si>
  <si>
    <t>"Výřez 1" (10,875*0,4+(2*(1,907+0,75)/2*3+2,875*0,75)*2)*0,7</t>
  </si>
  <si>
    <t>"Výřez 2" (5,825+4,32)*2*0,7*0,4</t>
  </si>
  <si>
    <t>640084353</t>
  </si>
  <si>
    <t>"Výřez 1" (10,875*0,4+(2*(1,907+0,75)/2*3+2,875*0,75)*2)*2</t>
  </si>
  <si>
    <t>"Výřez 2" (5,825+4,32)*2*0,4*2</t>
  </si>
  <si>
    <t>-969719848</t>
  </si>
  <si>
    <t>275322811</t>
  </si>
  <si>
    <t>Základové patky ze ŽB se zvýšenými nároky na prostředí tř. C 40/50</t>
  </si>
  <si>
    <t>-1320844972</t>
  </si>
  <si>
    <t>(1,5*1,65*1,5)*76+(1,65*1,65*1,5)*36+(3,9*1,65*1,5)*2+(3,9*1,5*1,5)*8</t>
  </si>
  <si>
    <t>-(Pi*1/3*(0,25*0,25+0,25*0,5+0,5*0,5))*122</t>
  </si>
  <si>
    <t>275351121</t>
  </si>
  <si>
    <t>Zřízení bednění základových patek</t>
  </si>
  <si>
    <t>1423634779</t>
  </si>
  <si>
    <t>((1,5+1,65)*2*76+(1,65*4)*36+(3,9+1,65)*2*2+(3,9+1,5)*2*8)*1,5</t>
  </si>
  <si>
    <t>(Pi*((0,5*0,5+0,25*0,25)+(0,5+0,25)*1,05)-0,5*0,5*Pi)*122</t>
  </si>
  <si>
    <t>275351122</t>
  </si>
  <si>
    <t>Odstranění bednění základových patek</t>
  </si>
  <si>
    <t>554079978</t>
  </si>
  <si>
    <t>275361821</t>
  </si>
  <si>
    <t>Výztuž základových patek betonářskou ocelí 10 505 (R)</t>
  </si>
  <si>
    <t>-551841771</t>
  </si>
  <si>
    <t>462,776*0,12</t>
  </si>
  <si>
    <t>278311215.R</t>
  </si>
  <si>
    <t xml:space="preserve">Zálivka kotevních otvorů z cementové zálivkové malty obj do 0,25 m3  odpovídající PEVNOSTI BETONU C40/50</t>
  </si>
  <si>
    <t>-1931583922</t>
  </si>
  <si>
    <t>((Pi*1/3*(0,45*0,45+0,45*0,25+0,25*0,25))-0,25*0,25*pi*1)*112</t>
  </si>
  <si>
    <t>-475607332</t>
  </si>
  <si>
    <t>"M.č.1.05" (11,325+5,235)*3,7-1,6*2,05</t>
  </si>
  <si>
    <t>"M.č.1.06-1,08" (4,95+5,375*2+14,79+4,775)*3,7-1*2,02*2-2,325*2,05-5,445*2,05</t>
  </si>
  <si>
    <t>"U admin." (0,65*2+2,7+4,6+2,1)*3,17-0,9*2,02</t>
  </si>
  <si>
    <t>393656539</t>
  </si>
  <si>
    <t>"U nakládacích můstků" (1,95*2+3,44)*1,18*0,22*6</t>
  </si>
  <si>
    <t>"Rampa" (2,875*1,07+6*1,07/2)*2*0,22</t>
  </si>
  <si>
    <t>-1985273962</t>
  </si>
  <si>
    <t>"U nakládacích můstků" (1,95*2+3,44)*1,18*6*2</t>
  </si>
  <si>
    <t>"Rampa" (2,875*1,07+6*1,07/2)*2*2</t>
  </si>
  <si>
    <t>1880214654</t>
  </si>
  <si>
    <t>311351911</t>
  </si>
  <si>
    <t>Příplatek k cenám bednění nosných nadzákladových zdí za pohledový beton</t>
  </si>
  <si>
    <t>-1689178212</t>
  </si>
  <si>
    <t>"U nakládacích můstků" (1,95*2+3,44)*1,18*6</t>
  </si>
  <si>
    <t>"Rampa" (2,875*1,07+6*1,07/2)*2</t>
  </si>
  <si>
    <t>289913647</t>
  </si>
  <si>
    <t>200,605*0,2*0,12+14,199*0,12</t>
  </si>
  <si>
    <t>331125104</t>
  </si>
  <si>
    <t>Montáž ŽB sloupů přivařením hmotnosti přes 7 do 10 t</t>
  </si>
  <si>
    <t>1066597347</t>
  </si>
  <si>
    <t>92+24</t>
  </si>
  <si>
    <t>59362003</t>
  </si>
  <si>
    <t>sloup ŽB včetně výztuže přes 200 do 230kg/m3 objem prefabrikátu přes 1m3</t>
  </si>
  <si>
    <t>-1363010965</t>
  </si>
  <si>
    <t>(12,12*2+12,5*17+11,21*32+11,81+11,96*2+12,65*6+12,1*2+12,79*6+12,58+13,27*3+11,96+12,65*3+12,1*4+12,24*2+11,96*2)*0,5*0,65</t>
  </si>
  <si>
    <t>(12,79*2+12,65*2)*0,7*0,5+(12,79*2+12,93*2)*0,75*0,55+(12,12+12,5*5+11,81*2+11,64*3*2)*0,65*0,65</t>
  </si>
  <si>
    <t>337171132</t>
  </si>
  <si>
    <t>Montáž nosné ocelové kce průmyslové haly bez jeřábové dráhy v přes 12 do 24 m rozpětí vazníků přes 12 do 24 m</t>
  </si>
  <si>
    <t>584008151</t>
  </si>
  <si>
    <t>"Vzpěry Tr 133/5" 3,94*1,1</t>
  </si>
  <si>
    <t>"Vestavby" 2,25*1,1</t>
  </si>
  <si>
    <t>M-337-2-010</t>
  </si>
  <si>
    <t>ocelové prvky konstrukce skladové haly včetně povrchové úpravy</t>
  </si>
  <si>
    <t>-539200147</t>
  </si>
  <si>
    <t>342125522</t>
  </si>
  <si>
    <t>Montáž ŽB příčkových dílců se svařovanými spoji hmotnosti přes 1,5 do 3 t</t>
  </si>
  <si>
    <t>1198493667</t>
  </si>
  <si>
    <t>"DS01a-DS02c" (2+12+2*3+6+1)*6</t>
  </si>
  <si>
    <t>59332000</t>
  </si>
  <si>
    <t>stěna nenosná ŽB včetně výztuže do 120kg/m3 objem prefabrikátu do 1m3</t>
  </si>
  <si>
    <t>-1806044111</t>
  </si>
  <si>
    <t>"DS01a-DS02c" ((5,375*2+5,45*12+5,45*2+5,375*2)*10,295+(5,025*2+5,7*6+5,7)*10,59)*0,15</t>
  </si>
  <si>
    <t>342151112</t>
  </si>
  <si>
    <t>Montáž opláštění stěn ocelových kcí ze sendvičových panelů šroubovaných budov v přes 6 do 12 m</t>
  </si>
  <si>
    <t>15231176</t>
  </si>
  <si>
    <t>"F.01" (129,3+52,25)*2*12,6</t>
  </si>
  <si>
    <t>"Odpočet otvorů" -4,57*1,2*2-1*1,7*6-3,55*3*2-2,9*3*2-2,5*3*6</t>
  </si>
  <si>
    <t>55324700</t>
  </si>
  <si>
    <t>panel sendvičový stěnový vnější, izolace PIR, viditelné kotvení, U 0,15W/m2K, modulová/celková š 1100/1120mm tl 150mm</t>
  </si>
  <si>
    <t>-2113335903</t>
  </si>
  <si>
    <t>4470,192</t>
  </si>
  <si>
    <t>4470,192*1,1 'Přepočtené koeficientem množství</t>
  </si>
  <si>
    <t>M-342-2-010</t>
  </si>
  <si>
    <t>kotevní a spojovací materiál</t>
  </si>
  <si>
    <t>458027675</t>
  </si>
  <si>
    <t>5539-2-010</t>
  </si>
  <si>
    <t>Dodávka a montáž rohových, ukončovacích apod. prvků</t>
  </si>
  <si>
    <t>Kč</t>
  </si>
  <si>
    <t>-1027864836</t>
  </si>
  <si>
    <t>5539-2-020</t>
  </si>
  <si>
    <t>Dodávka a montáž pomocné konstrukce pro kotvení obvodového pláště a výplní otvorů H.4.3</t>
  </si>
  <si>
    <t>1014666702</t>
  </si>
  <si>
    <t>411118214</t>
  </si>
  <si>
    <t>Strop betonový tl do 250 mm skládaný z betonových vložek výšky do 210 mm osová vzdálenost nosníků do 500 mm rozpětí přes 4,8 do 6,6 m</t>
  </si>
  <si>
    <t>-833812243</t>
  </si>
  <si>
    <t>"Vestavky" 67,9+31,1*2+62,2</t>
  </si>
  <si>
    <t>955325832</t>
  </si>
  <si>
    <t>"Vestavek u admin." 9,22*(0,05+0,05/2)</t>
  </si>
  <si>
    <t>Bednění stropů ztracené z hraněných trapézových vln v do 60 mm plech pozinkovaný tl 1,0 mm</t>
  </si>
  <si>
    <t>2091122658</t>
  </si>
  <si>
    <t>"Vestavek u admin." 9,22</t>
  </si>
  <si>
    <t>262152365</t>
  </si>
  <si>
    <t>0,692*0,12</t>
  </si>
  <si>
    <t>413125012</t>
  </si>
  <si>
    <t>Montáž ŽB trámů, průvlaků a ztužidel se svařovanými spoji hmotnosti přes 1,5 do 3 t</t>
  </si>
  <si>
    <t>-273769612</t>
  </si>
  <si>
    <t>"Ztužidla" 54</t>
  </si>
  <si>
    <t>59323006</t>
  </si>
  <si>
    <t>ztužidlo ŽB včetně výztuže přes 180 do 220kg/m3 objem prefabrikátu do 1m3</t>
  </si>
  <si>
    <t>-1254061940</t>
  </si>
  <si>
    <t>5,7*0,4*0,2*54</t>
  </si>
  <si>
    <t>413125015</t>
  </si>
  <si>
    <t>Montáž ŽB trámů, průvlaků a ztužidel se svařovanými spoji hmotnosti přes 7 do 10 t</t>
  </si>
  <si>
    <t>1071208283</t>
  </si>
  <si>
    <t>"P.A" 16</t>
  </si>
  <si>
    <t>"P.B" 4</t>
  </si>
  <si>
    <t>413125016</t>
  </si>
  <si>
    <t>Montáž ŽB trámů, průvlaků a ztužidel se svařovanými spoji hmotnosti přes 10 do 15 t</t>
  </si>
  <si>
    <t>-651336898</t>
  </si>
  <si>
    <t>"V.A" 40</t>
  </si>
  <si>
    <t>"V.B" 40</t>
  </si>
  <si>
    <t>59323003</t>
  </si>
  <si>
    <t>průvlak ŽB včetně výztuže přes 200 do 230kg/m3 objem prefabrikátu přes 1m3</t>
  </si>
  <si>
    <t>559867047</t>
  </si>
  <si>
    <t>"P.A" 11,4*16*(0,6*0,16+0,9*0,16)</t>
  </si>
  <si>
    <t>"P.B" 5,7*4*0,2*0,4</t>
  </si>
  <si>
    <t>"V.A1" 16,45*32*(0,16*0,5+1,1*0,16)</t>
  </si>
  <si>
    <t>"V.A.2" 16,45*8*0,2*0,5</t>
  </si>
  <si>
    <t>"V.B.1" 15,435*32*(0,16*0,5+1,1*0,16)</t>
  </si>
  <si>
    <t>"V.B.2" 15,435*8*0,2*0,5</t>
  </si>
  <si>
    <t>417321515</t>
  </si>
  <si>
    <t>Ztužující pásy a věnce ze ŽB tř. C 25/30</t>
  </si>
  <si>
    <t>110578117</t>
  </si>
  <si>
    <t>"M.č.1.05" (11,325+5,235)*0,2*0,25</t>
  </si>
  <si>
    <t>"M.č.1.06-1,08" (4,95+5,375*2+14,79+4,775)*0,2*0,25</t>
  </si>
  <si>
    <t>"U admin." (0,65*2+2,7+4,6+2,1)*0,2*0,25</t>
  </si>
  <si>
    <t>417351115</t>
  </si>
  <si>
    <t>Zřízení bednění ztužujících věnců</t>
  </si>
  <si>
    <t>955588051</t>
  </si>
  <si>
    <t>"M.č.1.05" (11,325+5,235)*0,25</t>
  </si>
  <si>
    <t>"M.č.1.06-1,08" (4,95+5,375*2+14,79+4,775)*0,25</t>
  </si>
  <si>
    <t>"U admin." (0,65*2+2,7+4,6+2,1)*0,25</t>
  </si>
  <si>
    <t>417351116</t>
  </si>
  <si>
    <t>Odstranění bednění ztužujících věnců</t>
  </si>
  <si>
    <t>-698322451</t>
  </si>
  <si>
    <t>417361821</t>
  </si>
  <si>
    <t>Výztuž ztužujících pásů a věnců betonářskou ocelí 10 505</t>
  </si>
  <si>
    <t>-1508216224</t>
  </si>
  <si>
    <t>3,126*0,09</t>
  </si>
  <si>
    <t>444171112</t>
  </si>
  <si>
    <t>Montáž krytiny ocelových střech z tvarovaných ocelových plechů šroubovaných budov v přes 6 do 12 m</t>
  </si>
  <si>
    <t>1755672231</t>
  </si>
  <si>
    <t>"SP.01" (873,8+856,66+803,67+825,49)*2</t>
  </si>
  <si>
    <t>M-444-2-010</t>
  </si>
  <si>
    <t>plech ocelový trapézový s povrchovou úpravou TR 200/420 tl.1 mm</t>
  </si>
  <si>
    <t>-1820039782</t>
  </si>
  <si>
    <t>6719,24</t>
  </si>
  <si>
    <t>6719,24*1,2 'Přepočtené koeficientem množství</t>
  </si>
  <si>
    <t>1345130447</t>
  </si>
  <si>
    <t>"Výměna podloží" 54*132*0,8</t>
  </si>
  <si>
    <t>657037283</t>
  </si>
  <si>
    <t>622142001</t>
  </si>
  <si>
    <t>Sklovláknité pletivo vnějších stěn vtlačené do tmelu</t>
  </si>
  <si>
    <t>856120599</t>
  </si>
  <si>
    <t>"F/03 - pod terénem" (129,3+52,25)*2*1,08</t>
  </si>
  <si>
    <t>622151021</t>
  </si>
  <si>
    <t>Penetrační akrylátový nátěr vnějších mozaikových tenkovrstvých omítek stěn</t>
  </si>
  <si>
    <t>-1859279635</t>
  </si>
  <si>
    <t>"F/02" (129,3+52,25)*2*1,5-5*1,5-3*6*0,5</t>
  </si>
  <si>
    <t>622211021</t>
  </si>
  <si>
    <t>Montáž kontaktního zateplení vnějších stěn lepením a mechanickým kotvením polystyrénových desek do betonu a zdiva tl přes 80 do 120 mm</t>
  </si>
  <si>
    <t>948799049</t>
  </si>
  <si>
    <t>28376423</t>
  </si>
  <si>
    <t>deska XPS hrana polodrážková a hladký povrch 300kPA λ=0,035 tl 120mm</t>
  </si>
  <si>
    <t>112672200</t>
  </si>
  <si>
    <t>528,15</t>
  </si>
  <si>
    <t>528,15*1,05 'Přepočtené koeficientem množství</t>
  </si>
  <si>
    <t>622251211</t>
  </si>
  <si>
    <t>Příplatek k cenám kontaktního zateplení vnějších stěn za zesílení vyztužení základní vrstvy</t>
  </si>
  <si>
    <t>77057784</t>
  </si>
  <si>
    <t>631311234</t>
  </si>
  <si>
    <t>Mazanina tl přes 120 do 240 mm z betonu prostého se zvýšenými nároky na prostředí tř. C 25/30</t>
  </si>
  <si>
    <t>1212481949</t>
  </si>
  <si>
    <t>"PDL.01" 6625,5*0,22</t>
  </si>
  <si>
    <t>631319013</t>
  </si>
  <si>
    <t>Příplatek k mazanině tl přes 120 do 240 mm za přehlazení povrchu</t>
  </si>
  <si>
    <t>-2108979507</t>
  </si>
  <si>
    <t>1985214009</t>
  </si>
  <si>
    <t>631319205</t>
  </si>
  <si>
    <t>Příplatek k mazaninám za přidání ocelových vláken (drátkobeton) pro objemové vyztužení 35 kg/m3</t>
  </si>
  <si>
    <t>-1508357931</t>
  </si>
  <si>
    <t>1750437952</t>
  </si>
  <si>
    <t>"PDL.01" 6625,5*1,15*7,99/1000</t>
  </si>
  <si>
    <t>633131111</t>
  </si>
  <si>
    <t>Povrchová úprava průmyslových podlah pro těžký provoz vsypovou směsí s příměsí karbidu tl 2 mm</t>
  </si>
  <si>
    <t>-1791656140</t>
  </si>
  <si>
    <t>"PDL.01" 6625,5</t>
  </si>
  <si>
    <t>634662111</t>
  </si>
  <si>
    <t>Výplň dilatačních spar šířky do 10 mm v mazaninách akrylátovým tmelem</t>
  </si>
  <si>
    <t>443581392</t>
  </si>
  <si>
    <t>51,15*21+128,2*8</t>
  </si>
  <si>
    <t>634911124</t>
  </si>
  <si>
    <t>Řezání dilatačních spár š 10 mm hl přes 50 do 80 mm v čerstvé betonové mazanině</t>
  </si>
  <si>
    <t>-174486506</t>
  </si>
  <si>
    <t>-1312379229</t>
  </si>
  <si>
    <t>"PDL.01" 51,95*129*0,2</t>
  </si>
  <si>
    <t>99227471</t>
  </si>
  <si>
    <t>"DH.03 a 04" 2</t>
  </si>
  <si>
    <t>55331493</t>
  </si>
  <si>
    <t>zárubeň jednokřídlá ocelová pro zdění tl stěny 160-200mm rozměru 900/1970, 2100mm</t>
  </si>
  <si>
    <t>-1723982</t>
  </si>
  <si>
    <t>642942221</t>
  </si>
  <si>
    <t>Osazování zárubní nebo rámů dveřních kovových přes 2,5 do 4,5 m2 na MC</t>
  </si>
  <si>
    <t>-140322782</t>
  </si>
  <si>
    <t>"DH.05" 1</t>
  </si>
  <si>
    <t>55331751</t>
  </si>
  <si>
    <t>zárubeň dvoukřídlá ocelová pro zdění tl stěny 160-200mm rozměru 1600/1970, 2100mm</t>
  </si>
  <si>
    <t>1727414278</t>
  </si>
  <si>
    <t>945412112</t>
  </si>
  <si>
    <t>Teleskopická hydraulická montážní plošina výška zdvihu do 21 m</t>
  </si>
  <si>
    <t>1803722787</t>
  </si>
  <si>
    <t>"Pro montáž ocelové konstrukce a fasády" 200</t>
  </si>
  <si>
    <t>946112122</t>
  </si>
  <si>
    <t>Montáž pojízdných věží trubkových/dílcových š přes 0,9 do 1,6 m dl do 3,2 m v přes 10,6 do 11,6 m</t>
  </si>
  <si>
    <t>-526977871</t>
  </si>
  <si>
    <t>946112222</t>
  </si>
  <si>
    <t>Příplatek k pojízdným věžím š přes 0,9 do 1,6 m dl do 3,2 m v přes 10,6 do 11,6 m za každý den použití</t>
  </si>
  <si>
    <t>599357882</t>
  </si>
  <si>
    <t>3*30</t>
  </si>
  <si>
    <t>946112822</t>
  </si>
  <si>
    <t>Demontáž pojízdných věží trubkových/dílcových š přes 0,9 do 1,6 m dl do 3,2 m v přes 10,6 do 11,6 m</t>
  </si>
  <si>
    <t>-108081648</t>
  </si>
  <si>
    <t>140163173</t>
  </si>
  <si>
    <t>"Vestavky" 67,9+31,1*2+62,2+(11,975+5,6+6,275*2+21,615+1,4*3)*1,2</t>
  </si>
  <si>
    <t>"U admin." (2,7+4,6+2,1)*2*1,2</t>
  </si>
  <si>
    <t>952901221</t>
  </si>
  <si>
    <t>Vyčištění budov průmyslových objektů při jakékoliv výšce podlaží</t>
  </si>
  <si>
    <t>-890315333</t>
  </si>
  <si>
    <t>-91613968</t>
  </si>
  <si>
    <t>44932114.R</t>
  </si>
  <si>
    <t>přístroj hasicí ruční práškový s hasící schopností 34A, 183B, C</t>
  </si>
  <si>
    <t>764100709</t>
  </si>
  <si>
    <t>998014011</t>
  </si>
  <si>
    <t>Přesun hmot pro budovy jednopodlažní z betonových dílců s nezděným pláštěm</t>
  </si>
  <si>
    <t>-879039141</t>
  </si>
  <si>
    <t>711161212</t>
  </si>
  <si>
    <t>Izolace proti zemní vlhkosti nopovou fólií svislá, výška nopu 8,0 mm, tl do 0,6 mm</t>
  </si>
  <si>
    <t>-849436380</t>
  </si>
  <si>
    <t>641472363</t>
  </si>
  <si>
    <t>"PDL.01" 129*51,95</t>
  </si>
  <si>
    <t>1140631117</t>
  </si>
  <si>
    <t>"F/02 a F/03" (129,3+52,25)*2*2,58-5*1,57-3*6*0,5+2,35*1,4*2*6+(2,875*1,07+6*1,07/2)*2</t>
  </si>
  <si>
    <t>1397894235</t>
  </si>
  <si>
    <t>6701,55+972,001</t>
  </si>
  <si>
    <t>1661351329</t>
  </si>
  <si>
    <t>386230831</t>
  </si>
  <si>
    <t>1738719966</t>
  </si>
  <si>
    <t>-1031210780</t>
  </si>
  <si>
    <t>"F/02 a F/03 - pod terénem" (129,3+52,25)*2*1,08</t>
  </si>
  <si>
    <t>-938609303</t>
  </si>
  <si>
    <t>"F/02 a F/03" 6701,55*2+972,001+1364,149</t>
  </si>
  <si>
    <t>491097580</t>
  </si>
  <si>
    <t>565313026</t>
  </si>
  <si>
    <t>"SP.01" 129,3*52,25</t>
  </si>
  <si>
    <t xml:space="preserve">"Vnitřní  strana atiky" 52,25*2*0,96+129,3*2*0,96/2</t>
  </si>
  <si>
    <t>DEK.2600701000</t>
  </si>
  <si>
    <t>DEKSEPAR tl. 0,2mm 50m x 4m (200m2/bal.)</t>
  </si>
  <si>
    <t>723012672</t>
  </si>
  <si>
    <t>6980,373</t>
  </si>
  <si>
    <t>6980,373*1,1655 'Přepočtené koeficientem množství</t>
  </si>
  <si>
    <t>715125057</t>
  </si>
  <si>
    <t xml:space="preserve">"Vnitřní  strana atiky" (129,3+52,25)*2</t>
  </si>
  <si>
    <t>-1118359992</t>
  </si>
  <si>
    <t>-745981616</t>
  </si>
  <si>
    <t xml:space="preserve">"Vnitřní  strana atiky" (129,6+52,55)*2</t>
  </si>
  <si>
    <t>-1200732278</t>
  </si>
  <si>
    <t>-1412481443</t>
  </si>
  <si>
    <t>-1157858792</t>
  </si>
  <si>
    <t>660654007</t>
  </si>
  <si>
    <t>6980,373*1,155 'Přepočtené koeficientem množství</t>
  </si>
  <si>
    <t>1360737427</t>
  </si>
  <si>
    <t>798502966</t>
  </si>
  <si>
    <t>28376459</t>
  </si>
  <si>
    <t>deska XPS hrana polodrážková a hladký povrch 500kPA λ=0,035 tl 140mm</t>
  </si>
  <si>
    <t>-421829558</t>
  </si>
  <si>
    <t>392,148</t>
  </si>
  <si>
    <t>392,148*1,08 'Přepočtené koeficientem množství</t>
  </si>
  <si>
    <t>1625263376</t>
  </si>
  <si>
    <t>"SP.01" (873,8+856,66+803,67+825,49)*2*3</t>
  </si>
  <si>
    <t>63151626</t>
  </si>
  <si>
    <t>deska tepelně izolační minerální plochých střech spodní vrstva 30kPa λ=0,035-0,037 tl 120mm</t>
  </si>
  <si>
    <t>990358526</t>
  </si>
  <si>
    <t>"SP.01" 6719,24</t>
  </si>
  <si>
    <t>6719,24*1,05 'Přepočtené koeficientem množství</t>
  </si>
  <si>
    <t>63152414</t>
  </si>
  <si>
    <t>deska tepelně izolační minerální plochých střech spodní vrstva 30 kPa λ= 0,038-0,039 tl 80mm</t>
  </si>
  <si>
    <t>-230619318</t>
  </si>
  <si>
    <t>63151401</t>
  </si>
  <si>
    <t>deska tepelně izolační minerální plochých střech vrchní vrstva 60kPa λ=0,037-0,039 tl 80mm</t>
  </si>
  <si>
    <t>-408339658</t>
  </si>
  <si>
    <t>998713103</t>
  </si>
  <si>
    <t>Přesun hmot tonážní pro izolace tepelné v objektech v přes 12 do 24 m</t>
  </si>
  <si>
    <t>2109041989</t>
  </si>
  <si>
    <t>635043824</t>
  </si>
  <si>
    <t>"DH.03 a DH.04" 2</t>
  </si>
  <si>
    <t>61162087</t>
  </si>
  <si>
    <t>dveře jednokřídlé dřevotřískové povrch laminátový plné 900x1970-2100mm</t>
  </si>
  <si>
    <t>216692823</t>
  </si>
  <si>
    <t>766660012</t>
  </si>
  <si>
    <t>Montáž dveřních křídel otvíravých dvoukřídlových š přes 1,45 m do ocelové zárubně</t>
  </si>
  <si>
    <t>-446622559</t>
  </si>
  <si>
    <t>61162116</t>
  </si>
  <si>
    <t>dveře dvoukřídlé dřevotřískové povrch laminátový plné 1600x1970-2100mm</t>
  </si>
  <si>
    <t>1278428311</t>
  </si>
  <si>
    <t>1113783020</t>
  </si>
  <si>
    <t>dveřní kování interiérové rozetové klika/klika</t>
  </si>
  <si>
    <t>1300976388</t>
  </si>
  <si>
    <t>682816586</t>
  </si>
  <si>
    <t>251949424</t>
  </si>
  <si>
    <t>385730508</t>
  </si>
  <si>
    <t>767-2-010</t>
  </si>
  <si>
    <t>Dodávka a montáž interiérových vrat sekčních 3750/3500 mm protipožárních ozn. V.01a</t>
  </si>
  <si>
    <t>1880772985</t>
  </si>
  <si>
    <t>767-2-020</t>
  </si>
  <si>
    <t>Dodávka a montáž interiérových vrat sekčních 3600/3500 mm ozn. V.01b</t>
  </si>
  <si>
    <t>989526302</t>
  </si>
  <si>
    <t>767-2-030</t>
  </si>
  <si>
    <t xml:space="preserve">Dodávka a montáž interiérových protopožárních dveří  1000/2200 mm ozn. DH.01 a D.H02 včetně kování a zárubně</t>
  </si>
  <si>
    <t>1239232576</t>
  </si>
  <si>
    <t>767-2-040</t>
  </si>
  <si>
    <t xml:space="preserve">Dodávka a montáž exteriérových sekčních průmyslových vrat vrat  3550/3500 mm ozn. Vext.01 včetně pohonu a ovládání</t>
  </si>
  <si>
    <t>-515900387</t>
  </si>
  <si>
    <t>767-2-050</t>
  </si>
  <si>
    <t xml:space="preserve">Dodávka a montáž exteriérových sekčních průmyslových vrat vrat  2900/3500 mm ozn. Vext.02 včetně pohonu a ovládání</t>
  </si>
  <si>
    <t>941210246</t>
  </si>
  <si>
    <t>767-2-061</t>
  </si>
  <si>
    <t xml:space="preserve">Dodávka a montáž exteriérových dveří  1000/2200 mm ozn. Dext.01 a 02 protipožárních včetně zárubně a kování</t>
  </si>
  <si>
    <t>1235190405</t>
  </si>
  <si>
    <t>767-2-070</t>
  </si>
  <si>
    <t xml:space="preserve">Dodávka a montáž exteriérového okna  4570/1200 mm ozn. Okn/01</t>
  </si>
  <si>
    <t>-1374805931</t>
  </si>
  <si>
    <t>767-2-080</t>
  </si>
  <si>
    <t xml:space="preserve">Dodávka a montáž exteriérových sekčních průmyslových vrat vrat  2500/3000 mm včetně pohonu a ovládání - součást prvku Vext.01</t>
  </si>
  <si>
    <t>-2133386710</t>
  </si>
  <si>
    <t>767-2-081</t>
  </si>
  <si>
    <t xml:space="preserve">Dodávka a montáž těsnícího límce  3500/3500 mm - součást prvku Vext.01</t>
  </si>
  <si>
    <t>1975610793</t>
  </si>
  <si>
    <t>767-2-090</t>
  </si>
  <si>
    <t xml:space="preserve">Dodávka a montáž nakládacího můstku  2500/2000 mm - součást prvku Vext.01 </t>
  </si>
  <si>
    <t>41725821</t>
  </si>
  <si>
    <t>767-2-091</t>
  </si>
  <si>
    <t>Stavební připravenost pro montáž nakládacího můstku</t>
  </si>
  <si>
    <t>-1764924693</t>
  </si>
  <si>
    <t>767-2-100</t>
  </si>
  <si>
    <t>Dodávka a montáž ocelového vstupního schodiště s podestou 7x171,43x300mm, šířka 1100 mm vč. povrchové úpravy ozn. SCH.05</t>
  </si>
  <si>
    <t>343752166</t>
  </si>
  <si>
    <t>347,6*2*1,1</t>
  </si>
  <si>
    <t>767-2-110</t>
  </si>
  <si>
    <t>Dodávka a montáž ocelového schodiště 7x171,43x300mm s rampou cca 6500/1300mm vč. povrchové úpravy ozn. SCH.06</t>
  </si>
  <si>
    <t>-1834600761</t>
  </si>
  <si>
    <t>796,8*1,1</t>
  </si>
  <si>
    <t>767-2-120</t>
  </si>
  <si>
    <t>Dodávka a montáž ocelového schodiště 7x171,43x300mm s rampou cca 5000/1300mm vč. povrchové úpravy, ozn. SCH.07</t>
  </si>
  <si>
    <t>-1187369654</t>
  </si>
  <si>
    <t>686,3*1,1</t>
  </si>
  <si>
    <t>767-2-130</t>
  </si>
  <si>
    <t>-299962373</t>
  </si>
  <si>
    <t>767163121</t>
  </si>
  <si>
    <t>Montáž přímého kovového zábradlí do betonu v rovině v interiéru</t>
  </si>
  <si>
    <t>169987971</t>
  </si>
  <si>
    <t>"ZA.11" 3,7</t>
  </si>
  <si>
    <t>"ZA.12" 9,1</t>
  </si>
  <si>
    <t>55342293.R</t>
  </si>
  <si>
    <t>zábradlí s vertikální výplní rovné kotvení vrchní v 1000mm, madlo NR, ostatní Pz + 2x nátěr</t>
  </si>
  <si>
    <t>-55606624</t>
  </si>
  <si>
    <t>-1722934945</t>
  </si>
  <si>
    <t>"ZA.07" 3,8*4</t>
  </si>
  <si>
    <t>"ZA.08" 4,9</t>
  </si>
  <si>
    <t>"ZA.09" 8,8</t>
  </si>
  <si>
    <t>"ZA.10" 2</t>
  </si>
  <si>
    <t>55342292.R</t>
  </si>
  <si>
    <t>440093952</t>
  </si>
  <si>
    <t>3,8*4++4,9+8,8+2</t>
  </si>
  <si>
    <t>767832121</t>
  </si>
  <si>
    <t>Montáž venkovních požárních žebříků do betonu se suchovodem</t>
  </si>
  <si>
    <t>-979732817</t>
  </si>
  <si>
    <t>13,3*2</t>
  </si>
  <si>
    <t>44983001</t>
  </si>
  <si>
    <t>žebřík venkovní se suchovodem v provedení žárový Zn</t>
  </si>
  <si>
    <t>1535680191</t>
  </si>
  <si>
    <t>767834111</t>
  </si>
  <si>
    <t>Příplatek k ceně za montáž ochranného koše připevněného šroubováním</t>
  </si>
  <si>
    <t>1030058676</t>
  </si>
  <si>
    <t>11*2</t>
  </si>
  <si>
    <t>510244889</t>
  </si>
  <si>
    <t>783317101</t>
  </si>
  <si>
    <t>Krycí jednonásobný syntetický standardní nátěr zámečnických konstrukcí</t>
  </si>
  <si>
    <t>-1284409018</t>
  </si>
  <si>
    <t>"Zárubně - 2x" (0,9*2+1,6+2,02*6)*0,3*2</t>
  </si>
  <si>
    <t>783801203</t>
  </si>
  <si>
    <t>Okartáčování omítek před provedením nátěru</t>
  </si>
  <si>
    <t>-401801785</t>
  </si>
  <si>
    <t>Stropy :</t>
  </si>
  <si>
    <t>Stěny :</t>
  </si>
  <si>
    <t>"M.č.1.05" (11,325+5,235)*(3,7+3,95)-1,6*2,05*2</t>
  </si>
  <si>
    <t>"M.č.1.06-1,08" (4,95+5,375*2+14,79+4,775)*(3,7+3,95)-(1*2,02*2-2,325*2,05-5,445*2,05)*2+(5,445+2,05*2)*0,2</t>
  </si>
  <si>
    <t>"U admin." (0,65*2+2,7+4,6+2,1)*(3,17+3,42)-0,9*2,02*2</t>
  </si>
  <si>
    <t>783823101</t>
  </si>
  <si>
    <t>Penetrační akrylátový nátěr hladkých betonových povrchů</t>
  </si>
  <si>
    <t>1658990581</t>
  </si>
  <si>
    <t>021 - Hala - markýzy VP9</t>
  </si>
  <si>
    <t>PSV - PSV</t>
  </si>
  <si>
    <t>764511612.R</t>
  </si>
  <si>
    <t>Žlab podokapní hranatý z Pz s povrchovou úpravou rš 400 mm</t>
  </si>
  <si>
    <t>-971158030</t>
  </si>
  <si>
    <t>"KLM/01" 5,2+11,4+11,9+4,7</t>
  </si>
  <si>
    <t>764511661</t>
  </si>
  <si>
    <t>Kotlík hranatý pro podokapní žlaby z Pz s povrchovou úpravou 330/87 mm</t>
  </si>
  <si>
    <t>-146052316</t>
  </si>
  <si>
    <t>764518401</t>
  </si>
  <si>
    <t>Hranatý svod včetně objímek, kolen, odskoků z Pz plechu o straně 80 mm</t>
  </si>
  <si>
    <t>252142732</t>
  </si>
  <si>
    <t>"KLM/02" 6*2</t>
  </si>
  <si>
    <t>998764101</t>
  </si>
  <si>
    <t>Přesun hmot tonážní pro konstrukce klempířské v objektech v do 6 m</t>
  </si>
  <si>
    <t>1570119925</t>
  </si>
  <si>
    <t>767391112</t>
  </si>
  <si>
    <t>Montáž krytiny z tvarovaných plechů šroubováním</t>
  </si>
  <si>
    <t>1039680942</t>
  </si>
  <si>
    <t>"VP9" 77*2</t>
  </si>
  <si>
    <t>15484354</t>
  </si>
  <si>
    <t>plech trapézový T 130/337/1,0 tl 1 mm</t>
  </si>
  <si>
    <t>1867990187</t>
  </si>
  <si>
    <t>154*1,2 'Přepočtené koeficientem množství</t>
  </si>
  <si>
    <t>7679-21-010</t>
  </si>
  <si>
    <t>Dodávka a montáž ocelové konstrukce markýz u skladovací haly vč. povrchové úpravy, ozn. VP9</t>
  </si>
  <si>
    <t>2094737748</t>
  </si>
  <si>
    <t>"Viz. výpis" (2169,8+23,12)*2*1,1</t>
  </si>
  <si>
    <t>998767101</t>
  </si>
  <si>
    <t>Přesun hmot tonážní pro zámečnické konstrukce v objektech v do 6 m</t>
  </si>
  <si>
    <t>2130665006</t>
  </si>
  <si>
    <t>030 - Venkovní úpravy</t>
  </si>
  <si>
    <t xml:space="preserve">    18 - Sadové úpravy</t>
  </si>
  <si>
    <t xml:space="preserve">    38 - Různé svislé a kompletní konstrukce</t>
  </si>
  <si>
    <t xml:space="preserve">    8 - Vedení trubní dálková a přípojná</t>
  </si>
  <si>
    <t xml:space="preserve">    91 - Doplňující konstrukce a práce pozemních komunikací a ploch</t>
  </si>
  <si>
    <t xml:space="preserve">    997 - Doprava suti a vybouraných hmot</t>
  </si>
  <si>
    <t>112101102</t>
  </si>
  <si>
    <t>Odstranění stromů listnatých průměru kmene přes 300 do 500 mm</t>
  </si>
  <si>
    <t>2098182527</t>
  </si>
  <si>
    <t>112251102</t>
  </si>
  <si>
    <t>Odstranění pařezů průměru přes 300 do 500 mm</t>
  </si>
  <si>
    <t>1783073222</t>
  </si>
  <si>
    <t>113107223</t>
  </si>
  <si>
    <t>Odstranění podkladu z kameniva drceného tl přes 200 do 300 mm strojně pl přes 200 m2</t>
  </si>
  <si>
    <t>-1587251871</t>
  </si>
  <si>
    <t>15475+1867+5032+1230+175+1728+521+150+230-2232</t>
  </si>
  <si>
    <t>113107232</t>
  </si>
  <si>
    <t>Odstranění podkladu z betonu prostého tl přes 150 do 300 mm strojně pl přes 200 m2</t>
  </si>
  <si>
    <t>-960985948</t>
  </si>
  <si>
    <t>121151117</t>
  </si>
  <si>
    <t>Sejmutí ornice plochy do 500 m2 tl vrstvy přes 400 do 500 mm strojně</t>
  </si>
  <si>
    <t>-1490288614</t>
  </si>
  <si>
    <t>122452517</t>
  </si>
  <si>
    <t>Odkopávky a prokopávky zapažené pro silnice a dálnice v hornině třídy těžitelnosti II objem přes 5000 m3 strojně</t>
  </si>
  <si>
    <t>-1048965911</t>
  </si>
  <si>
    <t>(10929,11+1871,09+5070,38+1247,37+140+353,09+2256,36)*0,5</t>
  </si>
  <si>
    <t>131111333</t>
  </si>
  <si>
    <t>Vrtání jamek pro plotové sloupky D přes 200 do 300 mm ručně s motorovým vrtákem</t>
  </si>
  <si>
    <t>-176005131</t>
  </si>
  <si>
    <t>"Oplocení" 22*0,8</t>
  </si>
  <si>
    <t>131251103</t>
  </si>
  <si>
    <t>Hloubení jam nezapažených v hornině třídy těžitelnosti I skupiny 3 objem do 100 m3 strojně</t>
  </si>
  <si>
    <t>-670731355</t>
  </si>
  <si>
    <t>"VP6 - váha" 4*19,1*1,4</t>
  </si>
  <si>
    <t>131251104</t>
  </si>
  <si>
    <t>Hloubení jam nezapažených v hornině třídy těžitelnosti I skupiny 3 objem do 500 m3 strojně</t>
  </si>
  <si>
    <t>-584109971</t>
  </si>
  <si>
    <t>"VP1a" 3,6/3*(6,3*3,2+sqrt(6,3*3,2*9,3*6,2)+9,3*6,2)</t>
  </si>
  <si>
    <t xml:space="preserve">"VP7 - poldr" 230*1 </t>
  </si>
  <si>
    <t>"VP8a" 10*16</t>
  </si>
  <si>
    <t>132212331</t>
  </si>
  <si>
    <t>Hloubení nezapažených rýh šířky do 2000 mm v soudržných horninách třídy těžitelnosti I skupiny 3 ručně</t>
  </si>
  <si>
    <t>1836780246</t>
  </si>
  <si>
    <t>"Prodloužení opěrné zdi" 35*1*0,5*0,2</t>
  </si>
  <si>
    <t>132251253</t>
  </si>
  <si>
    <t>Hloubení rýh nezapažených š do 2000 mm v hornině třídy těžitelnosti I skupiny 3 objem do 100 m3 strojně</t>
  </si>
  <si>
    <t>1028645510</t>
  </si>
  <si>
    <t>"Prodloužení opěrné zdi - spodní část" 35*1*0,5*0,8</t>
  </si>
  <si>
    <t>" - horní část" 35*((1+1,6)/2*1+(0,5+0,7)/2*0,9)</t>
  </si>
  <si>
    <t>162201402</t>
  </si>
  <si>
    <t>Vodorovné přemístění větví stromů listnatých do 1 km D kmene přes 300 do 500 mm</t>
  </si>
  <si>
    <t>-1797923745</t>
  </si>
  <si>
    <t>162201412</t>
  </si>
  <si>
    <t>Vodorovné přemístění kmenů stromů listnatých do 1 km D kmene přes 300 do 500 mm</t>
  </si>
  <si>
    <t>-1372887704</t>
  </si>
  <si>
    <t>162201422</t>
  </si>
  <si>
    <t>Vodorovné přemístění pařezů do 1 km D přes 300 do 500 mm</t>
  </si>
  <si>
    <t>-740043845</t>
  </si>
  <si>
    <t>162301932</t>
  </si>
  <si>
    <t>Příplatek k vodorovnému přemístění větví stromů listnatých D kmene přes 300 do 500 mm ZKD 1 km</t>
  </si>
  <si>
    <t>1182331232</t>
  </si>
  <si>
    <t>162301952</t>
  </si>
  <si>
    <t>Příplatek k vodorovnému přemístění kmenů stromů listnatých D kmene přes 300 do 500 mm ZKD 1 km</t>
  </si>
  <si>
    <t>-613673438</t>
  </si>
  <si>
    <t>162301972</t>
  </si>
  <si>
    <t>Příplatek k vodorovnému přemístění pařezů D přes 300 do 500 mm ZKD 1 km</t>
  </si>
  <si>
    <t>-855081274</t>
  </si>
  <si>
    <t>-519615714</t>
  </si>
  <si>
    <t>"Dovoz podorniční vrstvy z meziskládky" 2191,46*0,35</t>
  </si>
  <si>
    <t>807620840</t>
  </si>
  <si>
    <t>"Ornice" (150,18+457,22+1639,18)*0,15</t>
  </si>
  <si>
    <t>"Přebytečná zemina" 10933,7+17,6*0,15*0,15*pi+106,96+524,297+3,5+78,4-55,65</t>
  </si>
  <si>
    <t>"Podorniční vrstva" -2191,46*0,35</t>
  </si>
  <si>
    <t>244376700</t>
  </si>
  <si>
    <t>"Ornice" 336,987*10</t>
  </si>
  <si>
    <t>"Přebyteční zemina" 11162,427*17</t>
  </si>
  <si>
    <t>-1819869244</t>
  </si>
  <si>
    <t>"Ornice a podorniční vrstva" (1699,61+491,85)*1*(0,35+0,15)</t>
  </si>
  <si>
    <t>1781177256</t>
  </si>
  <si>
    <t>"Přebytečná zemina" 11162,427*1,75</t>
  </si>
  <si>
    <t>-2008119135</t>
  </si>
  <si>
    <t>1289809109</t>
  </si>
  <si>
    <t>"Prodloužení opěrné stěny - horní část" 64,4-35*0,5*0,5</t>
  </si>
  <si>
    <t>175151201</t>
  </si>
  <si>
    <t>Obsypání objektu nad přilehlým původním terénem sypaninou bez prohození, uloženou do 3 m strojně</t>
  </si>
  <si>
    <t>-1647149594</t>
  </si>
  <si>
    <t>"VP1a" 134,297-6,3*3,2*0,15-6,1*3*3,25</t>
  </si>
  <si>
    <t>181152302</t>
  </si>
  <si>
    <t>Úprava pláně pro silnice a dálnice v zářezech se zhutněním</t>
  </si>
  <si>
    <t>1659641852</t>
  </si>
  <si>
    <t>10929,11+1871,09+5070,38+1247,37+140+353,09+2256,36</t>
  </si>
  <si>
    <t>181351113</t>
  </si>
  <si>
    <t>Rozprostření ornice tl vrstvy do 200 mm pl přes 500 m2 v rovině nebo ve svahu do 1:5 strojně</t>
  </si>
  <si>
    <t>2014651565</t>
  </si>
  <si>
    <t>"Z1" 1699,61</t>
  </si>
  <si>
    <t>"Z2" 491,85</t>
  </si>
  <si>
    <t>181351116</t>
  </si>
  <si>
    <t>Rozprostření ornice tl vrstvy přes 300 do 400 mm pl přes 500 m2 v rovině nebo ve svahu do 1:5 strojně</t>
  </si>
  <si>
    <t>-527009409</t>
  </si>
  <si>
    <t>Podorniční vrstva :</t>
  </si>
  <si>
    <t>10364101</t>
  </si>
  <si>
    <t>zemina pro terénní úpravy - ornice</t>
  </si>
  <si>
    <t>-1315220097</t>
  </si>
  <si>
    <t>"Ornice" (1699,61+491,85)*0,15*1,75</t>
  </si>
  <si>
    <t>181451131</t>
  </si>
  <si>
    <t>Založení parkového trávníku výsevem pl přes 1000 m2 v rovině a ve svahu do 1:5</t>
  </si>
  <si>
    <t>-612051109</t>
  </si>
  <si>
    <t>00572410</t>
  </si>
  <si>
    <t>osivo směs travní parková</t>
  </si>
  <si>
    <t>191043608</t>
  </si>
  <si>
    <t>2191,46</t>
  </si>
  <si>
    <t>2191,46*0,02 'Přepočtené koeficientem množství</t>
  </si>
  <si>
    <t>Sadové úpravy</t>
  </si>
  <si>
    <t>174211101</t>
  </si>
  <si>
    <t>Zásyp jam, šachet rýh nebo kolem objektů sypaninou bez zhutnění ručně</t>
  </si>
  <si>
    <t>1644437396</t>
  </si>
  <si>
    <t>183111212</t>
  </si>
  <si>
    <t>Jamky pro výsadbu s výměnou 50 % půdy zeminy skupiny 1 až 4 obj přes 0,002 do 0,005 m3 v rovině a svahu do 1:5</t>
  </si>
  <si>
    <t>-1570300254</t>
  </si>
  <si>
    <t>"VP8c" 75</t>
  </si>
  <si>
    <t>183101222</t>
  </si>
  <si>
    <t>Jamky pro výsadbu s výměnou 50 % půdy zeminy skupiny 1 až 4 obj přes 1 do 2 m3 v rovině a svahu do 1:5</t>
  </si>
  <si>
    <t>-549028850</t>
  </si>
  <si>
    <t>"VP8b" 9</t>
  </si>
  <si>
    <t>184102311</t>
  </si>
  <si>
    <t>Výsadba keře bez balu v do 2 m do jamky se zalitím v rovině a svahu do 1:5</t>
  </si>
  <si>
    <t>-295282032</t>
  </si>
  <si>
    <t>M-184-6-010</t>
  </si>
  <si>
    <t>keře tvořící živý plot</t>
  </si>
  <si>
    <t>767482425</t>
  </si>
  <si>
    <t>184102116</t>
  </si>
  <si>
    <t>Výsadba dřeviny s balem D přes 0,6 do 0,8 m do jamky se zalitím v rovině a svahu do 1:5</t>
  </si>
  <si>
    <t>1954100008</t>
  </si>
  <si>
    <t>"VP8" 16+9</t>
  </si>
  <si>
    <t>M-184-6-030</t>
  </si>
  <si>
    <t>strom javor mléč (Acer platanoides), velikost ZB 12/14 (obvod kmínku 12-14 cm), s balem</t>
  </si>
  <si>
    <t>962897409</t>
  </si>
  <si>
    <t>184215133</t>
  </si>
  <si>
    <t>Ukotvení kmene dřevin v rovině nebo na svahu do 1:5 třemi kůly D do 0,1 m dl přes 2 do 3 m</t>
  </si>
  <si>
    <t>640107202</t>
  </si>
  <si>
    <t>60591257</t>
  </si>
  <si>
    <t>kůl vyvazovací dřevěný impregnovaný D 8cm dl 3m</t>
  </si>
  <si>
    <t>-89086788</t>
  </si>
  <si>
    <t>25*3</t>
  </si>
  <si>
    <t>184801121</t>
  </si>
  <si>
    <t>Ošetřování vysazených dřevin solitérních v rovině a svahu do 1:5</t>
  </si>
  <si>
    <t>90773962</t>
  </si>
  <si>
    <t>184854115</t>
  </si>
  <si>
    <t>Míchání vegetačních substrátů v homogenizačním zařízení v množství přes 100 m3</t>
  </si>
  <si>
    <t>-1281372886</t>
  </si>
  <si>
    <t>"VP8b" 1*9</t>
  </si>
  <si>
    <t>M-175-6-010</t>
  </si>
  <si>
    <t>výsadbový substrát (půdní substrát s převahou drceného kameniva doplněného o organickou složku se zahradní zeminou, biouhlu a zeolitu)</t>
  </si>
  <si>
    <t>-1689874446</t>
  </si>
  <si>
    <t>185851121</t>
  </si>
  <si>
    <t>Dovoz vody pro zálivku rostlin za vzdálenost do 1000 m</t>
  </si>
  <si>
    <t>53400685</t>
  </si>
  <si>
    <t>185851129</t>
  </si>
  <si>
    <t>Příplatek k dovozu vody pro zálivku rostlin do 1000 m ZKD 1000 m</t>
  </si>
  <si>
    <t>1337852811</t>
  </si>
  <si>
    <t>13*2</t>
  </si>
  <si>
    <t>1859-6-010</t>
  </si>
  <si>
    <t xml:space="preserve">Péče o vysazené dřeviny po dobu 5 let </t>
  </si>
  <si>
    <t>-2078702403</t>
  </si>
  <si>
    <t>1859-6-020</t>
  </si>
  <si>
    <t xml:space="preserve">Treláž na fasádě administrativní budovy ozn. VP8d </t>
  </si>
  <si>
    <t>2051409710</t>
  </si>
  <si>
    <t>271532212</t>
  </si>
  <si>
    <t>Podsyp pod základové konstrukce se zhutněním z hrubého kameniva frakce 16 až 32 mm</t>
  </si>
  <si>
    <t>-1633293115</t>
  </si>
  <si>
    <t>"Prodloužení opěrné zdi" 35*1*0,1</t>
  </si>
  <si>
    <t>274321511</t>
  </si>
  <si>
    <t>Základové pasy ze ŽB bez zvýšených nároků na prostředí tř. C 25/30</t>
  </si>
  <si>
    <t>665287362</t>
  </si>
  <si>
    <t>"Prodloužení opěrné zdi" 35*1*0,5*1,035</t>
  </si>
  <si>
    <t>379168583</t>
  </si>
  <si>
    <t>18,113*0,06</t>
  </si>
  <si>
    <t>311113146</t>
  </si>
  <si>
    <t>Nadzákladová zeď tl přes 400 do 500 mm z hladkých tvárnic ztraceného bednění včetně výplně z betonu tř. C 20/25</t>
  </si>
  <si>
    <t>1469541992</t>
  </si>
  <si>
    <t>"Prodloužení opěrné zdi" 35*1</t>
  </si>
  <si>
    <t>1974522009</t>
  </si>
  <si>
    <t>35*0,5*0,06</t>
  </si>
  <si>
    <t>327323127</t>
  </si>
  <si>
    <t>Opěrné zdi a valy ze ŽB tř. C 25/30</t>
  </si>
  <si>
    <t>223807676</t>
  </si>
  <si>
    <t>"VP4" (0,8*0,3+1,45*0,25)*156,4</t>
  </si>
  <si>
    <t>327351211</t>
  </si>
  <si>
    <t>Bednění opěrných zdí a valů svislých i skloněných zřízení</t>
  </si>
  <si>
    <t>2134095238</t>
  </si>
  <si>
    <t>"VP4" 1,75*2*156,4</t>
  </si>
  <si>
    <t>327351221</t>
  </si>
  <si>
    <t>Bednění opěrných zdí a valů svislých i skloněných odstranění</t>
  </si>
  <si>
    <t>-140074357</t>
  </si>
  <si>
    <t>327361006</t>
  </si>
  <si>
    <t>Výztuž opěrných zdí a valů D 12 mm z betonářské oceli 10 505</t>
  </si>
  <si>
    <t>-263192171</t>
  </si>
  <si>
    <t>94,231*0,06</t>
  </si>
  <si>
    <t>338171123</t>
  </si>
  <si>
    <t>Osazování sloupků a vzpěr plotových ocelových v přes 2 do 2,6 m se zabetonováním</t>
  </si>
  <si>
    <t>-1446042331</t>
  </si>
  <si>
    <t>"Nové oplocení" 22</t>
  </si>
  <si>
    <t>55342263</t>
  </si>
  <si>
    <t>sloupek plotový koncový Pz a komaxitový 2500/48x1,5mm</t>
  </si>
  <si>
    <t>-2073171435</t>
  </si>
  <si>
    <t>338171125</t>
  </si>
  <si>
    <t>Osazování sloupků a vzpěr plotových ocelových v přes 2 do 2,6 m ukotvením k pevnému podkladu</t>
  </si>
  <si>
    <t>95279306</t>
  </si>
  <si>
    <t>55342190</t>
  </si>
  <si>
    <t>plotová profilovaná vzpěra D 40-50mm dl 2,0-2,5m bez hlavy a objímky pro svařované pletivo v návinu povrchová úprava Pz a komaxit</t>
  </si>
  <si>
    <t>2110488246</t>
  </si>
  <si>
    <t>55342202</t>
  </si>
  <si>
    <t>objímka pro uchycení vzpěry na sloupek D 40-50mm</t>
  </si>
  <si>
    <t>1949988926</t>
  </si>
  <si>
    <t>348101210</t>
  </si>
  <si>
    <t>Osazení vrat nebo vrátek k oplocení na ocelové sloupky pl do 2 m2</t>
  </si>
  <si>
    <t>-718048164</t>
  </si>
  <si>
    <t>55342335</t>
  </si>
  <si>
    <t>branka plotová jednokřídlá Pz s PVC vrstvou 1000x2030mm</t>
  </si>
  <si>
    <t>-1643631447</t>
  </si>
  <si>
    <t>348101240</t>
  </si>
  <si>
    <t>Osazení vrat nebo vrátek k oplocení na ocelové sloupky pl přes 6 do 8 m2</t>
  </si>
  <si>
    <t>-43229008</t>
  </si>
  <si>
    <t>"VP5b" 1</t>
  </si>
  <si>
    <t>55342348</t>
  </si>
  <si>
    <t>brána plotová dvoukřídlá Pz 4000x2030mm</t>
  </si>
  <si>
    <t>-2014130015</t>
  </si>
  <si>
    <t>348121221</t>
  </si>
  <si>
    <t>Osazení podhrabových desek dl přes 2 do 3 m na ocelové plotové sloupky</t>
  </si>
  <si>
    <t>288290696</t>
  </si>
  <si>
    <t>"Nové oplocení" 21</t>
  </si>
  <si>
    <t>59232541</t>
  </si>
  <si>
    <t>betonová podhrabová deska 2510x300x35mm se zámkem 25mm na ukotvení sloupků profilovaných oválných 70x100mm</t>
  </si>
  <si>
    <t>-998172056</t>
  </si>
  <si>
    <t>59232545</t>
  </si>
  <si>
    <t>držák podhrabové desky typ H pro sloupek D 60-70mm výšky 300mm průběžný povrchová úprava žárový zinek</t>
  </si>
  <si>
    <t>1159745681</t>
  </si>
  <si>
    <t>59232550</t>
  </si>
  <si>
    <t>držák podhrabové desky typ U výšky 300mm koncový povrchová úprava žárový zinek</t>
  </si>
  <si>
    <t>-493323958</t>
  </si>
  <si>
    <t>348172215</t>
  </si>
  <si>
    <t>Montáž vjezdových bran samonosných dvoukřídlových pl přes 10 m2 do 15 m2</t>
  </si>
  <si>
    <t>1209398823</t>
  </si>
  <si>
    <t>"VP5a"2</t>
  </si>
  <si>
    <t>55341607</t>
  </si>
  <si>
    <t>brána pojezdová s výplní ze svislých ocelových Pz profilů přes 9 do 12m2</t>
  </si>
  <si>
    <t>-1818105493</t>
  </si>
  <si>
    <t>2*12 'Přepočtené koeficientem množství</t>
  </si>
  <si>
    <t>348172911</t>
  </si>
  <si>
    <t>Montáž pohonu pro bránu</t>
  </si>
  <si>
    <t>85997904</t>
  </si>
  <si>
    <t>55342051</t>
  </si>
  <si>
    <t>sada pro pojezdovou bránu š do 6m</t>
  </si>
  <si>
    <t>sada</t>
  </si>
  <si>
    <t>1920588153</t>
  </si>
  <si>
    <t>36652002</t>
  </si>
  <si>
    <t>pohon pro pojezdovou branu přes 4,5m</t>
  </si>
  <si>
    <t>-308558711</t>
  </si>
  <si>
    <t>55343203</t>
  </si>
  <si>
    <t>sloup dorazový pro pojezdovou bránu v do 2,0m</t>
  </si>
  <si>
    <t>904819507</t>
  </si>
  <si>
    <t>348272515.R</t>
  </si>
  <si>
    <t>Montáž plotové stříšky pro zeď tl. 500 mm z tvarovek hladkých nebo štípaných přírodních</t>
  </si>
  <si>
    <t>-1529127615</t>
  </si>
  <si>
    <t>59235030</t>
  </si>
  <si>
    <t xml:space="preserve">stříška průběžná i sloupková betonová barevná </t>
  </si>
  <si>
    <t>-2013577855</t>
  </si>
  <si>
    <t>348401130</t>
  </si>
  <si>
    <t>Montáž oplocení ze strojového pletiva s napínacími dráty v přes 1,6 do 2,0 m</t>
  </si>
  <si>
    <t>-1143456760</t>
  </si>
  <si>
    <t>"Nové oplocení" 52</t>
  </si>
  <si>
    <t>31327514</t>
  </si>
  <si>
    <t>pletivo drátěné plastifikované se čtvercovými oky 55/2,5mm v 1800mm</t>
  </si>
  <si>
    <t>-2097465669</t>
  </si>
  <si>
    <t>52*1,05 'Přepočtené koeficientem množství</t>
  </si>
  <si>
    <t>3489-020</t>
  </si>
  <si>
    <t>Příplatek za řezání podhrabové desky</t>
  </si>
  <si>
    <t>-1914087260</t>
  </si>
  <si>
    <t>380321442</t>
  </si>
  <si>
    <t>Kompletní konstrukce ČOV, nádrží, vodojemů, žlabů nebo kanálů ze ŽB tř. C 25/30 tl přes 150 do 300 mm</t>
  </si>
  <si>
    <t>-362424184</t>
  </si>
  <si>
    <t>"VP6 - váha" (4*19,1+(19,1*2+3,4*2)*1)*0,3</t>
  </si>
  <si>
    <t>"VP6 - váha" (4+19,1)*2*1,3+(3,4+18,5)*2*1</t>
  </si>
  <si>
    <t>-1300692821</t>
  </si>
  <si>
    <t>1108352816</t>
  </si>
  <si>
    <t>36,42*0,06</t>
  </si>
  <si>
    <t>382122133</t>
  </si>
  <si>
    <t>Montáž dna ŽB prefabrikovaných pravoúhlých nádrží včetně těsnění výšky přes 1 do 3 m hmotnosti přes 22 t délky přes 5 do 6,5 m</t>
  </si>
  <si>
    <t>-1544209034</t>
  </si>
  <si>
    <t>"VP1a" 1</t>
  </si>
  <si>
    <t>59226296</t>
  </si>
  <si>
    <t>dno pravoúhlé nádrže vysoké 2800x6100x3000 stěna tl 140mm užitný objem 51,24m3</t>
  </si>
  <si>
    <t>1855287640</t>
  </si>
  <si>
    <t>382122312</t>
  </si>
  <si>
    <t>Montáž zákrytové desky ŽB prefabrikovaných pravoúhlých nádrží délky přes 3 do 5 m</t>
  </si>
  <si>
    <t>-833496120</t>
  </si>
  <si>
    <t>"VP1a" 3</t>
  </si>
  <si>
    <t>59226191</t>
  </si>
  <si>
    <t>deska zákrytová pravoúhlé nádrže vysoké se stěnou tl 100mm 2400x3300x250mm otvor 1x d 600mm</t>
  </si>
  <si>
    <t>-1892189099</t>
  </si>
  <si>
    <t>Různé svislé a kompletní konstrukce</t>
  </si>
  <si>
    <t>3809-020</t>
  </si>
  <si>
    <t>Rřesun stávající váhy pro nákladní automobily - rozměr cca 3,4 x 8,5 m, ozn. VP6</t>
  </si>
  <si>
    <t>752523054</t>
  </si>
  <si>
    <t>3809-030</t>
  </si>
  <si>
    <t xml:space="preserve">Dodávka a montáž reklamního podsvětleného totemu 400/1400 mm, v. cca 10 m, včetně základu, ozn. VP10  </t>
  </si>
  <si>
    <t>680498622</t>
  </si>
  <si>
    <t>451541111</t>
  </si>
  <si>
    <t>Lože pod potrubí otevřený výkop ze štěrkodrtě</t>
  </si>
  <si>
    <t>2047949138</t>
  </si>
  <si>
    <t>"VP1a" 3*6,3*0,15</t>
  </si>
  <si>
    <t>452112112</t>
  </si>
  <si>
    <t>Osazení betonových prstenců nebo rámů v do 100 mm pod poklopy a mříže</t>
  </si>
  <si>
    <t>-724921843</t>
  </si>
  <si>
    <t>59224012</t>
  </si>
  <si>
    <t>prstenec šachtový vyrovnávací betonový 625x100x80mm</t>
  </si>
  <si>
    <t>732509803</t>
  </si>
  <si>
    <t>462511270.R</t>
  </si>
  <si>
    <t>Zához z velkých valounů bez proštěrkování z terénu hmotnost do 200 kg</t>
  </si>
  <si>
    <t>897454839</t>
  </si>
  <si>
    <t xml:space="preserve">"P - poldr" 220,7*0,8 </t>
  </si>
  <si>
    <t>564732111</t>
  </si>
  <si>
    <t>Podklad z vibrovaného štěrku VŠ tl 100 mm</t>
  </si>
  <si>
    <t>-1382879002</t>
  </si>
  <si>
    <t>"A3" 5070,38</t>
  </si>
  <si>
    <t>564762111</t>
  </si>
  <si>
    <t>Podklad z vibrovaného štěrku VŠ tl 200 mm</t>
  </si>
  <si>
    <t>2126343910</t>
  </si>
  <si>
    <t>"A2" 1871,09</t>
  </si>
  <si>
    <t>"DL 1, 2, 3" 1247,37+140+353,09</t>
  </si>
  <si>
    <t>564851011</t>
  </si>
  <si>
    <t>Podklad ze štěrkodrtě ŠD plochy do 100 m2 tl 150 mm</t>
  </si>
  <si>
    <t>1845116301</t>
  </si>
  <si>
    <t>"Prodloužení opěrné zdi" 35*1,2</t>
  </si>
  <si>
    <t>564851113</t>
  </si>
  <si>
    <t>Podklad ze štěrkodrtě ŠD plochy přes 100 m2 tl 170 mm</t>
  </si>
  <si>
    <t>-401382373</t>
  </si>
  <si>
    <t>564861111</t>
  </si>
  <si>
    <t>Podklad ze štěrkodrtě ŠD plochy přes 100 m2 tl 200 mm</t>
  </si>
  <si>
    <t>-1794475731</t>
  </si>
  <si>
    <t>"A1" 10929,11</t>
  </si>
  <si>
    <t>564871111</t>
  </si>
  <si>
    <t>Podklad ze štěrkodrtě ŠD plochy přes 100 m2 tl 250 mm</t>
  </si>
  <si>
    <t>1769973288</t>
  </si>
  <si>
    <t>"P - poldr" 220,7</t>
  </si>
  <si>
    <t>564952113</t>
  </si>
  <si>
    <t>Podklad z mechanicky zpevněného kameniva MZK tl 170 mm</t>
  </si>
  <si>
    <t>1096619376</t>
  </si>
  <si>
    <t>564971315</t>
  </si>
  <si>
    <t>Podklad z betonového recyklátu plochy přes 100 m2 tl 250 mm</t>
  </si>
  <si>
    <t>-1349468450</t>
  </si>
  <si>
    <t>(10929,11+1871,09+5070,38+1247,37+140+353,09+2256,36+387,7*0,7)*2</t>
  </si>
  <si>
    <t>565165121</t>
  </si>
  <si>
    <t>Asfaltový beton vrstva podkladní ACP 16 (obalované kamenivo OKS) tl 80 mm š přes 3 m</t>
  </si>
  <si>
    <t>-1097614675</t>
  </si>
  <si>
    <t>573211109</t>
  </si>
  <si>
    <t>Postřik živičný spojovací z asfaltu v množství 0,50 kg/m2</t>
  </si>
  <si>
    <t>-268359757</t>
  </si>
  <si>
    <t>577144121</t>
  </si>
  <si>
    <t>Asfaltový beton vrstva obrusná ACO 11+ (ABS) tř. I tl 50 mm š přes 3 m z nemodifikovaného asfaltu</t>
  </si>
  <si>
    <t>1842323434</t>
  </si>
  <si>
    <t>596211265</t>
  </si>
  <si>
    <t>Kladení zámkové dlažby komunikací pro pěší strojně tl 80 mm pl přes 300 m2</t>
  </si>
  <si>
    <t>243414960</t>
  </si>
  <si>
    <t>59245013</t>
  </si>
  <si>
    <t>dlažba zámková betonová tvaru I 200x165mm tl 80mm přírodní</t>
  </si>
  <si>
    <t>-1126256287</t>
  </si>
  <si>
    <t>1871,09</t>
  </si>
  <si>
    <t>1871,09*1,01 'Přepočtené koeficientem množství</t>
  </si>
  <si>
    <t>596811322</t>
  </si>
  <si>
    <t>Kladení velkoformátové betonové dlažby tl přes 50 do 100 mm velikosti přes 0,5 m2 pl přes 300 m2</t>
  </si>
  <si>
    <t>1481980596</t>
  </si>
  <si>
    <t>59246019</t>
  </si>
  <si>
    <t>dlažba velkoformátová betonová plochy 0,51-1m2 tl 80mm tryskaný povrch</t>
  </si>
  <si>
    <t>1939025955</t>
  </si>
  <si>
    <t>1740,46</t>
  </si>
  <si>
    <t>1740,46*1,03 'Přepočtené koeficientem množství</t>
  </si>
  <si>
    <t>596841220</t>
  </si>
  <si>
    <t>Kladení betonové dlažby komunikací pro pěší do lože z cement malty velikosti přes 0,09 do 0,25 m2 pl do 50 m2</t>
  </si>
  <si>
    <t>-1947017023</t>
  </si>
  <si>
    <t>"Prodloužení opěrné zdi" 35*0,4</t>
  </si>
  <si>
    <t>-469434195</t>
  </si>
  <si>
    <t>14*1,03 'Přepočtené koeficientem množství</t>
  </si>
  <si>
    <t>448281465</t>
  </si>
  <si>
    <t>"A3" 5070,38*0,25</t>
  </si>
  <si>
    <t>23055140</t>
  </si>
  <si>
    <t>631319223</t>
  </si>
  <si>
    <t>Příplatek k mazaninám za přidání polymerových makrovláken pro objemové vyztužení 4 kg/m3</t>
  </si>
  <si>
    <t>1200405416</t>
  </si>
  <si>
    <t>633121112</t>
  </si>
  <si>
    <t>Povrchová úprava průmyslových podlah pro střední provoz vsypovou směsí s příměsí korundu tl 3 mm</t>
  </si>
  <si>
    <t>-1022036328</t>
  </si>
  <si>
    <t>Vedení trubní dálková a přípojná</t>
  </si>
  <si>
    <t>894411311</t>
  </si>
  <si>
    <t>Osazení betonových nebo železobetonových dílců pro šachty skruží rovných</t>
  </si>
  <si>
    <t>2128529771</t>
  </si>
  <si>
    <t>59224160</t>
  </si>
  <si>
    <t>skruž betonová kanalizační se stupadly 100x25x12cm</t>
  </si>
  <si>
    <t>2121146730</t>
  </si>
  <si>
    <t>894412411</t>
  </si>
  <si>
    <t>Osazení betonových nebo železobetonových dílců pro šachty skruží přechodových</t>
  </si>
  <si>
    <t>1212060248</t>
  </si>
  <si>
    <t>59224167</t>
  </si>
  <si>
    <t>skruž betonová přechodová 62,5/100x60x12cm stupadla poplastovaná</t>
  </si>
  <si>
    <t>747269231</t>
  </si>
  <si>
    <t>899103112</t>
  </si>
  <si>
    <t>Osazení poklopů litinových, ocelových nebo železobetonových včetně rámů pro třídu zatížení B125, C250</t>
  </si>
  <si>
    <t>1856222265</t>
  </si>
  <si>
    <t>28661770</t>
  </si>
  <si>
    <t>poklop šachtový litinový, betonový rám DN 400 pro třídu zatížení B125</t>
  </si>
  <si>
    <t>1687146620</t>
  </si>
  <si>
    <t>9109-3-010</t>
  </si>
  <si>
    <t>Dodávka a montáž silniční závory, délka 3,5 m včetně příslušenství a základu VP5c</t>
  </si>
  <si>
    <t>-1789792608</t>
  </si>
  <si>
    <t>916131213</t>
  </si>
  <si>
    <t>Osazení silničního obrubníku betonového stojatého s boční opěrou do lože z betonu prostého</t>
  </si>
  <si>
    <t>1659485162</t>
  </si>
  <si>
    <t>897,75+325,3</t>
  </si>
  <si>
    <t>59217034</t>
  </si>
  <si>
    <t>obrubník silniční betonový 1000x150x300mm</t>
  </si>
  <si>
    <t>1717604623</t>
  </si>
  <si>
    <t>1223,05-80</t>
  </si>
  <si>
    <t>1143,05*1,02 'Přepočtené koeficientem množství</t>
  </si>
  <si>
    <t>59217074</t>
  </si>
  <si>
    <t>obrubník silniční obloukový betonový R 0,5-16m 250x300mm</t>
  </si>
  <si>
    <t>-1125275969</t>
  </si>
  <si>
    <t>80*1,02 'Přepočtené koeficientem množství</t>
  </si>
  <si>
    <t>916231293</t>
  </si>
  <si>
    <t>Příplatek za osazení obloukového obrubníku</t>
  </si>
  <si>
    <t>396146154</t>
  </si>
  <si>
    <t>935112211</t>
  </si>
  <si>
    <t>Osazení příkopového žlabu do betonu tl 100 mm z betonových tvárnic š 800 mm</t>
  </si>
  <si>
    <t>697152280</t>
  </si>
  <si>
    <t>"LZ" 387,7</t>
  </si>
  <si>
    <t>"Prodloužení opěrné zdi" 35</t>
  </si>
  <si>
    <t>59227004</t>
  </si>
  <si>
    <t>žlabovka příkopová betonová s lomenými stěnami 330x750x155mm</t>
  </si>
  <si>
    <t>-1936901599</t>
  </si>
  <si>
    <t>422,7</t>
  </si>
  <si>
    <t>422,7*1,02 'Přepočtené koeficientem množství</t>
  </si>
  <si>
    <t>916991121</t>
  </si>
  <si>
    <t>Lože pod obrubníky, krajníky nebo obruby z dlažebních kostek z betonu prostého</t>
  </si>
  <si>
    <t>-1267607312</t>
  </si>
  <si>
    <t>1223,05*0,25*0,12</t>
  </si>
  <si>
    <t>935112911</t>
  </si>
  <si>
    <t>Příplatek ZKD tl 10 mm lože přes 100 mm u příkopového žlabu osazeného do betonu</t>
  </si>
  <si>
    <t>-2122758757</t>
  </si>
  <si>
    <t>387,7*0,7*10</t>
  </si>
  <si>
    <t>966049831</t>
  </si>
  <si>
    <t>Rozebrání prefabrikovaných plotových desek betonových</t>
  </si>
  <si>
    <t>1072526238</t>
  </si>
  <si>
    <t>966071711</t>
  </si>
  <si>
    <t>Bourání sloupků a vzpěr plotových ocelových do 2,5 m zabetonovaných</t>
  </si>
  <si>
    <t>-440021391</t>
  </si>
  <si>
    <t>966071822</t>
  </si>
  <si>
    <t>Rozebrání oplocení z drátěného pletiva se čtvercovými oky v přes 1,6 do 2,0 m</t>
  </si>
  <si>
    <t>2071745649</t>
  </si>
  <si>
    <t>966073810</t>
  </si>
  <si>
    <t>Rozebrání vrat a vrátek k oplocení pl do 2 m2</t>
  </si>
  <si>
    <t>-1233877510</t>
  </si>
  <si>
    <t>966073813</t>
  </si>
  <si>
    <t>Rozebrání vrat a vrátek k oplocení pl přes 10 do 20 m2</t>
  </si>
  <si>
    <t>523394441</t>
  </si>
  <si>
    <t>Doplňující konstrukce a práce pozemních komunikací a ploch</t>
  </si>
  <si>
    <t>9369-6-010</t>
  </si>
  <si>
    <t>Dodávka a montáž kovové mříže ke stromu průměr 1600 mm včetně rámu a kotvení, pozinkováno, nosnost 2 t</t>
  </si>
  <si>
    <t>1687973822</t>
  </si>
  <si>
    <t>997</t>
  </si>
  <si>
    <t>Doprava suti a vybouraných hmot</t>
  </si>
  <si>
    <t>997006006</t>
  </si>
  <si>
    <t>Drcení stavebního odpadu ze zdiva z betonu prostého s dopravou do 100 m a naložením</t>
  </si>
  <si>
    <t>-2087747692</t>
  </si>
  <si>
    <t>997221551</t>
  </si>
  <si>
    <t>Vodorovná doprava suti ze sypkých materiálů do 1 km</t>
  </si>
  <si>
    <t>-658776709</t>
  </si>
  <si>
    <t>998225111</t>
  </si>
  <si>
    <t>Přesun hmot pro pozemní komunikace s krytem z kamene, monolitickým betonovým nebo živičným</t>
  </si>
  <si>
    <t>-1187888359</t>
  </si>
  <si>
    <t>998225191</t>
  </si>
  <si>
    <t>Příplatek k přesunu hmot pro pozemní komunikace s krytem z kamene, živičným, betonovým do 1000 m</t>
  </si>
  <si>
    <t>1949933903</t>
  </si>
  <si>
    <t>034 - Venkovní úpravy - přístřešek vrátnice VP2</t>
  </si>
  <si>
    <t xml:space="preserve">    787 - Dokončovací práce - zasklívání</t>
  </si>
  <si>
    <t>131251100</t>
  </si>
  <si>
    <t>Hloubení jam nezapažených v hornině třídy těžitelnosti I skupiny 3 objem do 20 m3 strojně</t>
  </si>
  <si>
    <t>595083759</t>
  </si>
  <si>
    <t>"Pro základový práh" 8,7*2,3*0,5</t>
  </si>
  <si>
    <t>498696898</t>
  </si>
  <si>
    <t>"Odvoz na meziskládku" 10,005</t>
  </si>
  <si>
    <t>"Zpět na zásypy" 5</t>
  </si>
  <si>
    <t>390223080</t>
  </si>
  <si>
    <t>"Přebytečná zemina" 10,005-5</t>
  </si>
  <si>
    <t>223349158</t>
  </si>
  <si>
    <t>"Přebyteční zemina" 5,005*17</t>
  </si>
  <si>
    <t>-1470385150</t>
  </si>
  <si>
    <t>-62158461</t>
  </si>
  <si>
    <t>5,005*1,75</t>
  </si>
  <si>
    <t>1340760537</t>
  </si>
  <si>
    <t>-485222216</t>
  </si>
  <si>
    <t>"Pro základový práh" 10,005-7,7*1,3*0,5</t>
  </si>
  <si>
    <t>-1102511386</t>
  </si>
  <si>
    <t>9,5*2</t>
  </si>
  <si>
    <t>-2087530640</t>
  </si>
  <si>
    <t>1549257704</t>
  </si>
  <si>
    <t>19*0,5*0,5*pi</t>
  </si>
  <si>
    <t>14,923*1,05 'Přepočtené koeficientem množství</t>
  </si>
  <si>
    <t>1372068283</t>
  </si>
  <si>
    <t>"B500B 20mm" 9*2*12*2,47/1000</t>
  </si>
  <si>
    <t>"B500B 10mm" 9*2/0,25*0,78*pi*0,617/1000</t>
  </si>
  <si>
    <t>-221371162</t>
  </si>
  <si>
    <t>2*0,5</t>
  </si>
  <si>
    <t>271542211</t>
  </si>
  <si>
    <t>Podsyp pod základové konstrukce se zhutněním z netříděné štěrkodrtě</t>
  </si>
  <si>
    <t>-1052838149</t>
  </si>
  <si>
    <t>7,9*1,5*0,1</t>
  </si>
  <si>
    <t>274321611</t>
  </si>
  <si>
    <t>Základové pasy ze ŽB bez zvýšených nároků na prostředí tř. C 30/37</t>
  </si>
  <si>
    <t>1838982605</t>
  </si>
  <si>
    <t>7,7*1,3*1</t>
  </si>
  <si>
    <t>-424583150</t>
  </si>
  <si>
    <t>(1,3+7,7)*2*1</t>
  </si>
  <si>
    <t>1187931044</t>
  </si>
  <si>
    <t>910186242</t>
  </si>
  <si>
    <t>10,01*0,09</t>
  </si>
  <si>
    <t>998014211</t>
  </si>
  <si>
    <t>Přesun hmot pro budovy jednopodlažní z kovových dílců</t>
  </si>
  <si>
    <t>147573141</t>
  </si>
  <si>
    <t>764214608</t>
  </si>
  <si>
    <t>Oplechování horních ploch a atik bez rohů z Pz s povrch úpravou mechanicky kotvené rš 750 mm</t>
  </si>
  <si>
    <t>-136867170</t>
  </si>
  <si>
    <t>"Fi/05" 12</t>
  </si>
  <si>
    <t>764511613.R</t>
  </si>
  <si>
    <t>Žlab podokapní hranatý z Pz s povrchovou úpravou rš 500 mm</t>
  </si>
  <si>
    <t>-470253171</t>
  </si>
  <si>
    <t>"KLV.01" 6*2+6,7*2</t>
  </si>
  <si>
    <t>764511662</t>
  </si>
  <si>
    <t>Kotlík hranatý pro podokapní žlaby z Pz s povrchovou úpravou 330/100 mm</t>
  </si>
  <si>
    <t>284526862</t>
  </si>
  <si>
    <t>764518403</t>
  </si>
  <si>
    <t>Hranatý svod včetně objímek, kolen, odskoků z Pz plechu o straně 120 mm</t>
  </si>
  <si>
    <t>1346606582</t>
  </si>
  <si>
    <t>"KLV.02" 6,4*2</t>
  </si>
  <si>
    <t>-1547508401</t>
  </si>
  <si>
    <t>7679-3-010</t>
  </si>
  <si>
    <t>Dodávka a montáž ocelové konstrukce přístřešku - vrátnice vč. povrchové úpravy, ozn. VP2</t>
  </si>
  <si>
    <t>26678067</t>
  </si>
  <si>
    <t>"Viz. výpis" (80159,15+459,06+10479,92)*1,1</t>
  </si>
  <si>
    <t>1196021018</t>
  </si>
  <si>
    <t>787</t>
  </si>
  <si>
    <t>Dokončovací práce - zasklívání</t>
  </si>
  <si>
    <t>787314217.R</t>
  </si>
  <si>
    <t>Zasklívání střech - sklo CONEX</t>
  </si>
  <si>
    <t>-197886133</t>
  </si>
  <si>
    <t>25,11*20,565</t>
  </si>
  <si>
    <t>998787101</t>
  </si>
  <si>
    <t>Přesun hmot tonážní pro zasklívání v objektech v do 6 m</t>
  </si>
  <si>
    <t>-951863105</t>
  </si>
  <si>
    <t>035 - Venkovní úpravy - přístřešek VP3</t>
  </si>
  <si>
    <t>133251102</t>
  </si>
  <si>
    <t>Hloubení šachet nezapažených v hornině třídy těžitelnosti I skupiny 3 objem do 50 m3</t>
  </si>
  <si>
    <t>1788899796</t>
  </si>
  <si>
    <t>"Přístřešek II (VP3)" 0,9*0,9*1,3*23</t>
  </si>
  <si>
    <t>906917600</t>
  </si>
  <si>
    <t>"Odvoz na meziskládku" 24,219</t>
  </si>
  <si>
    <t>"Zpět na zásypy" 18,975</t>
  </si>
  <si>
    <t>-1608073899</t>
  </si>
  <si>
    <t>"Přebytečná zemina" 24,219-18,075</t>
  </si>
  <si>
    <t>-735860882</t>
  </si>
  <si>
    <t>"Přebyteční zemina" 6,144*17</t>
  </si>
  <si>
    <t>-1086419313</t>
  </si>
  <si>
    <t>1911506851</t>
  </si>
  <si>
    <t>6,144*1,75</t>
  </si>
  <si>
    <t>-1502498324</t>
  </si>
  <si>
    <t>81146893</t>
  </si>
  <si>
    <t>"Okolo patek" 0,9*0,9*1,3*23-5,244</t>
  </si>
  <si>
    <t>2127779543</t>
  </si>
  <si>
    <t>"Přístřešek II (VP3)" 0,8*0,8*0,1*23</t>
  </si>
  <si>
    <t>275322611</t>
  </si>
  <si>
    <t>Základové patky ze ŽB se zvýšenými nároky na prostředí tř. C 30/37</t>
  </si>
  <si>
    <t>772788773</t>
  </si>
  <si>
    <t>"Přístřešek II (VP3)" (0,7*0,7*0,3+0,3*0,3*0,9)*23</t>
  </si>
  <si>
    <t>-67915141</t>
  </si>
  <si>
    <t>"Přístřešek II (VP3)" (0,7*4*0,3+0,3*4*0,9)*23</t>
  </si>
  <si>
    <t>1463024322</t>
  </si>
  <si>
    <t>1357441529</t>
  </si>
  <si>
    <t>"Přístřešek II (VP3)" (0,7*0,7*0,3+0,3*0,3*0,9)*23*0,06</t>
  </si>
  <si>
    <t>229509751</t>
  </si>
  <si>
    <t>638238267</t>
  </si>
  <si>
    <t>12,8+12,5*8+11,9</t>
  </si>
  <si>
    <t>-290911876</t>
  </si>
  <si>
    <t>1618831690</t>
  </si>
  <si>
    <t>4*5</t>
  </si>
  <si>
    <t>1830157272</t>
  </si>
  <si>
    <t>767131112</t>
  </si>
  <si>
    <t>Montáž stěn a příček plechových svařovaných</t>
  </si>
  <si>
    <t>-998342788</t>
  </si>
  <si>
    <t>(122,6+2,5*2)*3</t>
  </si>
  <si>
    <t>M-337-020</t>
  </si>
  <si>
    <t>stěna přístřešku z tahokovu včetně rámů, zavětrování a povrchové úpravy</t>
  </si>
  <si>
    <t>962330844</t>
  </si>
  <si>
    <t>382,8</t>
  </si>
  <si>
    <t>1999117450</t>
  </si>
  <si>
    <t>"VP3" 370</t>
  </si>
  <si>
    <t>-1393190434</t>
  </si>
  <si>
    <t>370</t>
  </si>
  <si>
    <t>370*1,2 'Přepočtené koeficientem množství</t>
  </si>
  <si>
    <t>7679-5-010</t>
  </si>
  <si>
    <t>Dodávka a montáž ocelové konstrukce přístřešku vč. povrchové úpravy, ozn. VP3</t>
  </si>
  <si>
    <t>-1044302511</t>
  </si>
  <si>
    <t>"Viz. výpis" (10946,17+221,68)*1,1</t>
  </si>
  <si>
    <t>-233797287</t>
  </si>
  <si>
    <t>080 - Technické zařízení budov</t>
  </si>
  <si>
    <t xml:space="preserve">    700 - Technické zařízení budov</t>
  </si>
  <si>
    <t>700</t>
  </si>
  <si>
    <t>720-010</t>
  </si>
  <si>
    <t>Z T I vnitřky - viz. samostatný rozpočet</t>
  </si>
  <si>
    <t>2135677465</t>
  </si>
  <si>
    <t>720-020</t>
  </si>
  <si>
    <t>Z T I venky - viz. samostatný rozpočet</t>
  </si>
  <si>
    <t>441868701</t>
  </si>
  <si>
    <t>730-010</t>
  </si>
  <si>
    <t>U T - viz. samostatný rozpočet</t>
  </si>
  <si>
    <t>-666388254</t>
  </si>
  <si>
    <t>730-020</t>
  </si>
  <si>
    <t xml:space="preserve">STL plynovod a  OPZ - viz. samostatný rozpočet</t>
  </si>
  <si>
    <t>626744168</t>
  </si>
  <si>
    <t>740-010</t>
  </si>
  <si>
    <t>Elektroinstalace - viz. samostatný rozpočet</t>
  </si>
  <si>
    <t>-898231154</t>
  </si>
  <si>
    <t>750-010</t>
  </si>
  <si>
    <t>V Z T - viz. samostatný rozpočet</t>
  </si>
  <si>
    <t>-1044892938</t>
  </si>
  <si>
    <t>090 - Vedlejší a ostatní rozpočtové náklady</t>
  </si>
  <si>
    <t>VRN - Vedlejší rozpočtové náklady</t>
  </si>
  <si>
    <t xml:space="preserve">    VRN1 - Průzkumné, zeměměřičské a projektové práce</t>
  </si>
  <si>
    <t xml:space="preserve">    VRN3 - Zařízení staveniště</t>
  </si>
  <si>
    <t xml:space="preserve">    VRN4 - Inženýrská činnost</t>
  </si>
  <si>
    <t xml:space="preserve">    VRN5 - Finanční náklady</t>
  </si>
  <si>
    <t xml:space="preserve">    VRN7 - Provozní vlivy</t>
  </si>
  <si>
    <t>VRN</t>
  </si>
  <si>
    <t>Vedlejší rozpočtové náklady</t>
  </si>
  <si>
    <t>VRN1</t>
  </si>
  <si>
    <t>Průzkumné, zeměměřičské a projektové práce</t>
  </si>
  <si>
    <t>012344000</t>
  </si>
  <si>
    <t>Vytyčovací práce</t>
  </si>
  <si>
    <t>1024</t>
  </si>
  <si>
    <t>-84022023</t>
  </si>
  <si>
    <t>012444000</t>
  </si>
  <si>
    <t>Geodetické měření skutečného provedení stavby</t>
  </si>
  <si>
    <t>1054777695</t>
  </si>
  <si>
    <t>013244000</t>
  </si>
  <si>
    <t>Výrobní dokumentace subdodavatelů</t>
  </si>
  <si>
    <t>307164623</t>
  </si>
  <si>
    <t>013244010</t>
  </si>
  <si>
    <t>Dokumentace pro provádění stavby (není součástí rozpočtu)</t>
  </si>
  <si>
    <t>199606111</t>
  </si>
  <si>
    <t>013254000</t>
  </si>
  <si>
    <t>Dokumentace skutečného provedení stavby</t>
  </si>
  <si>
    <t>2013453136</t>
  </si>
  <si>
    <t>VRN3</t>
  </si>
  <si>
    <t>Zařízení staveniště</t>
  </si>
  <si>
    <t>030001000</t>
  </si>
  <si>
    <t>-1716213749</t>
  </si>
  <si>
    <t>VRN4</t>
  </si>
  <si>
    <t>Inženýrská činnost</t>
  </si>
  <si>
    <t>041103000</t>
  </si>
  <si>
    <t>Dozor projektanta (autorský dozor)- není součástí rozpočtu</t>
  </si>
  <si>
    <t>-1799195470</t>
  </si>
  <si>
    <t>041424000</t>
  </si>
  <si>
    <t>Koordinátor BOZP - zajišťuje investor (není součástí rozpočtu)</t>
  </si>
  <si>
    <t>-1895987109</t>
  </si>
  <si>
    <t>042002000</t>
  </si>
  <si>
    <t>Posudky - vzorkování</t>
  </si>
  <si>
    <t>586443032</t>
  </si>
  <si>
    <t>043103000</t>
  </si>
  <si>
    <t>Zkoušky a měření</t>
  </si>
  <si>
    <t>-873206635</t>
  </si>
  <si>
    <t>043194000</t>
  </si>
  <si>
    <t>Zkoušky ostatní - sondy</t>
  </si>
  <si>
    <t>1713664163</t>
  </si>
  <si>
    <t>049303000</t>
  </si>
  <si>
    <t>Náklady vzniklé v souvislosti s předáním stavby včetně podkladů - viz. TZ</t>
  </si>
  <si>
    <t>-649152762</t>
  </si>
  <si>
    <t>VRN5</t>
  </si>
  <si>
    <t>Finanční náklady</t>
  </si>
  <si>
    <t>052103000</t>
  </si>
  <si>
    <t>Rezerva investora</t>
  </si>
  <si>
    <t>-762793765</t>
  </si>
  <si>
    <t>052103001</t>
  </si>
  <si>
    <t>Vybavení kuchyně - GASTRO - není součástí rozpočtu</t>
  </si>
  <si>
    <t>-1904413897</t>
  </si>
  <si>
    <t>VRN7</t>
  </si>
  <si>
    <t>Provozní vlivy</t>
  </si>
  <si>
    <t>072203000</t>
  </si>
  <si>
    <t>Silniční provoz - zajištění DIO (dopravní značení)</t>
  </si>
  <si>
    <t>-612990324</t>
  </si>
</sst>
</file>

<file path=xl/styles.xml><?xml version="1.0" encoding="utf-8"?>
<styleSheet xmlns="http://schemas.openxmlformats.org/spreadsheetml/2006/main">
  <numFmts count="4">
    <numFmt numFmtId="164" formatCode="#,##0.00%"/>
    <numFmt numFmtId="165" formatCode="dd\.mm\.yyyy"/>
    <numFmt numFmtId="166" formatCode="#,##0.00000"/>
    <numFmt numFmtId="167" formatCode="#,##0.000"/>
  </numFmts>
  <fonts count="37">
    <font>
      <sz val="8"/>
      <name val="Arial CE"/>
      <family val="2"/>
    </font>
    <font>
      <sz val="10"/>
      <color rgb="FF969696"/>
      <name val="Arial CE"/>
    </font>
    <font>
      <sz val="10"/>
      <name val="Arial CE"/>
    </font>
    <font>
      <b/>
      <sz val="11"/>
      <name val="Arial CE"/>
    </font>
    <font>
      <b/>
      <sz val="12"/>
      <name val="Arial CE"/>
    </font>
    <font>
      <sz val="11"/>
      <name val="Arial CE"/>
    </font>
    <font>
      <sz val="12"/>
      <color rgb="FF003366"/>
      <name val="Arial CE"/>
    </font>
    <font>
      <sz val="10"/>
      <color rgb="FF003366"/>
      <name val="Arial CE"/>
    </font>
    <font>
      <sz val="8"/>
      <color rgb="FF003366"/>
      <name val="Arial CE"/>
    </font>
    <font>
      <sz val="8"/>
      <color rgb="FF505050"/>
      <name val="Arial CE"/>
    </font>
    <font>
      <sz val="8"/>
      <color rgb="FF800080"/>
      <name val="Arial CE"/>
    </font>
    <font>
      <sz val="8"/>
      <color rgb="FFFFFFFF"/>
      <name val="Arial CE"/>
    </font>
    <font>
      <b/>
      <sz val="14"/>
      <name val="Arial CE"/>
    </font>
    <font>
      <sz val="8"/>
      <color rgb="FF3366FF"/>
      <name val="Arial CE"/>
    </font>
    <font>
      <b/>
      <sz val="12"/>
      <color rgb="FF969696"/>
      <name val="Arial CE"/>
    </font>
    <font>
      <b/>
      <sz val="8"/>
      <color rgb="FF969696"/>
      <name val="Arial CE"/>
    </font>
    <font>
      <b/>
      <sz val="10"/>
      <name val="Arial CE"/>
    </font>
    <font>
      <b/>
      <sz val="10"/>
      <color rgb="FF969696"/>
      <name val="Arial CE"/>
    </font>
    <font>
      <b/>
      <sz val="10"/>
      <color rgb="FF464646"/>
      <name val="Arial CE"/>
    </font>
    <font>
      <sz val="12"/>
      <color rgb="FF969696"/>
      <name val="Arial CE"/>
    </font>
    <font>
      <sz val="8"/>
      <color rgb="FF969696"/>
      <name val="Arial CE"/>
    </font>
    <font>
      <sz val="9"/>
      <name val="Arial CE"/>
    </font>
    <font>
      <sz val="9"/>
      <color rgb="FF969696"/>
      <name val="Arial CE"/>
    </font>
    <font>
      <b/>
      <sz val="12"/>
      <color rgb="FF960000"/>
      <name val="Arial CE"/>
    </font>
    <font>
      <sz val="12"/>
      <name val="Arial CE"/>
    </font>
    <font>
      <sz val="18"/>
      <color theme="10"/>
      <name val="Wingdings 2"/>
    </font>
    <font>
      <b/>
      <sz val="11"/>
      <color rgb="FF003366"/>
      <name val="Arial CE"/>
    </font>
    <font>
      <sz val="11"/>
      <color rgb="FF003366"/>
      <name val="Arial CE"/>
    </font>
    <font>
      <sz val="11"/>
      <color rgb="FF969696"/>
      <name val="Arial CE"/>
    </font>
    <font>
      <sz val="10"/>
      <color rgb="FF3366FF"/>
      <name val="Arial CE"/>
    </font>
    <font>
      <b/>
      <sz val="12"/>
      <color rgb="FF800000"/>
      <name val="Arial CE"/>
    </font>
    <font>
      <sz val="8"/>
      <color rgb="FF960000"/>
      <name val="Arial CE"/>
    </font>
    <font>
      <b/>
      <sz val="8"/>
      <name val="Arial CE"/>
    </font>
    <font>
      <sz val="7"/>
      <color rgb="FF969696"/>
      <name val="Arial CE"/>
    </font>
    <font>
      <i/>
      <sz val="9"/>
      <color rgb="FF0000FF"/>
      <name val="Arial CE"/>
    </font>
    <font>
      <i/>
      <sz val="8"/>
      <color rgb="FF0000FF"/>
      <name val="Arial CE"/>
    </font>
    <font>
      <u/>
      <sz val="11"/>
      <color theme="1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BEBEBE"/>
      </patternFill>
    </fill>
    <fill>
      <patternFill patternType="solid">
        <fgColor rgb="FFD2D2D2"/>
      </patternFill>
    </fill>
  </fills>
  <borders count="2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top style="hair">
        <color rgb="FF000000"/>
      </top>
    </border>
    <border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hair">
        <color rgb="FF969696"/>
      </left>
      <top style="hair">
        <color rgb="FF969696"/>
      </top>
    </border>
    <border>
      <top style="hair">
        <color rgb="FF969696"/>
      </top>
    </border>
    <border>
      <right style="hair">
        <color rgb="FF969696"/>
      </right>
      <top style="hair">
        <color rgb="FF969696"/>
      </top>
    </border>
    <border>
      <left style="hair">
        <color rgb="FF969696"/>
      </left>
    </border>
    <border>
      <right style="hair">
        <color rgb="FF969696"/>
      </right>
    </border>
    <border>
      <left style="hair">
        <color rgb="FF969696"/>
      </left>
      <top style="hair">
        <color rgb="FF969696"/>
      </top>
      <bottom style="hair">
        <color rgb="FF969696"/>
      </bottom>
    </border>
    <border>
      <top style="hair">
        <color rgb="FF969696"/>
      </top>
      <bottom style="hair">
        <color rgb="FF969696"/>
      </bottom>
    </border>
    <border>
      <right style="hair">
        <color rgb="FF969696"/>
      </right>
      <top style="hair">
        <color rgb="FF969696"/>
      </top>
      <bottom style="hair">
        <color rgb="FF969696"/>
      </bottom>
    </border>
    <border>
      <left style="hair">
        <color rgb="FF969696"/>
      </left>
      <bottom style="hair">
        <color rgb="FF969696"/>
      </bottom>
    </border>
    <border>
      <bottom style="hair">
        <color rgb="FF969696"/>
      </bottom>
    </border>
    <border>
      <right style="hair">
        <color rgb="FF969696"/>
      </right>
      <bottom style="hair">
        <color rgb="FF969696"/>
      </bottom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</border>
  </borders>
  <cellStyleXfs count="2">
    <xf numFmtId="0" fontId="0" fillId="0" borderId="0"/>
    <xf numFmtId="0" fontId="36" fillId="0" borderId="0" applyNumberFormat="0" applyFill="0" applyBorder="0" applyAlignment="0" applyProtection="0"/>
  </cellStyleXfs>
  <cellXfs count="272">
    <xf numFmtId="0" fontId="0" fillId="0" borderId="0" xfId="0"/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1" xfId="0" applyBorder="1" applyProtection="1"/>
    <xf numFmtId="0" fontId="0" fillId="0" borderId="2" xfId="0" applyBorder="1" applyProtection="1"/>
    <xf numFmtId="0" fontId="0" fillId="0" borderId="3" xfId="0" applyBorder="1"/>
    <xf numFmtId="0" fontId="0" fillId="0" borderId="3" xfId="0" applyBorder="1" applyProtection="1"/>
    <xf numFmtId="0" fontId="0" fillId="0" borderId="0" xfId="0" applyProtection="1"/>
    <xf numFmtId="0" fontId="12" fillId="0" borderId="0" xfId="0" applyFont="1" applyAlignment="1" applyProtection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 vertical="top"/>
    </xf>
    <xf numFmtId="0" fontId="2" fillId="0" borderId="0" xfId="0" applyFont="1" applyAlignment="1" applyProtection="1">
      <alignment horizontal="left" vertical="center"/>
    </xf>
    <xf numFmtId="0" fontId="15" fillId="0" borderId="0" xfId="0" applyFont="1" applyAlignment="1">
      <alignment horizontal="left" vertical="top" wrapText="1"/>
    </xf>
    <xf numFmtId="0" fontId="3" fillId="0" borderId="0" xfId="0" applyFont="1" applyAlignment="1" applyProtection="1">
      <alignment horizontal="left" vertical="top"/>
    </xf>
    <xf numFmtId="0" fontId="3" fillId="0" borderId="0" xfId="0" applyFont="1" applyAlignment="1" applyProtection="1">
      <alignment horizontal="left" vertical="top" wrapText="1"/>
    </xf>
    <xf numFmtId="0" fontId="15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 vertical="center"/>
    </xf>
    <xf numFmtId="0" fontId="2" fillId="2" borderId="0" xfId="0" applyFont="1" applyFill="1" applyAlignment="1" applyProtection="1">
      <alignment horizontal="left" vertical="center"/>
      <protection locked="0"/>
    </xf>
    <xf numFmtId="49" fontId="2" fillId="2" borderId="0" xfId="0" applyNumberFormat="1" applyFont="1" applyFill="1" applyAlignment="1" applyProtection="1">
      <alignment horizontal="left" vertical="center"/>
      <protection locked="0"/>
    </xf>
    <xf numFmtId="49" fontId="2" fillId="0" borderId="0" xfId="0" applyNumberFormat="1" applyFont="1" applyAlignment="1" applyProtection="1">
      <alignment horizontal="left" vertical="center"/>
    </xf>
    <xf numFmtId="0" fontId="2" fillId="0" borderId="0" xfId="0" applyFont="1" applyAlignment="1" applyProtection="1">
      <alignment horizontal="left" vertical="center" wrapText="1"/>
    </xf>
    <xf numFmtId="0" fontId="0" fillId="0" borderId="4" xfId="0" applyBorder="1" applyProtection="1"/>
    <xf numFmtId="0" fontId="0" fillId="0" borderId="0" xfId="0" applyFont="1" applyAlignment="1">
      <alignment vertical="center"/>
    </xf>
    <xf numFmtId="0" fontId="0" fillId="0" borderId="3" xfId="0" applyFont="1" applyBorder="1" applyAlignment="1" applyProtection="1">
      <alignment vertical="center"/>
    </xf>
    <xf numFmtId="0" fontId="0" fillId="0" borderId="0" xfId="0" applyFont="1" applyAlignment="1" applyProtection="1">
      <alignment vertical="center"/>
    </xf>
    <xf numFmtId="0" fontId="16" fillId="0" borderId="5" xfId="0" applyFont="1" applyBorder="1" applyAlignment="1" applyProtection="1">
      <alignment horizontal="left" vertical="center"/>
    </xf>
    <xf numFmtId="0" fontId="0" fillId="0" borderId="5" xfId="0" applyFont="1" applyBorder="1" applyAlignment="1" applyProtection="1">
      <alignment vertical="center"/>
    </xf>
    <xf numFmtId="4" fontId="16" fillId="0" borderId="5" xfId="0" applyNumberFormat="1" applyFont="1" applyBorder="1" applyAlignment="1" applyProtection="1">
      <alignment vertical="center"/>
    </xf>
    <xf numFmtId="0" fontId="0" fillId="0" borderId="3" xfId="0" applyFont="1" applyBorder="1" applyAlignment="1">
      <alignment vertical="center"/>
    </xf>
    <xf numFmtId="0" fontId="1" fillId="0" borderId="0" xfId="0" applyFont="1" applyAlignment="1" applyProtection="1">
      <alignment horizontal="right" vertical="center"/>
    </xf>
    <xf numFmtId="0" fontId="1" fillId="0" borderId="3" xfId="0" applyFont="1" applyBorder="1" applyAlignment="1" applyProtection="1">
      <alignment vertical="center"/>
    </xf>
    <xf numFmtId="0" fontId="1" fillId="0" borderId="0" xfId="0" applyFont="1" applyAlignment="1" applyProtection="1">
      <alignment vertical="center"/>
    </xf>
    <xf numFmtId="164" fontId="1" fillId="0" borderId="0" xfId="0" applyNumberFormat="1" applyFont="1" applyAlignment="1" applyProtection="1">
      <alignment horizontal="left" vertical="center"/>
    </xf>
    <xf numFmtId="4" fontId="17" fillId="0" borderId="0" xfId="0" applyNumberFormat="1" applyFont="1" applyAlignment="1" applyProtection="1">
      <alignment vertical="center"/>
    </xf>
    <xf numFmtId="0" fontId="1" fillId="0" borderId="3" xfId="0" applyFont="1" applyBorder="1" applyAlignment="1">
      <alignment vertical="center"/>
    </xf>
    <xf numFmtId="0" fontId="17" fillId="0" borderId="0" xfId="0" applyFont="1" applyAlignment="1">
      <alignment horizontal="left" vertical="center"/>
    </xf>
    <xf numFmtId="0" fontId="0" fillId="3" borderId="0" xfId="0" applyFont="1" applyFill="1" applyAlignment="1" applyProtection="1">
      <alignment vertical="center"/>
    </xf>
    <xf numFmtId="0" fontId="4" fillId="3" borderId="6" xfId="0" applyFont="1" applyFill="1" applyBorder="1" applyAlignment="1" applyProtection="1">
      <alignment horizontal="left" vertical="center"/>
    </xf>
    <xf numFmtId="0" fontId="0" fillId="3" borderId="7" xfId="0" applyFont="1" applyFill="1" applyBorder="1" applyAlignment="1" applyProtection="1">
      <alignment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left" vertical="center"/>
    </xf>
    <xf numFmtId="4" fontId="4" fillId="3" borderId="7" xfId="0" applyNumberFormat="1" applyFont="1" applyFill="1" applyBorder="1" applyAlignment="1" applyProtection="1">
      <alignment vertical="center"/>
    </xf>
    <xf numFmtId="0" fontId="0" fillId="3" borderId="8" xfId="0" applyFont="1" applyFill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0" fillId="0" borderId="0" xfId="0" applyAlignment="1" applyProtection="1">
      <alignment vertical="center"/>
    </xf>
    <xf numFmtId="0" fontId="18" fillId="0" borderId="4" xfId="0" applyFont="1" applyBorder="1" applyAlignment="1" applyProtection="1">
      <alignment horizontal="left" vertical="center"/>
    </xf>
    <xf numFmtId="0" fontId="0" fillId="0" borderId="4" xfId="0" applyBorder="1" applyAlignment="1" applyProtection="1">
      <alignment vertical="center"/>
    </xf>
    <xf numFmtId="0" fontId="0" fillId="0" borderId="3" xfId="0" applyBorder="1" applyAlignment="1">
      <alignment vertical="center"/>
    </xf>
    <xf numFmtId="0" fontId="1" fillId="0" borderId="5" xfId="0" applyFont="1" applyBorder="1" applyAlignment="1" applyProtection="1">
      <alignment horizontal="left" vertical="center"/>
    </xf>
    <xf numFmtId="0" fontId="0" fillId="0" borderId="4" xfId="0" applyFont="1" applyBorder="1" applyAlignment="1" applyProtection="1">
      <alignment vertical="center"/>
    </xf>
    <xf numFmtId="0" fontId="0" fillId="0" borderId="9" xfId="0" applyFont="1" applyBorder="1" applyAlignment="1" applyProtection="1">
      <alignment vertical="center"/>
    </xf>
    <xf numFmtId="0" fontId="0" fillId="0" borderId="10" xfId="0" applyFont="1" applyBorder="1" applyAlignment="1" applyProtection="1">
      <alignment vertical="center"/>
    </xf>
    <xf numFmtId="0" fontId="0" fillId="0" borderId="1" xfId="0" applyFont="1" applyBorder="1" applyAlignment="1" applyProtection="1">
      <alignment vertical="center"/>
    </xf>
    <xf numFmtId="0" fontId="0" fillId="0" borderId="2" xfId="0" applyFont="1" applyBorder="1" applyAlignment="1" applyProtection="1">
      <alignment vertical="center"/>
    </xf>
    <xf numFmtId="0" fontId="2" fillId="0" borderId="3" xfId="0" applyFont="1" applyBorder="1" applyAlignment="1" applyProtection="1">
      <alignment vertical="center"/>
    </xf>
    <xf numFmtId="0" fontId="2" fillId="0" borderId="0" xfId="0" applyFont="1" applyAlignment="1" applyProtection="1">
      <alignment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 applyProtection="1">
      <alignment vertical="center"/>
    </xf>
    <xf numFmtId="0" fontId="3" fillId="0" borderId="0" xfId="0" applyFont="1" applyAlignment="1" applyProtection="1">
      <alignment horizontal="left" vertical="center"/>
    </xf>
    <xf numFmtId="0" fontId="3" fillId="0" borderId="0" xfId="0" applyFont="1" applyAlignment="1" applyProtection="1">
      <alignment vertical="center"/>
    </xf>
    <xf numFmtId="0" fontId="3" fillId="0" borderId="0" xfId="0" applyFont="1" applyAlignment="1" applyProtection="1">
      <alignment horizontal="left" vertical="center" wrapText="1"/>
    </xf>
    <xf numFmtId="0" fontId="3" fillId="0" borderId="3" xfId="0" applyFont="1" applyBorder="1" applyAlignment="1">
      <alignment vertical="center"/>
    </xf>
    <xf numFmtId="0" fontId="16" fillId="0" borderId="0" xfId="0" applyFont="1" applyAlignment="1" applyProtection="1">
      <alignment vertical="center"/>
    </xf>
    <xf numFmtId="165" fontId="2" fillId="0" borderId="0" xfId="0" applyNumberFormat="1" applyFont="1" applyAlignment="1" applyProtection="1">
      <alignment horizontal="left" vertical="center"/>
    </xf>
    <xf numFmtId="0" fontId="2" fillId="0" borderId="0" xfId="0" applyFont="1" applyAlignment="1" applyProtection="1">
      <alignment vertical="center" wrapText="1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20" fillId="0" borderId="14" xfId="0" applyFont="1" applyBorder="1" applyAlignment="1">
      <alignment horizontal="left" vertical="center"/>
    </xf>
    <xf numFmtId="0" fontId="20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20" fillId="0" borderId="14" xfId="0" applyFont="1" applyBorder="1" applyAlignment="1" applyProtection="1">
      <alignment horizontal="left" vertical="center"/>
    </xf>
    <xf numFmtId="0" fontId="20" fillId="0" borderId="0" xfId="0" applyFont="1" applyBorder="1" applyAlignment="1" applyProtection="1">
      <alignment horizontal="left" vertical="center"/>
    </xf>
    <xf numFmtId="0" fontId="0" fillId="0" borderId="0" xfId="0" applyFont="1" applyBorder="1" applyAlignment="1" applyProtection="1">
      <alignment vertical="center"/>
    </xf>
    <xf numFmtId="0" fontId="0" fillId="0" borderId="15" xfId="0" applyFont="1" applyBorder="1" applyAlignment="1" applyProtection="1">
      <alignment vertical="center"/>
    </xf>
    <xf numFmtId="0" fontId="21" fillId="4" borderId="6" xfId="0" applyFont="1" applyFill="1" applyBorder="1" applyAlignment="1" applyProtection="1">
      <alignment horizontal="center" vertical="center"/>
    </xf>
    <xf numFmtId="0" fontId="21" fillId="4" borderId="7" xfId="0" applyFont="1" applyFill="1" applyBorder="1" applyAlignment="1" applyProtection="1">
      <alignment horizontal="left" vertical="center"/>
    </xf>
    <xf numFmtId="0" fontId="0" fillId="4" borderId="7" xfId="0" applyFont="1" applyFill="1" applyBorder="1" applyAlignment="1" applyProtection="1">
      <alignment vertical="center"/>
    </xf>
    <xf numFmtId="0" fontId="21" fillId="4" borderId="7" xfId="0" applyFont="1" applyFill="1" applyBorder="1" applyAlignment="1" applyProtection="1">
      <alignment horizontal="center" vertical="center"/>
    </xf>
    <xf numFmtId="0" fontId="21" fillId="4" borderId="7" xfId="0" applyFont="1" applyFill="1" applyBorder="1" applyAlignment="1" applyProtection="1">
      <alignment horizontal="right" vertical="center"/>
    </xf>
    <xf numFmtId="0" fontId="21" fillId="4" borderId="8" xfId="0" applyFont="1" applyFill="1" applyBorder="1" applyAlignment="1" applyProtection="1">
      <alignment horizontal="left" vertical="center"/>
    </xf>
    <xf numFmtId="0" fontId="21" fillId="4" borderId="0" xfId="0" applyFont="1" applyFill="1" applyAlignment="1" applyProtection="1">
      <alignment horizontal="center" vertical="center"/>
    </xf>
    <xf numFmtId="0" fontId="22" fillId="0" borderId="16" xfId="0" applyFont="1" applyBorder="1" applyAlignment="1" applyProtection="1">
      <alignment horizontal="center" vertical="center" wrapText="1"/>
    </xf>
    <xf numFmtId="0" fontId="22" fillId="0" borderId="17" xfId="0" applyFont="1" applyBorder="1" applyAlignment="1" applyProtection="1">
      <alignment horizontal="center" vertical="center" wrapText="1"/>
    </xf>
    <xf numFmtId="0" fontId="22" fillId="0" borderId="18" xfId="0" applyFont="1" applyBorder="1" applyAlignment="1" applyProtection="1">
      <alignment horizontal="center" vertical="center" wrapText="1"/>
    </xf>
    <xf numFmtId="0" fontId="0" fillId="0" borderId="11" xfId="0" applyFont="1" applyBorder="1" applyAlignment="1" applyProtection="1">
      <alignment vertical="center"/>
    </xf>
    <xf numFmtId="0" fontId="0" fillId="0" borderId="12" xfId="0" applyFont="1" applyBorder="1" applyAlignment="1" applyProtection="1">
      <alignment vertical="center"/>
    </xf>
    <xf numFmtId="0" fontId="0" fillId="0" borderId="13" xfId="0" applyFont="1" applyBorder="1" applyAlignment="1" applyProtection="1">
      <alignment vertical="center"/>
    </xf>
    <xf numFmtId="0" fontId="4" fillId="0" borderId="3" xfId="0" applyFont="1" applyBorder="1" applyAlignment="1" applyProtection="1">
      <alignment vertical="center"/>
    </xf>
    <xf numFmtId="0" fontId="23" fillId="0" borderId="0" xfId="0" applyFont="1" applyAlignment="1" applyProtection="1">
      <alignment horizontal="left" vertical="center"/>
    </xf>
    <xf numFmtId="0" fontId="23" fillId="0" borderId="0" xfId="0" applyFont="1" applyAlignment="1" applyProtection="1">
      <alignment vertical="center"/>
    </xf>
    <xf numFmtId="4" fontId="23" fillId="0" borderId="0" xfId="0" applyNumberFormat="1" applyFont="1" applyAlignment="1" applyProtection="1">
      <alignment horizontal="right" vertical="center"/>
    </xf>
    <xf numFmtId="4" fontId="23" fillId="0" borderId="0" xfId="0" applyNumberFormat="1" applyFont="1" applyAlignment="1" applyProtection="1">
      <alignment vertical="center"/>
    </xf>
    <xf numFmtId="0" fontId="4" fillId="0" borderId="0" xfId="0" applyFont="1" applyAlignment="1" applyProtection="1">
      <alignment horizontal="center" vertical="center"/>
    </xf>
    <xf numFmtId="0" fontId="4" fillId="0" borderId="3" xfId="0" applyFont="1" applyBorder="1" applyAlignment="1">
      <alignment vertical="center"/>
    </xf>
    <xf numFmtId="4" fontId="19" fillId="0" borderId="14" xfId="0" applyNumberFormat="1" applyFont="1" applyBorder="1" applyAlignment="1" applyProtection="1">
      <alignment vertical="center"/>
    </xf>
    <xf numFmtId="4" fontId="19" fillId="0" borderId="0" xfId="0" applyNumberFormat="1" applyFont="1" applyBorder="1" applyAlignment="1" applyProtection="1">
      <alignment vertical="center"/>
    </xf>
    <xf numFmtId="166" fontId="19" fillId="0" borderId="0" xfId="0" applyNumberFormat="1" applyFont="1" applyBorder="1" applyAlignment="1" applyProtection="1">
      <alignment vertical="center"/>
    </xf>
    <xf numFmtId="4" fontId="19" fillId="0" borderId="15" xfId="0" applyNumberFormat="1" applyFont="1" applyBorder="1" applyAlignment="1" applyProtection="1">
      <alignment vertical="center"/>
    </xf>
    <xf numFmtId="0" fontId="4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5" fillId="0" borderId="0" xfId="1" applyFont="1" applyAlignment="1">
      <alignment horizontal="center" vertical="center"/>
    </xf>
    <xf numFmtId="0" fontId="5" fillId="0" borderId="3" xfId="0" applyFont="1" applyBorder="1" applyAlignment="1" applyProtection="1">
      <alignment vertical="center"/>
    </xf>
    <xf numFmtId="0" fontId="26" fillId="0" borderId="0" xfId="0" applyFont="1" applyAlignment="1" applyProtection="1">
      <alignment vertical="center"/>
    </xf>
    <xf numFmtId="0" fontId="26" fillId="0" borderId="0" xfId="0" applyFont="1" applyAlignment="1" applyProtection="1">
      <alignment horizontal="left" vertical="center" wrapText="1"/>
    </xf>
    <xf numFmtId="0" fontId="27" fillId="0" borderId="0" xfId="0" applyFont="1" applyAlignment="1" applyProtection="1">
      <alignment vertical="center"/>
    </xf>
    <xf numFmtId="4" fontId="27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horizontal="center" vertical="center"/>
    </xf>
    <xf numFmtId="0" fontId="5" fillId="0" borderId="3" xfId="0" applyFont="1" applyBorder="1" applyAlignment="1">
      <alignment vertical="center"/>
    </xf>
    <xf numFmtId="4" fontId="28" fillId="0" borderId="14" xfId="0" applyNumberFormat="1" applyFont="1" applyBorder="1" applyAlignment="1" applyProtection="1">
      <alignment vertical="center"/>
    </xf>
    <xf numFmtId="4" fontId="28" fillId="0" borderId="0" xfId="0" applyNumberFormat="1" applyFont="1" applyBorder="1" applyAlignment="1" applyProtection="1">
      <alignment vertical="center"/>
    </xf>
    <xf numFmtId="166" fontId="28" fillId="0" borderId="0" xfId="0" applyNumberFormat="1" applyFont="1" applyBorder="1" applyAlignment="1" applyProtection="1">
      <alignment vertical="center"/>
    </xf>
    <xf numFmtId="4" fontId="28" fillId="0" borderId="15" xfId="0" applyNumberFormat="1" applyFont="1" applyBorder="1" applyAlignment="1" applyProtection="1">
      <alignment vertical="center"/>
    </xf>
    <xf numFmtId="0" fontId="5" fillId="0" borderId="0" xfId="0" applyFont="1" applyAlignment="1">
      <alignment horizontal="left" vertical="center"/>
    </xf>
    <xf numFmtId="4" fontId="28" fillId="0" borderId="19" xfId="0" applyNumberFormat="1" applyFont="1" applyBorder="1" applyAlignment="1" applyProtection="1">
      <alignment vertical="center"/>
    </xf>
    <xf numFmtId="4" fontId="28" fillId="0" borderId="20" xfId="0" applyNumberFormat="1" applyFont="1" applyBorder="1" applyAlignment="1" applyProtection="1">
      <alignment vertical="center"/>
    </xf>
    <xf numFmtId="166" fontId="28" fillId="0" borderId="20" xfId="0" applyNumberFormat="1" applyFont="1" applyBorder="1" applyAlignment="1" applyProtection="1">
      <alignment vertical="center"/>
    </xf>
    <xf numFmtId="4" fontId="28" fillId="0" borderId="21" xfId="0" applyNumberFormat="1" applyFont="1" applyBorder="1" applyAlignment="1" applyProtection="1">
      <alignment vertical="center"/>
    </xf>
    <xf numFmtId="0" fontId="0" fillId="0" borderId="1" xfId="0" applyBorder="1"/>
    <xf numFmtId="0" fontId="0" fillId="0" borderId="2" xfId="0" applyBorder="1"/>
    <xf numFmtId="0" fontId="12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0" fontId="0" fillId="0" borderId="0" xfId="0" applyFont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12" xfId="0" applyFont="1" applyBorder="1" applyAlignment="1">
      <alignment vertical="center"/>
    </xf>
    <xf numFmtId="0" fontId="16" fillId="0" borderId="0" xfId="0" applyFont="1" applyAlignment="1">
      <alignment horizontal="left" vertical="center"/>
    </xf>
    <xf numFmtId="4" fontId="23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0" fontId="20" fillId="0" borderId="0" xfId="0" applyFont="1" applyAlignment="1">
      <alignment horizontal="left" vertical="center"/>
    </xf>
    <xf numFmtId="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0" fillId="4" borderId="0" xfId="0" applyFont="1" applyFill="1" applyAlignment="1">
      <alignment vertical="center"/>
    </xf>
    <xf numFmtId="0" fontId="4" fillId="4" borderId="6" xfId="0" applyFont="1" applyFill="1" applyBorder="1" applyAlignment="1">
      <alignment horizontal="left" vertical="center"/>
    </xf>
    <xf numFmtId="0" fontId="0" fillId="4" borderId="7" xfId="0" applyFont="1" applyFill="1" applyBorder="1" applyAlignment="1">
      <alignment vertical="center"/>
    </xf>
    <xf numFmtId="0" fontId="4" fillId="4" borderId="7" xfId="0" applyFont="1" applyFill="1" applyBorder="1" applyAlignment="1">
      <alignment horizontal="right" vertical="center"/>
    </xf>
    <xf numFmtId="0" fontId="4" fillId="4" borderId="7" xfId="0" applyFont="1" applyFill="1" applyBorder="1" applyAlignment="1">
      <alignment horizontal="center" vertical="center"/>
    </xf>
    <xf numFmtId="4" fontId="4" fillId="4" borderId="7" xfId="0" applyNumberFormat="1" applyFont="1" applyFill="1" applyBorder="1" applyAlignment="1">
      <alignment vertical="center"/>
    </xf>
    <xf numFmtId="0" fontId="0" fillId="4" borderId="8" xfId="0" applyFont="1" applyFill="1" applyBorder="1" applyAlignment="1">
      <alignment vertical="center"/>
    </xf>
    <xf numFmtId="0" fontId="18" fillId="0" borderId="4" xfId="0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0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0" fillId="0" borderId="4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1" fillId="0" borderId="0" xfId="0" applyFont="1" applyAlignment="1" applyProtection="1">
      <alignment horizontal="left" vertical="center" wrapText="1"/>
    </xf>
    <xf numFmtId="0" fontId="21" fillId="4" borderId="0" xfId="0" applyFont="1" applyFill="1" applyAlignment="1" applyProtection="1">
      <alignment horizontal="left" vertical="center"/>
    </xf>
    <xf numFmtId="0" fontId="0" fillId="4" borderId="0" xfId="0" applyFont="1" applyFill="1" applyAlignment="1" applyProtection="1">
      <alignment vertical="center"/>
    </xf>
    <xf numFmtId="0" fontId="21" fillId="4" borderId="0" xfId="0" applyFont="1" applyFill="1" applyAlignment="1" applyProtection="1">
      <alignment horizontal="right" vertical="center"/>
    </xf>
    <xf numFmtId="0" fontId="30" fillId="0" borderId="0" xfId="0" applyFont="1" applyAlignment="1" applyProtection="1">
      <alignment horizontal="left" vertical="center"/>
    </xf>
    <xf numFmtId="0" fontId="6" fillId="0" borderId="3" xfId="0" applyFont="1" applyBorder="1" applyAlignment="1" applyProtection="1">
      <alignment vertical="center"/>
    </xf>
    <xf numFmtId="0" fontId="6" fillId="0" borderId="0" xfId="0" applyFont="1" applyAlignment="1" applyProtection="1">
      <alignment vertical="center"/>
    </xf>
    <xf numFmtId="0" fontId="6" fillId="0" borderId="20" xfId="0" applyFont="1" applyBorder="1" applyAlignment="1" applyProtection="1">
      <alignment horizontal="left" vertical="center"/>
    </xf>
    <xf numFmtId="0" fontId="6" fillId="0" borderId="20" xfId="0" applyFont="1" applyBorder="1" applyAlignment="1" applyProtection="1">
      <alignment vertical="center"/>
    </xf>
    <xf numFmtId="4" fontId="6" fillId="0" borderId="20" xfId="0" applyNumberFormat="1" applyFont="1" applyBorder="1" applyAlignment="1" applyProtection="1">
      <alignment vertical="center"/>
    </xf>
    <xf numFmtId="0" fontId="6" fillId="0" borderId="3" xfId="0" applyFont="1" applyBorder="1" applyAlignment="1">
      <alignment vertical="center"/>
    </xf>
    <xf numFmtId="0" fontId="7" fillId="0" borderId="3" xfId="0" applyFont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7" fillId="0" borderId="20" xfId="0" applyFont="1" applyBorder="1" applyAlignment="1" applyProtection="1">
      <alignment horizontal="left" vertical="center"/>
    </xf>
    <xf numFmtId="0" fontId="7" fillId="0" borderId="20" xfId="0" applyFont="1" applyBorder="1" applyAlignment="1" applyProtection="1">
      <alignment vertical="center"/>
    </xf>
    <xf numFmtId="4" fontId="7" fillId="0" borderId="20" xfId="0" applyNumberFormat="1" applyFont="1" applyBorder="1" applyAlignment="1" applyProtection="1">
      <alignment vertical="center"/>
    </xf>
    <xf numFmtId="0" fontId="7" fillId="0" borderId="3" xfId="0" applyFont="1" applyBorder="1" applyAlignme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3" xfId="0" applyFont="1" applyBorder="1" applyAlignment="1" applyProtection="1">
      <alignment horizontal="center" vertical="center" wrapText="1"/>
    </xf>
    <xf numFmtId="0" fontId="21" fillId="4" borderId="16" xfId="0" applyFont="1" applyFill="1" applyBorder="1" applyAlignment="1" applyProtection="1">
      <alignment horizontal="center" vertical="center" wrapText="1"/>
    </xf>
    <xf numFmtId="0" fontId="21" fillId="4" borderId="17" xfId="0" applyFont="1" applyFill="1" applyBorder="1" applyAlignment="1" applyProtection="1">
      <alignment horizontal="center" vertical="center" wrapText="1"/>
    </xf>
    <xf numFmtId="0" fontId="21" fillId="4" borderId="18" xfId="0" applyFont="1" applyFill="1" applyBorder="1" applyAlignment="1" applyProtection="1">
      <alignment horizontal="center" vertical="center" wrapText="1"/>
    </xf>
    <xf numFmtId="0" fontId="21" fillId="4" borderId="0" xfId="0" applyFont="1" applyFill="1" applyAlignment="1" applyProtection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" fontId="23" fillId="0" borderId="0" xfId="0" applyNumberFormat="1" applyFont="1" applyAlignment="1" applyProtection="1"/>
    <xf numFmtId="0" fontId="0" fillId="0" borderId="12" xfId="0" applyBorder="1" applyAlignment="1" applyProtection="1">
      <alignment vertical="center"/>
    </xf>
    <xf numFmtId="166" fontId="31" fillId="0" borderId="12" xfId="0" applyNumberFormat="1" applyFont="1" applyBorder="1" applyAlignment="1" applyProtection="1"/>
    <xf numFmtId="166" fontId="31" fillId="0" borderId="13" xfId="0" applyNumberFormat="1" applyFont="1" applyBorder="1" applyAlignment="1" applyProtection="1"/>
    <xf numFmtId="4" fontId="32" fillId="0" borderId="0" xfId="0" applyNumberFormat="1" applyFont="1" applyAlignment="1">
      <alignment vertical="center"/>
    </xf>
    <xf numFmtId="0" fontId="8" fillId="0" borderId="3" xfId="0" applyFont="1" applyBorder="1" applyAlignment="1" applyProtection="1"/>
    <xf numFmtId="0" fontId="8" fillId="0" borderId="0" xfId="0" applyFont="1" applyAlignment="1" applyProtection="1"/>
    <xf numFmtId="0" fontId="8" fillId="0" borderId="0" xfId="0" applyFont="1" applyAlignment="1" applyProtection="1">
      <alignment horizontal="left"/>
    </xf>
    <xf numFmtId="0" fontId="6" fillId="0" borderId="0" xfId="0" applyFont="1" applyAlignment="1" applyProtection="1">
      <alignment horizontal="left"/>
    </xf>
    <xf numFmtId="0" fontId="8" fillId="0" borderId="0" xfId="0" applyFont="1" applyAlignment="1" applyProtection="1">
      <protection locked="0"/>
    </xf>
    <xf numFmtId="4" fontId="6" fillId="0" borderId="0" xfId="0" applyNumberFormat="1" applyFont="1" applyAlignment="1" applyProtection="1"/>
    <xf numFmtId="0" fontId="8" fillId="0" borderId="3" xfId="0" applyFont="1" applyBorder="1" applyAlignment="1"/>
    <xf numFmtId="0" fontId="8" fillId="0" borderId="14" xfId="0" applyFont="1" applyBorder="1" applyAlignment="1" applyProtection="1"/>
    <xf numFmtId="0" fontId="8" fillId="0" borderId="0" xfId="0" applyFont="1" applyBorder="1" applyAlignment="1" applyProtection="1"/>
    <xf numFmtId="166" fontId="8" fillId="0" borderId="0" xfId="0" applyNumberFormat="1" applyFont="1" applyBorder="1" applyAlignment="1" applyProtection="1"/>
    <xf numFmtId="166" fontId="8" fillId="0" borderId="15" xfId="0" applyNumberFormat="1" applyFont="1" applyBorder="1" applyAlignment="1" applyProtection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4" fontId="8" fillId="0" borderId="0" xfId="0" applyNumberFormat="1" applyFont="1" applyAlignment="1">
      <alignment vertical="center"/>
    </xf>
    <xf numFmtId="0" fontId="7" fillId="0" borderId="0" xfId="0" applyFont="1" applyAlignment="1" applyProtection="1">
      <alignment horizontal="left"/>
    </xf>
    <xf numFmtId="4" fontId="7" fillId="0" borderId="0" xfId="0" applyNumberFormat="1" applyFont="1" applyAlignment="1" applyProtection="1"/>
    <xf numFmtId="0" fontId="21" fillId="0" borderId="22" xfId="0" applyFont="1" applyBorder="1" applyAlignment="1" applyProtection="1">
      <alignment horizontal="center" vertical="center"/>
    </xf>
    <xf numFmtId="49" fontId="21" fillId="0" borderId="22" xfId="0" applyNumberFormat="1" applyFont="1" applyBorder="1" applyAlignment="1" applyProtection="1">
      <alignment horizontal="left" vertical="center" wrapText="1"/>
    </xf>
    <xf numFmtId="0" fontId="21" fillId="0" borderId="22" xfId="0" applyFont="1" applyBorder="1" applyAlignment="1" applyProtection="1">
      <alignment horizontal="left" vertical="center" wrapText="1"/>
    </xf>
    <xf numFmtId="0" fontId="21" fillId="0" borderId="22" xfId="0" applyFont="1" applyBorder="1" applyAlignment="1" applyProtection="1">
      <alignment horizontal="center" vertical="center" wrapText="1"/>
    </xf>
    <xf numFmtId="167" fontId="21" fillId="0" borderId="22" xfId="0" applyNumberFormat="1" applyFont="1" applyBorder="1" applyAlignment="1" applyProtection="1">
      <alignment vertical="center"/>
    </xf>
    <xf numFmtId="4" fontId="21" fillId="2" borderId="22" xfId="0" applyNumberFormat="1" applyFont="1" applyFill="1" applyBorder="1" applyAlignment="1" applyProtection="1">
      <alignment vertical="center"/>
      <protection locked="0"/>
    </xf>
    <xf numFmtId="4" fontId="21" fillId="0" borderId="22" xfId="0" applyNumberFormat="1" applyFont="1" applyBorder="1" applyAlignment="1" applyProtection="1">
      <alignment vertical="center"/>
    </xf>
    <xf numFmtId="0" fontId="0" fillId="0" borderId="22" xfId="0" applyFont="1" applyBorder="1" applyAlignment="1" applyProtection="1">
      <alignment vertical="center"/>
    </xf>
    <xf numFmtId="0" fontId="22" fillId="2" borderId="14" xfId="0" applyFont="1" applyFill="1" applyBorder="1" applyAlignment="1" applyProtection="1">
      <alignment horizontal="left" vertical="center"/>
      <protection locked="0"/>
    </xf>
    <xf numFmtId="0" fontId="22" fillId="0" borderId="0" xfId="0" applyFont="1" applyBorder="1" applyAlignment="1" applyProtection="1">
      <alignment horizontal="center" vertical="center"/>
    </xf>
    <xf numFmtId="166" fontId="22" fillId="0" borderId="0" xfId="0" applyNumberFormat="1" applyFont="1" applyBorder="1" applyAlignment="1" applyProtection="1">
      <alignment vertical="center"/>
    </xf>
    <xf numFmtId="166" fontId="22" fillId="0" borderId="15" xfId="0" applyNumberFormat="1" applyFont="1" applyBorder="1" applyAlignment="1" applyProtection="1">
      <alignment vertical="center"/>
    </xf>
    <xf numFmtId="0" fontId="21" fillId="0" borderId="0" xfId="0" applyFont="1" applyAlignment="1">
      <alignment horizontal="left" vertical="center"/>
    </xf>
    <xf numFmtId="4" fontId="0" fillId="0" borderId="0" xfId="0" applyNumberFormat="1" applyFont="1" applyAlignment="1">
      <alignment vertical="center"/>
    </xf>
    <xf numFmtId="0" fontId="9" fillId="0" borderId="3" xfId="0" applyFont="1" applyBorder="1" applyAlignment="1" applyProtection="1">
      <alignment vertical="center"/>
    </xf>
    <xf numFmtId="0" fontId="9" fillId="0" borderId="0" xfId="0" applyFont="1" applyAlignment="1" applyProtection="1">
      <alignment vertical="center"/>
    </xf>
    <xf numFmtId="0" fontId="33" fillId="0" borderId="0" xfId="0" applyFont="1" applyAlignment="1" applyProtection="1">
      <alignment horizontal="left" vertical="center"/>
    </xf>
    <xf numFmtId="0" fontId="9" fillId="0" borderId="0" xfId="0" applyFont="1" applyAlignment="1" applyProtection="1">
      <alignment horizontal="left" vertical="center"/>
    </xf>
    <xf numFmtId="0" fontId="9" fillId="0" borderId="0" xfId="0" applyFont="1" applyAlignment="1" applyProtection="1">
      <alignment horizontal="left" vertical="center" wrapText="1"/>
    </xf>
    <xf numFmtId="167" fontId="9" fillId="0" borderId="0" xfId="0" applyNumberFormat="1" applyFont="1" applyAlignment="1" applyProtection="1">
      <alignment vertical="center"/>
    </xf>
    <xf numFmtId="0" fontId="9" fillId="0" borderId="0" xfId="0" applyFont="1" applyAlignment="1" applyProtection="1">
      <alignment vertical="center"/>
      <protection locked="0"/>
    </xf>
    <xf numFmtId="0" fontId="9" fillId="0" borderId="3" xfId="0" applyFont="1" applyBorder="1" applyAlignment="1">
      <alignment vertical="center"/>
    </xf>
    <xf numFmtId="0" fontId="9" fillId="0" borderId="14" xfId="0" applyFont="1" applyBorder="1" applyAlignment="1" applyProtection="1">
      <alignment vertical="center"/>
    </xf>
    <xf numFmtId="0" fontId="9" fillId="0" borderId="0" xfId="0" applyFont="1" applyBorder="1" applyAlignment="1" applyProtection="1">
      <alignment vertical="center"/>
    </xf>
    <xf numFmtId="0" fontId="9" fillId="0" borderId="15" xfId="0" applyFont="1" applyBorder="1" applyAlignment="1" applyProtection="1">
      <alignment vertical="center"/>
    </xf>
    <xf numFmtId="0" fontId="9" fillId="0" borderId="0" xfId="0" applyFont="1" applyAlignment="1">
      <alignment horizontal="left" vertical="center"/>
    </xf>
    <xf numFmtId="0" fontId="10" fillId="0" borderId="3" xfId="0" applyFont="1" applyBorder="1" applyAlignment="1" applyProtection="1">
      <alignment vertical="center"/>
    </xf>
    <xf numFmtId="0" fontId="10" fillId="0" borderId="0" xfId="0" applyFont="1" applyAlignment="1" applyProtection="1">
      <alignment vertical="center"/>
    </xf>
    <xf numFmtId="0" fontId="10" fillId="0" borderId="0" xfId="0" applyFont="1" applyAlignment="1" applyProtection="1">
      <alignment horizontal="left" vertical="center"/>
    </xf>
    <xf numFmtId="0" fontId="10" fillId="0" borderId="0" xfId="0" applyFont="1" applyAlignment="1" applyProtection="1">
      <alignment horizontal="left" vertical="center" wrapText="1"/>
    </xf>
    <xf numFmtId="0" fontId="10" fillId="0" borderId="0" xfId="0" applyFont="1" applyAlignment="1" applyProtection="1">
      <alignment vertical="center"/>
      <protection locked="0"/>
    </xf>
    <xf numFmtId="0" fontId="10" fillId="0" borderId="3" xfId="0" applyFont="1" applyBorder="1" applyAlignment="1">
      <alignment vertical="center"/>
    </xf>
    <xf numFmtId="0" fontId="10" fillId="0" borderId="14" xfId="0" applyFont="1" applyBorder="1" applyAlignment="1" applyProtection="1">
      <alignment vertical="center"/>
    </xf>
    <xf numFmtId="0" fontId="10" fillId="0" borderId="0" xfId="0" applyFont="1" applyBorder="1" applyAlignment="1" applyProtection="1">
      <alignment vertical="center"/>
    </xf>
    <xf numFmtId="0" fontId="10" fillId="0" borderId="15" xfId="0" applyFont="1" applyBorder="1" applyAlignment="1" applyProtection="1">
      <alignment vertical="center"/>
    </xf>
    <xf numFmtId="0" fontId="10" fillId="0" borderId="0" xfId="0" applyFont="1" applyAlignment="1">
      <alignment horizontal="left" vertical="center"/>
    </xf>
    <xf numFmtId="0" fontId="34" fillId="0" borderId="22" xfId="0" applyFont="1" applyBorder="1" applyAlignment="1" applyProtection="1">
      <alignment horizontal="center" vertical="center"/>
    </xf>
    <xf numFmtId="49" fontId="34" fillId="0" borderId="22" xfId="0" applyNumberFormat="1" applyFont="1" applyBorder="1" applyAlignment="1" applyProtection="1">
      <alignment horizontal="left" vertical="center" wrapText="1"/>
    </xf>
    <xf numFmtId="0" fontId="34" fillId="0" borderId="22" xfId="0" applyFont="1" applyBorder="1" applyAlignment="1" applyProtection="1">
      <alignment horizontal="left" vertical="center" wrapText="1"/>
    </xf>
    <xf numFmtId="0" fontId="34" fillId="0" borderId="22" xfId="0" applyFont="1" applyBorder="1" applyAlignment="1" applyProtection="1">
      <alignment horizontal="center" vertical="center" wrapText="1"/>
    </xf>
    <xf numFmtId="167" fontId="34" fillId="0" borderId="22" xfId="0" applyNumberFormat="1" applyFont="1" applyBorder="1" applyAlignment="1" applyProtection="1">
      <alignment vertical="center"/>
    </xf>
    <xf numFmtId="4" fontId="34" fillId="2" borderId="22" xfId="0" applyNumberFormat="1" applyFont="1" applyFill="1" applyBorder="1" applyAlignment="1" applyProtection="1">
      <alignment vertical="center"/>
      <protection locked="0"/>
    </xf>
    <xf numFmtId="4" fontId="34" fillId="0" borderId="22" xfId="0" applyNumberFormat="1" applyFont="1" applyBorder="1" applyAlignment="1" applyProtection="1">
      <alignment vertical="center"/>
    </xf>
    <xf numFmtId="0" fontId="35" fillId="0" borderId="22" xfId="0" applyFont="1" applyBorder="1" applyAlignment="1" applyProtection="1">
      <alignment vertical="center"/>
    </xf>
    <xf numFmtId="0" fontId="35" fillId="0" borderId="3" xfId="0" applyFont="1" applyBorder="1" applyAlignment="1">
      <alignment vertical="center"/>
    </xf>
    <xf numFmtId="0" fontId="34" fillId="2" borderId="14" xfId="0" applyFont="1" applyFill="1" applyBorder="1" applyAlignment="1" applyProtection="1">
      <alignment horizontal="left" vertical="center"/>
      <protection locked="0"/>
    </xf>
    <xf numFmtId="0" fontId="34" fillId="0" borderId="0" xfId="0" applyFont="1" applyBorder="1" applyAlignment="1" applyProtection="1">
      <alignment horizontal="center" vertical="center"/>
    </xf>
    <xf numFmtId="167" fontId="21" fillId="2" borderId="22" xfId="0" applyNumberFormat="1" applyFont="1" applyFill="1" applyBorder="1" applyAlignment="1" applyProtection="1">
      <alignment vertical="center"/>
      <protection locked="0"/>
    </xf>
    <xf numFmtId="0" fontId="22" fillId="2" borderId="19" xfId="0" applyFont="1" applyFill="1" applyBorder="1" applyAlignment="1" applyProtection="1">
      <alignment horizontal="left" vertical="center"/>
      <protection locked="0"/>
    </xf>
    <xf numFmtId="0" fontId="22" fillId="0" borderId="20" xfId="0" applyFont="1" applyBorder="1" applyAlignment="1" applyProtection="1">
      <alignment horizontal="center" vertical="center"/>
    </xf>
    <xf numFmtId="0" fontId="0" fillId="0" borderId="20" xfId="0" applyFont="1" applyBorder="1" applyAlignment="1" applyProtection="1">
      <alignment vertical="center"/>
    </xf>
    <xf numFmtId="166" fontId="22" fillId="0" borderId="20" xfId="0" applyNumberFormat="1" applyFont="1" applyBorder="1" applyAlignment="1" applyProtection="1">
      <alignment vertical="center"/>
    </xf>
    <xf numFmtId="166" fontId="22" fillId="0" borderId="21" xfId="0" applyNumberFormat="1" applyFont="1" applyBorder="1" applyAlignment="1" applyProtection="1">
      <alignment vertical="center"/>
    </xf>
    <xf numFmtId="167" fontId="34" fillId="2" borderId="22" xfId="0" applyNumberFormat="1" applyFont="1" applyFill="1" applyBorder="1" applyAlignment="1" applyProtection="1">
      <alignment vertical="center"/>
      <protection locked="0"/>
    </xf>
  </cellXfs>
  <cellStyles count="2">
    <cellStyle name="Normal" xfId="0" builtinId="0" customBuiltin="1"/>
    <cellStyle name="Hyperlink" xfId="1" builtinId="8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Relationship Id="rId11" Type="http://schemas.openxmlformats.org/officeDocument/2006/relationships/theme" Target="theme/theme1.xml" /><Relationship Id="rId12" Type="http://schemas.openxmlformats.org/officeDocument/2006/relationships/calcChain" Target="calcChain.xml" /><Relationship Id="rId13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7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8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9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9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tabSelected="1" showGridLines="0" workbookViewId="0"/>
  </sheetViews>
  <cols>
    <col min="1" max="1" width="8.332031" style="1" customWidth="1"/>
    <col min="2" max="2" width="1.667969" style="1" customWidth="1"/>
    <col min="3" max="3" width="4.160156" style="1" customWidth="1"/>
    <col min="4" max="4" width="2.660156" style="1" customWidth="1"/>
    <col min="5" max="5" width="2.660156" style="1" customWidth="1"/>
    <col min="6" max="6" width="2.660156" style="1" customWidth="1"/>
    <col min="7" max="7" width="2.660156" style="1" customWidth="1"/>
    <col min="8" max="8" width="2.660156" style="1" customWidth="1"/>
    <col min="9" max="9" width="2.660156" style="1" customWidth="1"/>
    <col min="10" max="10" width="2.660156" style="1" customWidth="1"/>
    <col min="11" max="11" width="2.660156" style="1" customWidth="1"/>
    <col min="12" max="12" width="2.660156" style="1" customWidth="1"/>
    <col min="13" max="13" width="2.660156" style="1" customWidth="1"/>
    <col min="14" max="14" width="2.660156" style="1" customWidth="1"/>
    <col min="15" max="15" width="2.660156" style="1" customWidth="1"/>
    <col min="16" max="16" width="2.660156" style="1" customWidth="1"/>
    <col min="17" max="17" width="2.660156" style="1" customWidth="1"/>
    <col min="18" max="18" width="2.660156" style="1" customWidth="1"/>
    <col min="19" max="19" width="2.660156" style="1" customWidth="1"/>
    <col min="20" max="20" width="2.660156" style="1" customWidth="1"/>
    <col min="21" max="21" width="2.660156" style="1" customWidth="1"/>
    <col min="22" max="22" width="2.660156" style="1" customWidth="1"/>
    <col min="23" max="23" width="2.660156" style="1" customWidth="1"/>
    <col min="24" max="24" width="2.660156" style="1" customWidth="1"/>
    <col min="25" max="25" width="2.660156" style="1" customWidth="1"/>
    <col min="26" max="26" width="2.660156" style="1" customWidth="1"/>
    <col min="27" max="27" width="2.660156" style="1" customWidth="1"/>
    <col min="28" max="28" width="2.660156" style="1" customWidth="1"/>
    <col min="29" max="29" width="2.660156" style="1" customWidth="1"/>
    <col min="30" max="30" width="2.660156" style="1" customWidth="1"/>
    <col min="31" max="31" width="2.660156" style="1" customWidth="1"/>
    <col min="32" max="32" width="2.660156" style="1" customWidth="1"/>
    <col min="33" max="33" width="2.660156" style="1" customWidth="1"/>
    <col min="34" max="34" width="3.332031" style="1" customWidth="1"/>
    <col min="35" max="35" width="31.66016" style="1" customWidth="1"/>
    <col min="36" max="36" width="2.5" style="1" customWidth="1"/>
    <col min="37" max="37" width="2.5" style="1" customWidth="1"/>
    <col min="38" max="38" width="8.332031" style="1" customWidth="1"/>
    <col min="39" max="39" width="3.332031" style="1" customWidth="1"/>
    <col min="40" max="40" width="13.33203" style="1" customWidth="1"/>
    <col min="41" max="41" width="7.5" style="1" customWidth="1"/>
    <col min="42" max="42" width="4.160156" style="1" customWidth="1"/>
    <col min="43" max="43" width="15.66016" style="1" hidden="1" customWidth="1"/>
    <col min="44" max="44" width="13.66016" style="1" customWidth="1"/>
    <col min="45" max="45" width="25.83203" style="1" hidden="1" customWidth="1"/>
    <col min="46" max="46" width="25.83203" style="1" hidden="1" customWidth="1"/>
    <col min="47" max="47" width="25.83203" style="1" hidden="1" customWidth="1"/>
    <col min="48" max="48" width="21.66016" style="1" hidden="1" customWidth="1"/>
    <col min="49" max="49" width="21.66016" style="1" hidden="1" customWidth="1"/>
    <col min="50" max="50" width="25" style="1" hidden="1" customWidth="1"/>
    <col min="51" max="51" width="25" style="1" hidden="1" customWidth="1"/>
    <col min="52" max="52" width="21.66016" style="1" hidden="1" customWidth="1"/>
    <col min="53" max="53" width="19.16016" style="1" hidden="1" customWidth="1"/>
    <col min="54" max="54" width="25" style="1" hidden="1" customWidth="1"/>
    <col min="55" max="55" width="21.66016" style="1" hidden="1" customWidth="1"/>
    <col min="56" max="56" width="19.16016" style="1" hidden="1" customWidth="1"/>
    <col min="57" max="57" width="66.5" style="1" customWidth="1"/>
    <col min="71" max="71" width="9.332031" style="1" hidden="1"/>
    <col min="72" max="72" width="9.332031" style="1" hidden="1"/>
    <col min="73" max="73" width="9.332031" style="1" hidden="1"/>
    <col min="74" max="74" width="9.332031" style="1" hidden="1"/>
    <col min="75" max="75" width="9.332031" style="1" hidden="1"/>
    <col min="76" max="76" width="9.332031" style="1" hidden="1"/>
    <col min="77" max="77" width="9.332031" style="1" hidden="1"/>
    <col min="78" max="78" width="9.332031" style="1" hidden="1"/>
    <col min="79" max="79" width="9.332031" style="1" hidden="1"/>
    <col min="80" max="80" width="9.332031" style="1" hidden="1"/>
    <col min="81" max="81" width="9.332031" style="1" hidden="1"/>
    <col min="82" max="82" width="9.332031" style="1" hidden="1"/>
    <col min="83" max="83" width="9.332031" style="1" hidden="1"/>
    <col min="84" max="84" width="9.332031" style="1" hidden="1"/>
    <col min="85" max="85" width="9.332031" style="1" hidden="1"/>
    <col min="86" max="86" width="9.332031" style="1" hidden="1"/>
    <col min="87" max="87" width="9.332031" style="1" hidden="1"/>
    <col min="88" max="88" width="9.332031" style="1" hidden="1"/>
    <col min="89" max="89" width="9.332031" style="1" hidden="1"/>
    <col min="90" max="90" width="9.332031" style="1" hidden="1"/>
    <col min="91" max="91" width="9.332031" style="1" hidden="1"/>
  </cols>
  <sheetData>
    <row r="1">
      <c r="A1" s="15" t="s">
        <v>0</v>
      </c>
      <c r="AZ1" s="15" t="s">
        <v>1</v>
      </c>
      <c r="BA1" s="15" t="s">
        <v>2</v>
      </c>
      <c r="BB1" s="15" t="s">
        <v>3</v>
      </c>
      <c r="BT1" s="15" t="s">
        <v>4</v>
      </c>
      <c r="BU1" s="15" t="s">
        <v>4</v>
      </c>
      <c r="BV1" s="15" t="s">
        <v>5</v>
      </c>
    </row>
    <row r="2" s="1" customFormat="1" ht="36.96" customHeight="1"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S2" s="16" t="s">
        <v>6</v>
      </c>
      <c r="BT2" s="16" t="s">
        <v>7</v>
      </c>
    </row>
    <row r="3" s="1" customFormat="1" ht="6.96" customHeight="1"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9"/>
      <c r="BS3" s="16" t="s">
        <v>8</v>
      </c>
      <c r="BT3" s="16" t="s">
        <v>9</v>
      </c>
    </row>
    <row r="4" s="1" customFormat="1" ht="24.96" customHeight="1">
      <c r="B4" s="20"/>
      <c r="C4" s="21"/>
      <c r="D4" s="22" t="s">
        <v>10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19"/>
      <c r="AS4" s="23" t="s">
        <v>11</v>
      </c>
      <c r="BE4" s="24" t="s">
        <v>12</v>
      </c>
      <c r="BS4" s="16" t="s">
        <v>13</v>
      </c>
    </row>
    <row r="5" s="1" customFormat="1" ht="12" customHeight="1">
      <c r="B5" s="20"/>
      <c r="C5" s="21"/>
      <c r="D5" s="25" t="s">
        <v>14</v>
      </c>
      <c r="E5" s="21"/>
      <c r="F5" s="21"/>
      <c r="G5" s="21"/>
      <c r="H5" s="21"/>
      <c r="I5" s="21"/>
      <c r="J5" s="21"/>
      <c r="K5" s="26" t="s">
        <v>15</v>
      </c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19"/>
      <c r="BE5" s="27" t="s">
        <v>16</v>
      </c>
      <c r="BS5" s="16" t="s">
        <v>6</v>
      </c>
    </row>
    <row r="6" s="1" customFormat="1" ht="36.96" customHeight="1">
      <c r="B6" s="20"/>
      <c r="C6" s="21"/>
      <c r="D6" s="28" t="s">
        <v>17</v>
      </c>
      <c r="E6" s="21"/>
      <c r="F6" s="21"/>
      <c r="G6" s="21"/>
      <c r="H6" s="21"/>
      <c r="I6" s="21"/>
      <c r="J6" s="21"/>
      <c r="K6" s="29" t="s">
        <v>18</v>
      </c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19"/>
      <c r="BE6" s="30"/>
      <c r="BS6" s="16" t="s">
        <v>6</v>
      </c>
    </row>
    <row r="7" s="1" customFormat="1" ht="12" customHeight="1">
      <c r="B7" s="20"/>
      <c r="C7" s="21"/>
      <c r="D7" s="31" t="s">
        <v>19</v>
      </c>
      <c r="E7" s="21"/>
      <c r="F7" s="21"/>
      <c r="G7" s="21"/>
      <c r="H7" s="21"/>
      <c r="I7" s="21"/>
      <c r="J7" s="21"/>
      <c r="K7" s="26" t="s">
        <v>1</v>
      </c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31" t="s">
        <v>20</v>
      </c>
      <c r="AL7" s="21"/>
      <c r="AM7" s="21"/>
      <c r="AN7" s="26" t="s">
        <v>1</v>
      </c>
      <c r="AO7" s="21"/>
      <c r="AP7" s="21"/>
      <c r="AQ7" s="21"/>
      <c r="AR7" s="19"/>
      <c r="BE7" s="30"/>
      <c r="BS7" s="16" t="s">
        <v>6</v>
      </c>
    </row>
    <row r="8" s="1" customFormat="1" ht="12" customHeight="1">
      <c r="B8" s="20"/>
      <c r="C8" s="21"/>
      <c r="D8" s="31" t="s">
        <v>21</v>
      </c>
      <c r="E8" s="21"/>
      <c r="F8" s="21"/>
      <c r="G8" s="21"/>
      <c r="H8" s="21"/>
      <c r="I8" s="21"/>
      <c r="J8" s="21"/>
      <c r="K8" s="26" t="s">
        <v>22</v>
      </c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31" t="s">
        <v>23</v>
      </c>
      <c r="AL8" s="21"/>
      <c r="AM8" s="21"/>
      <c r="AN8" s="32" t="s">
        <v>24</v>
      </c>
      <c r="AO8" s="21"/>
      <c r="AP8" s="21"/>
      <c r="AQ8" s="21"/>
      <c r="AR8" s="19"/>
      <c r="BE8" s="30"/>
      <c r="BS8" s="16" t="s">
        <v>6</v>
      </c>
    </row>
    <row r="9" s="1" customFormat="1" ht="14.4" customHeight="1">
      <c r="B9" s="20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19"/>
      <c r="BE9" s="30"/>
      <c r="BS9" s="16" t="s">
        <v>6</v>
      </c>
    </row>
    <row r="10" s="1" customFormat="1" ht="12" customHeight="1">
      <c r="B10" s="20"/>
      <c r="C10" s="21"/>
      <c r="D10" s="31" t="s">
        <v>25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31" t="s">
        <v>26</v>
      </c>
      <c r="AL10" s="21"/>
      <c r="AM10" s="21"/>
      <c r="AN10" s="26" t="s">
        <v>1</v>
      </c>
      <c r="AO10" s="21"/>
      <c r="AP10" s="21"/>
      <c r="AQ10" s="21"/>
      <c r="AR10" s="19"/>
      <c r="BE10" s="30"/>
      <c r="BS10" s="16" t="s">
        <v>6</v>
      </c>
    </row>
    <row r="11" s="1" customFormat="1" ht="18.48" customHeight="1">
      <c r="B11" s="20"/>
      <c r="C11" s="21"/>
      <c r="D11" s="21"/>
      <c r="E11" s="26" t="s">
        <v>27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31" t="s">
        <v>28</v>
      </c>
      <c r="AL11" s="21"/>
      <c r="AM11" s="21"/>
      <c r="AN11" s="26" t="s">
        <v>1</v>
      </c>
      <c r="AO11" s="21"/>
      <c r="AP11" s="21"/>
      <c r="AQ11" s="21"/>
      <c r="AR11" s="19"/>
      <c r="BE11" s="30"/>
      <c r="BS11" s="16" t="s">
        <v>6</v>
      </c>
    </row>
    <row r="12" s="1" customFormat="1" ht="6.96" customHeight="1">
      <c r="B12" s="20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19"/>
      <c r="BE12" s="30"/>
      <c r="BS12" s="16" t="s">
        <v>6</v>
      </c>
    </row>
    <row r="13" s="1" customFormat="1" ht="12" customHeight="1">
      <c r="B13" s="20"/>
      <c r="C13" s="21"/>
      <c r="D13" s="31" t="s">
        <v>29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31" t="s">
        <v>26</v>
      </c>
      <c r="AL13" s="21"/>
      <c r="AM13" s="21"/>
      <c r="AN13" s="33" t="s">
        <v>30</v>
      </c>
      <c r="AO13" s="21"/>
      <c r="AP13" s="21"/>
      <c r="AQ13" s="21"/>
      <c r="AR13" s="19"/>
      <c r="BE13" s="30"/>
      <c r="BS13" s="16" t="s">
        <v>6</v>
      </c>
    </row>
    <row r="14">
      <c r="B14" s="20"/>
      <c r="C14" s="21"/>
      <c r="D14" s="21"/>
      <c r="E14" s="33" t="s">
        <v>30</v>
      </c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1" t="s">
        <v>28</v>
      </c>
      <c r="AL14" s="21"/>
      <c r="AM14" s="21"/>
      <c r="AN14" s="33" t="s">
        <v>30</v>
      </c>
      <c r="AO14" s="21"/>
      <c r="AP14" s="21"/>
      <c r="AQ14" s="21"/>
      <c r="AR14" s="19"/>
      <c r="BE14" s="30"/>
      <c r="BS14" s="16" t="s">
        <v>6</v>
      </c>
    </row>
    <row r="15" s="1" customFormat="1" ht="6.96" customHeight="1">
      <c r="B15" s="20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19"/>
      <c r="BE15" s="30"/>
      <c r="BS15" s="16" t="s">
        <v>4</v>
      </c>
    </row>
    <row r="16" s="1" customFormat="1" ht="12" customHeight="1">
      <c r="B16" s="20"/>
      <c r="C16" s="21"/>
      <c r="D16" s="31" t="s">
        <v>31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31" t="s">
        <v>26</v>
      </c>
      <c r="AL16" s="21"/>
      <c r="AM16" s="21"/>
      <c r="AN16" s="26" t="s">
        <v>1</v>
      </c>
      <c r="AO16" s="21"/>
      <c r="AP16" s="21"/>
      <c r="AQ16" s="21"/>
      <c r="AR16" s="19"/>
      <c r="BE16" s="30"/>
      <c r="BS16" s="16" t="s">
        <v>32</v>
      </c>
    </row>
    <row r="17" s="1" customFormat="1" ht="18.48" customHeight="1">
      <c r="B17" s="20"/>
      <c r="C17" s="21"/>
      <c r="D17" s="21"/>
      <c r="E17" s="26" t="s">
        <v>33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31" t="s">
        <v>28</v>
      </c>
      <c r="AL17" s="21"/>
      <c r="AM17" s="21"/>
      <c r="AN17" s="26" t="s">
        <v>1</v>
      </c>
      <c r="AO17" s="21"/>
      <c r="AP17" s="21"/>
      <c r="AQ17" s="21"/>
      <c r="AR17" s="19"/>
      <c r="BE17" s="30"/>
      <c r="BS17" s="16" t="s">
        <v>32</v>
      </c>
    </row>
    <row r="18" s="1" customFormat="1" ht="6.96" customHeight="1">
      <c r="B18" s="20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19"/>
      <c r="BE18" s="30"/>
      <c r="BS18" s="16" t="s">
        <v>8</v>
      </c>
    </row>
    <row r="19" s="1" customFormat="1" ht="12" customHeight="1">
      <c r="B19" s="20"/>
      <c r="C19" s="21"/>
      <c r="D19" s="31" t="s">
        <v>34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31" t="s">
        <v>26</v>
      </c>
      <c r="AL19" s="21"/>
      <c r="AM19" s="21"/>
      <c r="AN19" s="26" t="s">
        <v>1</v>
      </c>
      <c r="AO19" s="21"/>
      <c r="AP19" s="21"/>
      <c r="AQ19" s="21"/>
      <c r="AR19" s="19"/>
      <c r="BE19" s="30"/>
      <c r="BS19" s="16" t="s">
        <v>8</v>
      </c>
    </row>
    <row r="20" s="1" customFormat="1" ht="18.48" customHeight="1">
      <c r="B20" s="20"/>
      <c r="C20" s="21"/>
      <c r="D20" s="21"/>
      <c r="E20" s="26" t="s">
        <v>35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31" t="s">
        <v>28</v>
      </c>
      <c r="AL20" s="21"/>
      <c r="AM20" s="21"/>
      <c r="AN20" s="26" t="s">
        <v>1</v>
      </c>
      <c r="AO20" s="21"/>
      <c r="AP20" s="21"/>
      <c r="AQ20" s="21"/>
      <c r="AR20" s="19"/>
      <c r="BE20" s="30"/>
      <c r="BS20" s="16" t="s">
        <v>32</v>
      </c>
    </row>
    <row r="21" s="1" customFormat="1" ht="6.96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19"/>
      <c r="BE21" s="30"/>
    </row>
    <row r="22" s="1" customFormat="1" ht="12" customHeight="1">
      <c r="B22" s="20"/>
      <c r="C22" s="21"/>
      <c r="D22" s="31" t="s">
        <v>36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19"/>
      <c r="BE22" s="30"/>
    </row>
    <row r="23" s="1" customFormat="1" ht="16.5" customHeight="1">
      <c r="B23" s="20"/>
      <c r="C23" s="21"/>
      <c r="D23" s="21"/>
      <c r="E23" s="35" t="s">
        <v>1</v>
      </c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21"/>
      <c r="AP23" s="21"/>
      <c r="AQ23" s="21"/>
      <c r="AR23" s="19"/>
      <c r="BE23" s="30"/>
    </row>
    <row r="24" s="1" customFormat="1" ht="6.96" customHeight="1">
      <c r="B24" s="20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19"/>
      <c r="BE24" s="30"/>
    </row>
    <row r="25" s="1" customFormat="1" ht="6.96" customHeight="1">
      <c r="B25" s="20"/>
      <c r="C25" s="21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21"/>
      <c r="AQ25" s="21"/>
      <c r="AR25" s="19"/>
      <c r="BE25" s="30"/>
    </row>
    <row r="26" s="2" customFormat="1" ht="25.92" customHeight="1">
      <c r="A26" s="37"/>
      <c r="B26" s="38"/>
      <c r="C26" s="39"/>
      <c r="D26" s="40" t="s">
        <v>37</v>
      </c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2">
        <f>ROUND(AG94,0)</f>
        <v>0</v>
      </c>
      <c r="AL26" s="41"/>
      <c r="AM26" s="41"/>
      <c r="AN26" s="41"/>
      <c r="AO26" s="41"/>
      <c r="AP26" s="39"/>
      <c r="AQ26" s="39"/>
      <c r="AR26" s="43"/>
      <c r="BE26" s="30"/>
    </row>
    <row r="27" s="2" customFormat="1" ht="6.96" customHeight="1">
      <c r="A27" s="37"/>
      <c r="B27" s="38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43"/>
      <c r="BE27" s="30"/>
    </row>
    <row r="28" s="2" customFormat="1">
      <c r="A28" s="37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4" t="s">
        <v>38</v>
      </c>
      <c r="M28" s="44"/>
      <c r="N28" s="44"/>
      <c r="O28" s="44"/>
      <c r="P28" s="44"/>
      <c r="Q28" s="39"/>
      <c r="R28" s="39"/>
      <c r="S28" s="39"/>
      <c r="T28" s="39"/>
      <c r="U28" s="39"/>
      <c r="V28" s="39"/>
      <c r="W28" s="44" t="s">
        <v>39</v>
      </c>
      <c r="X28" s="44"/>
      <c r="Y28" s="44"/>
      <c r="Z28" s="44"/>
      <c r="AA28" s="44"/>
      <c r="AB28" s="44"/>
      <c r="AC28" s="44"/>
      <c r="AD28" s="44"/>
      <c r="AE28" s="44"/>
      <c r="AF28" s="39"/>
      <c r="AG28" s="39"/>
      <c r="AH28" s="39"/>
      <c r="AI28" s="39"/>
      <c r="AJ28" s="39"/>
      <c r="AK28" s="44" t="s">
        <v>40</v>
      </c>
      <c r="AL28" s="44"/>
      <c r="AM28" s="44"/>
      <c r="AN28" s="44"/>
      <c r="AO28" s="44"/>
      <c r="AP28" s="39"/>
      <c r="AQ28" s="39"/>
      <c r="AR28" s="43"/>
      <c r="BE28" s="30"/>
    </row>
    <row r="29" s="3" customFormat="1" ht="14.4" customHeight="1">
      <c r="A29" s="3"/>
      <c r="B29" s="45"/>
      <c r="C29" s="46"/>
      <c r="D29" s="31" t="s">
        <v>41</v>
      </c>
      <c r="E29" s="46"/>
      <c r="F29" s="31" t="s">
        <v>42</v>
      </c>
      <c r="G29" s="46"/>
      <c r="H29" s="46"/>
      <c r="I29" s="46"/>
      <c r="J29" s="46"/>
      <c r="K29" s="46"/>
      <c r="L29" s="47">
        <v>0.20999999999999999</v>
      </c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8">
        <f>ROUND(AZ94, 0)</f>
        <v>0</v>
      </c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8">
        <f>ROUND(AV94, 0)</f>
        <v>0</v>
      </c>
      <c r="AL29" s="46"/>
      <c r="AM29" s="46"/>
      <c r="AN29" s="46"/>
      <c r="AO29" s="46"/>
      <c r="AP29" s="46"/>
      <c r="AQ29" s="46"/>
      <c r="AR29" s="49"/>
      <c r="BE29" s="50"/>
    </row>
    <row r="30" s="3" customFormat="1" ht="14.4" customHeight="1">
      <c r="A30" s="3"/>
      <c r="B30" s="45"/>
      <c r="C30" s="46"/>
      <c r="D30" s="46"/>
      <c r="E30" s="46"/>
      <c r="F30" s="31" t="s">
        <v>43</v>
      </c>
      <c r="G30" s="46"/>
      <c r="H30" s="46"/>
      <c r="I30" s="46"/>
      <c r="J30" s="46"/>
      <c r="K30" s="46"/>
      <c r="L30" s="47">
        <v>0.12</v>
      </c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8">
        <f>ROUND(BA94, 0)</f>
        <v>0</v>
      </c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8">
        <f>ROUND(AW94, 0)</f>
        <v>0</v>
      </c>
      <c r="AL30" s="46"/>
      <c r="AM30" s="46"/>
      <c r="AN30" s="46"/>
      <c r="AO30" s="46"/>
      <c r="AP30" s="46"/>
      <c r="AQ30" s="46"/>
      <c r="AR30" s="49"/>
      <c r="BE30" s="50"/>
    </row>
    <row r="31" hidden="1" s="3" customFormat="1" ht="14.4" customHeight="1">
      <c r="A31" s="3"/>
      <c r="B31" s="45"/>
      <c r="C31" s="46"/>
      <c r="D31" s="46"/>
      <c r="E31" s="46"/>
      <c r="F31" s="31" t="s">
        <v>44</v>
      </c>
      <c r="G31" s="46"/>
      <c r="H31" s="46"/>
      <c r="I31" s="46"/>
      <c r="J31" s="46"/>
      <c r="K31" s="46"/>
      <c r="L31" s="47">
        <v>0.20999999999999999</v>
      </c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8">
        <f>ROUND(BB94, 0)</f>
        <v>0</v>
      </c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8">
        <v>0</v>
      </c>
      <c r="AL31" s="46"/>
      <c r="AM31" s="46"/>
      <c r="AN31" s="46"/>
      <c r="AO31" s="46"/>
      <c r="AP31" s="46"/>
      <c r="AQ31" s="46"/>
      <c r="AR31" s="49"/>
      <c r="BE31" s="50"/>
    </row>
    <row r="32" hidden="1" s="3" customFormat="1" ht="14.4" customHeight="1">
      <c r="A32" s="3"/>
      <c r="B32" s="45"/>
      <c r="C32" s="46"/>
      <c r="D32" s="46"/>
      <c r="E32" s="46"/>
      <c r="F32" s="31" t="s">
        <v>45</v>
      </c>
      <c r="G32" s="46"/>
      <c r="H32" s="46"/>
      <c r="I32" s="46"/>
      <c r="J32" s="46"/>
      <c r="K32" s="46"/>
      <c r="L32" s="47">
        <v>0.12</v>
      </c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8">
        <f>ROUND(BC94, 0)</f>
        <v>0</v>
      </c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8">
        <v>0</v>
      </c>
      <c r="AL32" s="46"/>
      <c r="AM32" s="46"/>
      <c r="AN32" s="46"/>
      <c r="AO32" s="46"/>
      <c r="AP32" s="46"/>
      <c r="AQ32" s="46"/>
      <c r="AR32" s="49"/>
      <c r="BE32" s="50"/>
    </row>
    <row r="33" hidden="1" s="3" customFormat="1" ht="14.4" customHeight="1">
      <c r="A33" s="3"/>
      <c r="B33" s="45"/>
      <c r="C33" s="46"/>
      <c r="D33" s="46"/>
      <c r="E33" s="46"/>
      <c r="F33" s="31" t="s">
        <v>46</v>
      </c>
      <c r="G33" s="46"/>
      <c r="H33" s="46"/>
      <c r="I33" s="46"/>
      <c r="J33" s="46"/>
      <c r="K33" s="46"/>
      <c r="L33" s="47">
        <v>0</v>
      </c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8">
        <f>ROUND(BD94, 0)</f>
        <v>0</v>
      </c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8">
        <v>0</v>
      </c>
      <c r="AL33" s="46"/>
      <c r="AM33" s="46"/>
      <c r="AN33" s="46"/>
      <c r="AO33" s="46"/>
      <c r="AP33" s="46"/>
      <c r="AQ33" s="46"/>
      <c r="AR33" s="49"/>
      <c r="BE33" s="50"/>
    </row>
    <row r="34" s="2" customFormat="1" ht="6.96" customHeight="1">
      <c r="A34" s="37"/>
      <c r="B34" s="38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43"/>
      <c r="BE34" s="30"/>
    </row>
    <row r="35" s="2" customFormat="1" ht="25.92" customHeight="1">
      <c r="A35" s="37"/>
      <c r="B35" s="38"/>
      <c r="C35" s="51"/>
      <c r="D35" s="52" t="s">
        <v>47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4" t="s">
        <v>48</v>
      </c>
      <c r="U35" s="53"/>
      <c r="V35" s="53"/>
      <c r="W35" s="53"/>
      <c r="X35" s="55" t="s">
        <v>49</v>
      </c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6">
        <f>SUM(AK26:AK33)</f>
        <v>0</v>
      </c>
      <c r="AL35" s="53"/>
      <c r="AM35" s="53"/>
      <c r="AN35" s="53"/>
      <c r="AO35" s="57"/>
      <c r="AP35" s="51"/>
      <c r="AQ35" s="51"/>
      <c r="AR35" s="43"/>
      <c r="BE35" s="37"/>
    </row>
    <row r="36" s="2" customFormat="1" ht="6.96" customHeight="1">
      <c r="A36" s="37"/>
      <c r="B36" s="38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43"/>
      <c r="BE36" s="37"/>
    </row>
    <row r="37" s="2" customFormat="1" ht="14.4" customHeight="1">
      <c r="A37" s="37"/>
      <c r="B37" s="38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43"/>
      <c r="BE37" s="37"/>
    </row>
    <row r="38" s="1" customFormat="1" ht="14.4" customHeight="1">
      <c r="B38" s="20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19"/>
    </row>
    <row r="39" s="1" customFormat="1" ht="14.4" customHeight="1"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19"/>
    </row>
    <row r="40" s="1" customFormat="1" ht="14.4" customHeight="1"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19"/>
    </row>
    <row r="41" s="1" customFormat="1" ht="14.4" customHeight="1">
      <c r="B41" s="20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19"/>
    </row>
    <row r="42" s="1" customFormat="1" ht="14.4" customHeight="1">
      <c r="B42" s="20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19"/>
    </row>
    <row r="43" s="1" customFormat="1" ht="14.4" customHeight="1"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19"/>
    </row>
    <row r="44" s="1" customFormat="1" ht="14.4" customHeight="1">
      <c r="B44" s="20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19"/>
    </row>
    <row r="45" s="1" customFormat="1" ht="14.4" customHeight="1">
      <c r="B45" s="20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19"/>
    </row>
    <row r="46" s="1" customFormat="1" ht="14.4" customHeight="1">
      <c r="B46" s="20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19"/>
    </row>
    <row r="47" s="1" customFormat="1" ht="14.4" customHeight="1">
      <c r="B47" s="20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19"/>
    </row>
    <row r="48" s="1" customFormat="1" ht="14.4" customHeight="1">
      <c r="B48" s="2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19"/>
    </row>
    <row r="49" s="2" customFormat="1" ht="14.4" customHeight="1">
      <c r="B49" s="58"/>
      <c r="C49" s="59"/>
      <c r="D49" s="60" t="s">
        <v>50</v>
      </c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0" t="s">
        <v>51</v>
      </c>
      <c r="AI49" s="61"/>
      <c r="AJ49" s="61"/>
      <c r="AK49" s="61"/>
      <c r="AL49" s="61"/>
      <c r="AM49" s="61"/>
      <c r="AN49" s="61"/>
      <c r="AO49" s="61"/>
      <c r="AP49" s="59"/>
      <c r="AQ49" s="59"/>
      <c r="AR49" s="62"/>
    </row>
    <row r="50">
      <c r="B50" s="20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19"/>
    </row>
    <row r="51">
      <c r="B51" s="2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19"/>
    </row>
    <row r="52"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19"/>
    </row>
    <row r="5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19"/>
    </row>
    <row r="54"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19"/>
    </row>
    <row r="55">
      <c r="B55" s="20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19"/>
    </row>
    <row r="56">
      <c r="B56" s="20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19"/>
    </row>
    <row r="57">
      <c r="B57" s="20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19"/>
    </row>
    <row r="58">
      <c r="B58" s="20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19"/>
    </row>
    <row r="59">
      <c r="B59" s="20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19"/>
    </row>
    <row r="60" s="2" customFormat="1">
      <c r="A60" s="37"/>
      <c r="B60" s="38"/>
      <c r="C60" s="39"/>
      <c r="D60" s="63" t="s">
        <v>52</v>
      </c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63" t="s">
        <v>53</v>
      </c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63" t="s">
        <v>52</v>
      </c>
      <c r="AI60" s="41"/>
      <c r="AJ60" s="41"/>
      <c r="AK60" s="41"/>
      <c r="AL60" s="41"/>
      <c r="AM60" s="63" t="s">
        <v>53</v>
      </c>
      <c r="AN60" s="41"/>
      <c r="AO60" s="41"/>
      <c r="AP60" s="39"/>
      <c r="AQ60" s="39"/>
      <c r="AR60" s="43"/>
      <c r="BE60" s="37"/>
    </row>
    <row r="61">
      <c r="B61" s="20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19"/>
    </row>
    <row r="62">
      <c r="B62" s="20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19"/>
    </row>
    <row r="63"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19"/>
    </row>
    <row r="64" s="2" customFormat="1">
      <c r="A64" s="37"/>
      <c r="B64" s="38"/>
      <c r="C64" s="39"/>
      <c r="D64" s="60" t="s">
        <v>54</v>
      </c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0" t="s">
        <v>55</v>
      </c>
      <c r="AI64" s="64"/>
      <c r="AJ64" s="64"/>
      <c r="AK64" s="64"/>
      <c r="AL64" s="64"/>
      <c r="AM64" s="64"/>
      <c r="AN64" s="64"/>
      <c r="AO64" s="64"/>
      <c r="AP64" s="39"/>
      <c r="AQ64" s="39"/>
      <c r="AR64" s="43"/>
      <c r="BE64" s="37"/>
    </row>
    <row r="65">
      <c r="B65" s="20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19"/>
    </row>
    <row r="66">
      <c r="B66" s="20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19"/>
    </row>
    <row r="67">
      <c r="B67" s="20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19"/>
    </row>
    <row r="68">
      <c r="B68" s="20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19"/>
    </row>
    <row r="69">
      <c r="B69" s="20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19"/>
    </row>
    <row r="70">
      <c r="B70" s="20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19"/>
    </row>
    <row r="71">
      <c r="B71" s="20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19"/>
    </row>
    <row r="72">
      <c r="B72" s="20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19"/>
    </row>
    <row r="73">
      <c r="B73" s="20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19"/>
    </row>
    <row r="74">
      <c r="B74" s="20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19"/>
    </row>
    <row r="75" s="2" customFormat="1">
      <c r="A75" s="37"/>
      <c r="B75" s="38"/>
      <c r="C75" s="39"/>
      <c r="D75" s="63" t="s">
        <v>52</v>
      </c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63" t="s">
        <v>53</v>
      </c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63" t="s">
        <v>52</v>
      </c>
      <c r="AI75" s="41"/>
      <c r="AJ75" s="41"/>
      <c r="AK75" s="41"/>
      <c r="AL75" s="41"/>
      <c r="AM75" s="63" t="s">
        <v>53</v>
      </c>
      <c r="AN75" s="41"/>
      <c r="AO75" s="41"/>
      <c r="AP75" s="39"/>
      <c r="AQ75" s="39"/>
      <c r="AR75" s="43"/>
      <c r="BE75" s="37"/>
    </row>
    <row r="76" s="2" customFormat="1">
      <c r="A76" s="37"/>
      <c r="B76" s="38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43"/>
      <c r="BE76" s="37"/>
    </row>
    <row r="77" s="2" customFormat="1" ht="6.96" customHeight="1">
      <c r="A77" s="37"/>
      <c r="B77" s="65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43"/>
      <c r="BE77" s="37"/>
    </row>
    <row r="81" s="2" customFormat="1" ht="6.96" customHeight="1">
      <c r="A81" s="37"/>
      <c r="B81" s="67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43"/>
      <c r="BE81" s="37"/>
    </row>
    <row r="82" s="2" customFormat="1" ht="24.96" customHeight="1">
      <c r="A82" s="37"/>
      <c r="B82" s="38"/>
      <c r="C82" s="22" t="s">
        <v>56</v>
      </c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43"/>
      <c r="BE82" s="37"/>
    </row>
    <row r="83" s="2" customFormat="1" ht="6.96" customHeight="1">
      <c r="A83" s="37"/>
      <c r="B83" s="38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43"/>
      <c r="BE83" s="37"/>
    </row>
    <row r="84" s="4" customFormat="1" ht="12" customHeight="1">
      <c r="A84" s="4"/>
      <c r="B84" s="69"/>
      <c r="C84" s="31" t="s">
        <v>14</v>
      </c>
      <c r="D84" s="70"/>
      <c r="E84" s="70"/>
      <c r="F84" s="70"/>
      <c r="G84" s="70"/>
      <c r="H84" s="70"/>
      <c r="I84" s="70"/>
      <c r="J84" s="70"/>
      <c r="K84" s="70"/>
      <c r="L84" s="70" t="str">
        <f>K5</f>
        <v>2025-015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1"/>
      <c r="BE84" s="4"/>
    </row>
    <row r="85" s="5" customFormat="1" ht="36.96" customHeight="1">
      <c r="A85" s="5"/>
      <c r="B85" s="72"/>
      <c r="C85" s="73" t="s">
        <v>17</v>
      </c>
      <c r="D85" s="74"/>
      <c r="E85" s="74"/>
      <c r="F85" s="74"/>
      <c r="G85" s="74"/>
      <c r="H85" s="74"/>
      <c r="I85" s="74"/>
      <c r="J85" s="74"/>
      <c r="K85" s="74"/>
      <c r="L85" s="75" t="str">
        <f>K6</f>
        <v>Areál společnosti FORESTINA s.r.o. Horažďovice, Blatenská 587</v>
      </c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6"/>
      <c r="BE85" s="5"/>
    </row>
    <row r="86" s="2" customFormat="1" ht="6.96" customHeight="1">
      <c r="A86" s="37"/>
      <c r="B86" s="38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43"/>
      <c r="BE86" s="37"/>
    </row>
    <row r="87" s="2" customFormat="1" ht="12" customHeight="1">
      <c r="A87" s="37"/>
      <c r="B87" s="38"/>
      <c r="C87" s="31" t="s">
        <v>21</v>
      </c>
      <c r="D87" s="39"/>
      <c r="E87" s="39"/>
      <c r="F87" s="39"/>
      <c r="G87" s="39"/>
      <c r="H87" s="39"/>
      <c r="I87" s="39"/>
      <c r="J87" s="39"/>
      <c r="K87" s="39"/>
      <c r="L87" s="77" t="str">
        <f>IF(K8="","",K8)</f>
        <v>Horažďovice</v>
      </c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1" t="s">
        <v>23</v>
      </c>
      <c r="AJ87" s="39"/>
      <c r="AK87" s="39"/>
      <c r="AL87" s="39"/>
      <c r="AM87" s="78" t="str">
        <f>IF(AN8= "","",AN8)</f>
        <v>26. 11. 2025</v>
      </c>
      <c r="AN87" s="78"/>
      <c r="AO87" s="39"/>
      <c r="AP87" s="39"/>
      <c r="AQ87" s="39"/>
      <c r="AR87" s="43"/>
      <c r="BE87" s="37"/>
    </row>
    <row r="88" s="2" customFormat="1" ht="6.96" customHeight="1">
      <c r="A88" s="37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43"/>
      <c r="BE88" s="37"/>
    </row>
    <row r="89" s="2" customFormat="1" ht="15.15" customHeight="1">
      <c r="A89" s="37"/>
      <c r="B89" s="38"/>
      <c r="C89" s="31" t="s">
        <v>25</v>
      </c>
      <c r="D89" s="39"/>
      <c r="E89" s="39"/>
      <c r="F89" s="39"/>
      <c r="G89" s="39"/>
      <c r="H89" s="39"/>
      <c r="I89" s="39"/>
      <c r="J89" s="39"/>
      <c r="K89" s="39"/>
      <c r="L89" s="70" t="str">
        <f>IF(E11= "","",E11)</f>
        <v>FORESTINA s.r.o.</v>
      </c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1" t="s">
        <v>31</v>
      </c>
      <c r="AJ89" s="39"/>
      <c r="AK89" s="39"/>
      <c r="AL89" s="39"/>
      <c r="AM89" s="79" t="str">
        <f>IF(E17="","",E17)</f>
        <v>STA projektový ateliér, s.r.o.</v>
      </c>
      <c r="AN89" s="70"/>
      <c r="AO89" s="70"/>
      <c r="AP89" s="70"/>
      <c r="AQ89" s="39"/>
      <c r="AR89" s="43"/>
      <c r="AS89" s="80" t="s">
        <v>57</v>
      </c>
      <c r="AT89" s="81"/>
      <c r="AU89" s="82"/>
      <c r="AV89" s="82"/>
      <c r="AW89" s="82"/>
      <c r="AX89" s="82"/>
      <c r="AY89" s="82"/>
      <c r="AZ89" s="82"/>
      <c r="BA89" s="82"/>
      <c r="BB89" s="82"/>
      <c r="BC89" s="82"/>
      <c r="BD89" s="83"/>
      <c r="BE89" s="37"/>
    </row>
    <row r="90" s="2" customFormat="1" ht="15.15" customHeight="1">
      <c r="A90" s="37"/>
      <c r="B90" s="38"/>
      <c r="C90" s="31" t="s">
        <v>29</v>
      </c>
      <c r="D90" s="39"/>
      <c r="E90" s="39"/>
      <c r="F90" s="39"/>
      <c r="G90" s="39"/>
      <c r="H90" s="39"/>
      <c r="I90" s="39"/>
      <c r="J90" s="39"/>
      <c r="K90" s="39"/>
      <c r="L90" s="70" t="str">
        <f>IF(E14= "Vyplň údaj","",E14)</f>
        <v/>
      </c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1" t="s">
        <v>34</v>
      </c>
      <c r="AJ90" s="39"/>
      <c r="AK90" s="39"/>
      <c r="AL90" s="39"/>
      <c r="AM90" s="79" t="str">
        <f>IF(E20="","",E20)</f>
        <v>Pavel Hrba</v>
      </c>
      <c r="AN90" s="70"/>
      <c r="AO90" s="70"/>
      <c r="AP90" s="70"/>
      <c r="AQ90" s="39"/>
      <c r="AR90" s="43"/>
      <c r="AS90" s="84"/>
      <c r="AT90" s="85"/>
      <c r="AU90" s="86"/>
      <c r="AV90" s="86"/>
      <c r="AW90" s="86"/>
      <c r="AX90" s="86"/>
      <c r="AY90" s="86"/>
      <c r="AZ90" s="86"/>
      <c r="BA90" s="86"/>
      <c r="BB90" s="86"/>
      <c r="BC90" s="86"/>
      <c r="BD90" s="87"/>
      <c r="BE90" s="37"/>
    </row>
    <row r="91" s="2" customFormat="1" ht="10.8" customHeight="1">
      <c r="A91" s="37"/>
      <c r="B91" s="38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43"/>
      <c r="AS91" s="88"/>
      <c r="AT91" s="89"/>
      <c r="AU91" s="90"/>
      <c r="AV91" s="90"/>
      <c r="AW91" s="90"/>
      <c r="AX91" s="90"/>
      <c r="AY91" s="90"/>
      <c r="AZ91" s="90"/>
      <c r="BA91" s="90"/>
      <c r="BB91" s="90"/>
      <c r="BC91" s="90"/>
      <c r="BD91" s="91"/>
      <c r="BE91" s="37"/>
    </row>
    <row r="92" s="2" customFormat="1" ht="29.28" customHeight="1">
      <c r="A92" s="37"/>
      <c r="B92" s="38"/>
      <c r="C92" s="92" t="s">
        <v>58</v>
      </c>
      <c r="D92" s="93"/>
      <c r="E92" s="93"/>
      <c r="F92" s="93"/>
      <c r="G92" s="93"/>
      <c r="H92" s="94"/>
      <c r="I92" s="95" t="s">
        <v>59</v>
      </c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6" t="s">
        <v>60</v>
      </c>
      <c r="AH92" s="93"/>
      <c r="AI92" s="93"/>
      <c r="AJ92" s="93"/>
      <c r="AK92" s="93"/>
      <c r="AL92" s="93"/>
      <c r="AM92" s="93"/>
      <c r="AN92" s="95" t="s">
        <v>61</v>
      </c>
      <c r="AO92" s="93"/>
      <c r="AP92" s="97"/>
      <c r="AQ92" s="98" t="s">
        <v>62</v>
      </c>
      <c r="AR92" s="43"/>
      <c r="AS92" s="99" t="s">
        <v>63</v>
      </c>
      <c r="AT92" s="100" t="s">
        <v>64</v>
      </c>
      <c r="AU92" s="100" t="s">
        <v>65</v>
      </c>
      <c r="AV92" s="100" t="s">
        <v>66</v>
      </c>
      <c r="AW92" s="100" t="s">
        <v>67</v>
      </c>
      <c r="AX92" s="100" t="s">
        <v>68</v>
      </c>
      <c r="AY92" s="100" t="s">
        <v>69</v>
      </c>
      <c r="AZ92" s="100" t="s">
        <v>70</v>
      </c>
      <c r="BA92" s="100" t="s">
        <v>71</v>
      </c>
      <c r="BB92" s="100" t="s">
        <v>72</v>
      </c>
      <c r="BC92" s="100" t="s">
        <v>73</v>
      </c>
      <c r="BD92" s="101" t="s">
        <v>74</v>
      </c>
      <c r="BE92" s="37"/>
    </row>
    <row r="93" s="2" customFormat="1" ht="10.8" customHeight="1">
      <c r="A93" s="37"/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43"/>
      <c r="AS93" s="102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4"/>
      <c r="BE93" s="37"/>
    </row>
    <row r="94" s="6" customFormat="1" ht="32.4" customHeight="1">
      <c r="A94" s="6"/>
      <c r="B94" s="105"/>
      <c r="C94" s="106" t="s">
        <v>75</v>
      </c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  <c r="AF94" s="107"/>
      <c r="AG94" s="108">
        <f>ROUND(SUM(AG95:AG102),0)</f>
        <v>0</v>
      </c>
      <c r="AH94" s="108"/>
      <c r="AI94" s="108"/>
      <c r="AJ94" s="108"/>
      <c r="AK94" s="108"/>
      <c r="AL94" s="108"/>
      <c r="AM94" s="108"/>
      <c r="AN94" s="109">
        <f>SUM(AG94,AT94)</f>
        <v>0</v>
      </c>
      <c r="AO94" s="109"/>
      <c r="AP94" s="109"/>
      <c r="AQ94" s="110" t="s">
        <v>1</v>
      </c>
      <c r="AR94" s="111"/>
      <c r="AS94" s="112">
        <f>ROUND(SUM(AS95:AS102),0)</f>
        <v>0</v>
      </c>
      <c r="AT94" s="113">
        <f>ROUND(SUM(AV94:AW94),0)</f>
        <v>0</v>
      </c>
      <c r="AU94" s="114">
        <f>ROUND(SUM(AU95:AU102),5)</f>
        <v>0</v>
      </c>
      <c r="AV94" s="113">
        <f>ROUND(AZ94*L29,0)</f>
        <v>0</v>
      </c>
      <c r="AW94" s="113">
        <f>ROUND(BA94*L30,0)</f>
        <v>0</v>
      </c>
      <c r="AX94" s="113">
        <f>ROUND(BB94*L29,0)</f>
        <v>0</v>
      </c>
      <c r="AY94" s="113">
        <f>ROUND(BC94*L30,0)</f>
        <v>0</v>
      </c>
      <c r="AZ94" s="113">
        <f>ROUND(SUM(AZ95:AZ102),0)</f>
        <v>0</v>
      </c>
      <c r="BA94" s="113">
        <f>ROUND(SUM(BA95:BA102),0)</f>
        <v>0</v>
      </c>
      <c r="BB94" s="113">
        <f>ROUND(SUM(BB95:BB102),0)</f>
        <v>0</v>
      </c>
      <c r="BC94" s="113">
        <f>ROUND(SUM(BC95:BC102),0)</f>
        <v>0</v>
      </c>
      <c r="BD94" s="115">
        <f>ROUND(SUM(BD95:BD102),0)</f>
        <v>0</v>
      </c>
      <c r="BE94" s="6"/>
      <c r="BS94" s="116" t="s">
        <v>76</v>
      </c>
      <c r="BT94" s="116" t="s">
        <v>77</v>
      </c>
      <c r="BU94" s="117" t="s">
        <v>78</v>
      </c>
      <c r="BV94" s="116" t="s">
        <v>79</v>
      </c>
      <c r="BW94" s="116" t="s">
        <v>5</v>
      </c>
      <c r="BX94" s="116" t="s">
        <v>80</v>
      </c>
      <c r="CL94" s="116" t="s">
        <v>1</v>
      </c>
    </row>
    <row r="95" s="7" customFormat="1" ht="16.5" customHeight="1">
      <c r="A95" s="118" t="s">
        <v>81</v>
      </c>
      <c r="B95" s="119"/>
      <c r="C95" s="120"/>
      <c r="D95" s="121" t="s">
        <v>82</v>
      </c>
      <c r="E95" s="121"/>
      <c r="F95" s="121"/>
      <c r="G95" s="121"/>
      <c r="H95" s="121"/>
      <c r="I95" s="122"/>
      <c r="J95" s="121" t="s">
        <v>83</v>
      </c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3">
        <f>'010 - Administrativní část'!J30</f>
        <v>0</v>
      </c>
      <c r="AH95" s="122"/>
      <c r="AI95" s="122"/>
      <c r="AJ95" s="122"/>
      <c r="AK95" s="122"/>
      <c r="AL95" s="122"/>
      <c r="AM95" s="122"/>
      <c r="AN95" s="123">
        <f>SUM(AG95,AT95)</f>
        <v>0</v>
      </c>
      <c r="AO95" s="122"/>
      <c r="AP95" s="122"/>
      <c r="AQ95" s="124" t="s">
        <v>84</v>
      </c>
      <c r="AR95" s="125"/>
      <c r="AS95" s="126">
        <v>0</v>
      </c>
      <c r="AT95" s="127">
        <f>ROUND(SUM(AV95:AW95),0)</f>
        <v>0</v>
      </c>
      <c r="AU95" s="128">
        <f>'010 - Administrativní část'!P142</f>
        <v>0</v>
      </c>
      <c r="AV95" s="127">
        <f>'010 - Administrativní část'!J33</f>
        <v>0</v>
      </c>
      <c r="AW95" s="127">
        <f>'010 - Administrativní část'!J34</f>
        <v>0</v>
      </c>
      <c r="AX95" s="127">
        <f>'010 - Administrativní část'!J35</f>
        <v>0</v>
      </c>
      <c r="AY95" s="127">
        <f>'010 - Administrativní část'!J36</f>
        <v>0</v>
      </c>
      <c r="AZ95" s="127">
        <f>'010 - Administrativní část'!F33</f>
        <v>0</v>
      </c>
      <c r="BA95" s="127">
        <f>'010 - Administrativní část'!F34</f>
        <v>0</v>
      </c>
      <c r="BB95" s="127">
        <f>'010 - Administrativní část'!F35</f>
        <v>0</v>
      </c>
      <c r="BC95" s="127">
        <f>'010 - Administrativní část'!F36</f>
        <v>0</v>
      </c>
      <c r="BD95" s="129">
        <f>'010 - Administrativní část'!F37</f>
        <v>0</v>
      </c>
      <c r="BE95" s="7"/>
      <c r="BT95" s="130" t="s">
        <v>8</v>
      </c>
      <c r="BV95" s="130" t="s">
        <v>79</v>
      </c>
      <c r="BW95" s="130" t="s">
        <v>85</v>
      </c>
      <c r="BX95" s="130" t="s">
        <v>5</v>
      </c>
      <c r="CL95" s="130" t="s">
        <v>1</v>
      </c>
      <c r="CM95" s="130" t="s">
        <v>86</v>
      </c>
    </row>
    <row r="96" s="7" customFormat="1" ht="16.5" customHeight="1">
      <c r="A96" s="118" t="s">
        <v>81</v>
      </c>
      <c r="B96" s="119"/>
      <c r="C96" s="120"/>
      <c r="D96" s="121" t="s">
        <v>87</v>
      </c>
      <c r="E96" s="121"/>
      <c r="F96" s="121"/>
      <c r="G96" s="121"/>
      <c r="H96" s="121"/>
      <c r="I96" s="122"/>
      <c r="J96" s="121" t="s">
        <v>88</v>
      </c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3">
        <f>'020 - Hala'!J30</f>
        <v>0</v>
      </c>
      <c r="AH96" s="122"/>
      <c r="AI96" s="122"/>
      <c r="AJ96" s="122"/>
      <c r="AK96" s="122"/>
      <c r="AL96" s="122"/>
      <c r="AM96" s="122"/>
      <c r="AN96" s="123">
        <f>SUM(AG96,AT96)</f>
        <v>0</v>
      </c>
      <c r="AO96" s="122"/>
      <c r="AP96" s="122"/>
      <c r="AQ96" s="124" t="s">
        <v>84</v>
      </c>
      <c r="AR96" s="125"/>
      <c r="AS96" s="126">
        <v>0</v>
      </c>
      <c r="AT96" s="127">
        <f>ROUND(SUM(AV96:AW96),0)</f>
        <v>0</v>
      </c>
      <c r="AU96" s="128">
        <f>'020 - Hala'!P132</f>
        <v>0</v>
      </c>
      <c r="AV96" s="127">
        <f>'020 - Hala'!J33</f>
        <v>0</v>
      </c>
      <c r="AW96" s="127">
        <f>'020 - Hala'!J34</f>
        <v>0</v>
      </c>
      <c r="AX96" s="127">
        <f>'020 - Hala'!J35</f>
        <v>0</v>
      </c>
      <c r="AY96" s="127">
        <f>'020 - Hala'!J36</f>
        <v>0</v>
      </c>
      <c r="AZ96" s="127">
        <f>'020 - Hala'!F33</f>
        <v>0</v>
      </c>
      <c r="BA96" s="127">
        <f>'020 - Hala'!F34</f>
        <v>0</v>
      </c>
      <c r="BB96" s="127">
        <f>'020 - Hala'!F35</f>
        <v>0</v>
      </c>
      <c r="BC96" s="127">
        <f>'020 - Hala'!F36</f>
        <v>0</v>
      </c>
      <c r="BD96" s="129">
        <f>'020 - Hala'!F37</f>
        <v>0</v>
      </c>
      <c r="BE96" s="7"/>
      <c r="BT96" s="130" t="s">
        <v>8</v>
      </c>
      <c r="BV96" s="130" t="s">
        <v>79</v>
      </c>
      <c r="BW96" s="130" t="s">
        <v>89</v>
      </c>
      <c r="BX96" s="130" t="s">
        <v>5</v>
      </c>
      <c r="CL96" s="130" t="s">
        <v>1</v>
      </c>
      <c r="CM96" s="130" t="s">
        <v>86</v>
      </c>
    </row>
    <row r="97" s="7" customFormat="1" ht="16.5" customHeight="1">
      <c r="A97" s="118" t="s">
        <v>81</v>
      </c>
      <c r="B97" s="119"/>
      <c r="C97" s="120"/>
      <c r="D97" s="121" t="s">
        <v>90</v>
      </c>
      <c r="E97" s="121"/>
      <c r="F97" s="121"/>
      <c r="G97" s="121"/>
      <c r="H97" s="121"/>
      <c r="I97" s="122"/>
      <c r="J97" s="121" t="s">
        <v>91</v>
      </c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  <c r="AF97" s="121"/>
      <c r="AG97" s="123">
        <f>'021 - Hala - markýzy VP9'!J30</f>
        <v>0</v>
      </c>
      <c r="AH97" s="122"/>
      <c r="AI97" s="122"/>
      <c r="AJ97" s="122"/>
      <c r="AK97" s="122"/>
      <c r="AL97" s="122"/>
      <c r="AM97" s="122"/>
      <c r="AN97" s="123">
        <f>SUM(AG97,AT97)</f>
        <v>0</v>
      </c>
      <c r="AO97" s="122"/>
      <c r="AP97" s="122"/>
      <c r="AQ97" s="124" t="s">
        <v>84</v>
      </c>
      <c r="AR97" s="125"/>
      <c r="AS97" s="126">
        <v>0</v>
      </c>
      <c r="AT97" s="127">
        <f>ROUND(SUM(AV97:AW97),0)</f>
        <v>0</v>
      </c>
      <c r="AU97" s="128">
        <f>'021 - Hala - markýzy VP9'!P119</f>
        <v>0</v>
      </c>
      <c r="AV97" s="127">
        <f>'021 - Hala - markýzy VP9'!J33</f>
        <v>0</v>
      </c>
      <c r="AW97" s="127">
        <f>'021 - Hala - markýzy VP9'!J34</f>
        <v>0</v>
      </c>
      <c r="AX97" s="127">
        <f>'021 - Hala - markýzy VP9'!J35</f>
        <v>0</v>
      </c>
      <c r="AY97" s="127">
        <f>'021 - Hala - markýzy VP9'!J36</f>
        <v>0</v>
      </c>
      <c r="AZ97" s="127">
        <f>'021 - Hala - markýzy VP9'!F33</f>
        <v>0</v>
      </c>
      <c r="BA97" s="127">
        <f>'021 - Hala - markýzy VP9'!F34</f>
        <v>0</v>
      </c>
      <c r="BB97" s="127">
        <f>'021 - Hala - markýzy VP9'!F35</f>
        <v>0</v>
      </c>
      <c r="BC97" s="127">
        <f>'021 - Hala - markýzy VP9'!F36</f>
        <v>0</v>
      </c>
      <c r="BD97" s="129">
        <f>'021 - Hala - markýzy VP9'!F37</f>
        <v>0</v>
      </c>
      <c r="BE97" s="7"/>
      <c r="BT97" s="130" t="s">
        <v>8</v>
      </c>
      <c r="BV97" s="130" t="s">
        <v>79</v>
      </c>
      <c r="BW97" s="130" t="s">
        <v>92</v>
      </c>
      <c r="BX97" s="130" t="s">
        <v>5</v>
      </c>
      <c r="CL97" s="130" t="s">
        <v>1</v>
      </c>
      <c r="CM97" s="130" t="s">
        <v>86</v>
      </c>
    </row>
    <row r="98" s="7" customFormat="1" ht="16.5" customHeight="1">
      <c r="A98" s="118" t="s">
        <v>81</v>
      </c>
      <c r="B98" s="119"/>
      <c r="C98" s="120"/>
      <c r="D98" s="121" t="s">
        <v>93</v>
      </c>
      <c r="E98" s="121"/>
      <c r="F98" s="121"/>
      <c r="G98" s="121"/>
      <c r="H98" s="121"/>
      <c r="I98" s="122"/>
      <c r="J98" s="121" t="s">
        <v>94</v>
      </c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3">
        <f>'030 - Venkovní úpravy'!J30</f>
        <v>0</v>
      </c>
      <c r="AH98" s="122"/>
      <c r="AI98" s="122"/>
      <c r="AJ98" s="122"/>
      <c r="AK98" s="122"/>
      <c r="AL98" s="122"/>
      <c r="AM98" s="122"/>
      <c r="AN98" s="123">
        <f>SUM(AG98,AT98)</f>
        <v>0</v>
      </c>
      <c r="AO98" s="122"/>
      <c r="AP98" s="122"/>
      <c r="AQ98" s="124" t="s">
        <v>84</v>
      </c>
      <c r="AR98" s="125"/>
      <c r="AS98" s="126">
        <v>0</v>
      </c>
      <c r="AT98" s="127">
        <f>ROUND(SUM(AV98:AW98),0)</f>
        <v>0</v>
      </c>
      <c r="AU98" s="128">
        <f>'030 - Venkovní úpravy'!P130</f>
        <v>0</v>
      </c>
      <c r="AV98" s="127">
        <f>'030 - Venkovní úpravy'!J33</f>
        <v>0</v>
      </c>
      <c r="AW98" s="127">
        <f>'030 - Venkovní úpravy'!J34</f>
        <v>0</v>
      </c>
      <c r="AX98" s="127">
        <f>'030 - Venkovní úpravy'!J35</f>
        <v>0</v>
      </c>
      <c r="AY98" s="127">
        <f>'030 - Venkovní úpravy'!J36</f>
        <v>0</v>
      </c>
      <c r="AZ98" s="127">
        <f>'030 - Venkovní úpravy'!F33</f>
        <v>0</v>
      </c>
      <c r="BA98" s="127">
        <f>'030 - Venkovní úpravy'!F34</f>
        <v>0</v>
      </c>
      <c r="BB98" s="127">
        <f>'030 - Venkovní úpravy'!F35</f>
        <v>0</v>
      </c>
      <c r="BC98" s="127">
        <f>'030 - Venkovní úpravy'!F36</f>
        <v>0</v>
      </c>
      <c r="BD98" s="129">
        <f>'030 - Venkovní úpravy'!F37</f>
        <v>0</v>
      </c>
      <c r="BE98" s="7"/>
      <c r="BT98" s="130" t="s">
        <v>8</v>
      </c>
      <c r="BV98" s="130" t="s">
        <v>79</v>
      </c>
      <c r="BW98" s="130" t="s">
        <v>95</v>
      </c>
      <c r="BX98" s="130" t="s">
        <v>5</v>
      </c>
      <c r="CL98" s="130" t="s">
        <v>1</v>
      </c>
      <c r="CM98" s="130" t="s">
        <v>86</v>
      </c>
    </row>
    <row r="99" s="7" customFormat="1" ht="24.75" customHeight="1">
      <c r="A99" s="118" t="s">
        <v>81</v>
      </c>
      <c r="B99" s="119"/>
      <c r="C99" s="120"/>
      <c r="D99" s="121" t="s">
        <v>96</v>
      </c>
      <c r="E99" s="121"/>
      <c r="F99" s="121"/>
      <c r="G99" s="121"/>
      <c r="H99" s="121"/>
      <c r="I99" s="122"/>
      <c r="J99" s="121" t="s">
        <v>97</v>
      </c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3">
        <f>'034 - Venkovní úpravy - p...'!J30</f>
        <v>0</v>
      </c>
      <c r="AH99" s="122"/>
      <c r="AI99" s="122"/>
      <c r="AJ99" s="122"/>
      <c r="AK99" s="122"/>
      <c r="AL99" s="122"/>
      <c r="AM99" s="122"/>
      <c r="AN99" s="123">
        <f>SUM(AG99,AT99)</f>
        <v>0</v>
      </c>
      <c r="AO99" s="122"/>
      <c r="AP99" s="122"/>
      <c r="AQ99" s="124" t="s">
        <v>84</v>
      </c>
      <c r="AR99" s="125"/>
      <c r="AS99" s="126">
        <v>0</v>
      </c>
      <c r="AT99" s="127">
        <f>ROUND(SUM(AV99:AW99),0)</f>
        <v>0</v>
      </c>
      <c r="AU99" s="128">
        <f>'034 - Venkovní úpravy - p...'!P124</f>
        <v>0</v>
      </c>
      <c r="AV99" s="127">
        <f>'034 - Venkovní úpravy - p...'!J33</f>
        <v>0</v>
      </c>
      <c r="AW99" s="127">
        <f>'034 - Venkovní úpravy - p...'!J34</f>
        <v>0</v>
      </c>
      <c r="AX99" s="127">
        <f>'034 - Venkovní úpravy - p...'!J35</f>
        <v>0</v>
      </c>
      <c r="AY99" s="127">
        <f>'034 - Venkovní úpravy - p...'!J36</f>
        <v>0</v>
      </c>
      <c r="AZ99" s="127">
        <f>'034 - Venkovní úpravy - p...'!F33</f>
        <v>0</v>
      </c>
      <c r="BA99" s="127">
        <f>'034 - Venkovní úpravy - p...'!F34</f>
        <v>0</v>
      </c>
      <c r="BB99" s="127">
        <f>'034 - Venkovní úpravy - p...'!F35</f>
        <v>0</v>
      </c>
      <c r="BC99" s="127">
        <f>'034 - Venkovní úpravy - p...'!F36</f>
        <v>0</v>
      </c>
      <c r="BD99" s="129">
        <f>'034 - Venkovní úpravy - p...'!F37</f>
        <v>0</v>
      </c>
      <c r="BE99" s="7"/>
      <c r="BT99" s="130" t="s">
        <v>8</v>
      </c>
      <c r="BV99" s="130" t="s">
        <v>79</v>
      </c>
      <c r="BW99" s="130" t="s">
        <v>98</v>
      </c>
      <c r="BX99" s="130" t="s">
        <v>5</v>
      </c>
      <c r="CL99" s="130" t="s">
        <v>1</v>
      </c>
      <c r="CM99" s="130" t="s">
        <v>86</v>
      </c>
    </row>
    <row r="100" s="7" customFormat="1" ht="16.5" customHeight="1">
      <c r="A100" s="118" t="s">
        <v>81</v>
      </c>
      <c r="B100" s="119"/>
      <c r="C100" s="120"/>
      <c r="D100" s="121" t="s">
        <v>99</v>
      </c>
      <c r="E100" s="121"/>
      <c r="F100" s="121"/>
      <c r="G100" s="121"/>
      <c r="H100" s="121"/>
      <c r="I100" s="122"/>
      <c r="J100" s="121" t="s">
        <v>100</v>
      </c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121"/>
      <c r="AF100" s="121"/>
      <c r="AG100" s="123">
        <f>'035 - Venkovní úpravy - p...'!J30</f>
        <v>0</v>
      </c>
      <c r="AH100" s="122"/>
      <c r="AI100" s="122"/>
      <c r="AJ100" s="122"/>
      <c r="AK100" s="122"/>
      <c r="AL100" s="122"/>
      <c r="AM100" s="122"/>
      <c r="AN100" s="123">
        <f>SUM(AG100,AT100)</f>
        <v>0</v>
      </c>
      <c r="AO100" s="122"/>
      <c r="AP100" s="122"/>
      <c r="AQ100" s="124" t="s">
        <v>84</v>
      </c>
      <c r="AR100" s="125"/>
      <c r="AS100" s="126">
        <v>0</v>
      </c>
      <c r="AT100" s="127">
        <f>ROUND(SUM(AV100:AW100),0)</f>
        <v>0</v>
      </c>
      <c r="AU100" s="128">
        <f>'035 - Venkovní úpravy - p...'!P124</f>
        <v>0</v>
      </c>
      <c r="AV100" s="127">
        <f>'035 - Venkovní úpravy - p...'!J33</f>
        <v>0</v>
      </c>
      <c r="AW100" s="127">
        <f>'035 - Venkovní úpravy - p...'!J34</f>
        <v>0</v>
      </c>
      <c r="AX100" s="127">
        <f>'035 - Venkovní úpravy - p...'!J35</f>
        <v>0</v>
      </c>
      <c r="AY100" s="127">
        <f>'035 - Venkovní úpravy - p...'!J36</f>
        <v>0</v>
      </c>
      <c r="AZ100" s="127">
        <f>'035 - Venkovní úpravy - p...'!F33</f>
        <v>0</v>
      </c>
      <c r="BA100" s="127">
        <f>'035 - Venkovní úpravy - p...'!F34</f>
        <v>0</v>
      </c>
      <c r="BB100" s="127">
        <f>'035 - Venkovní úpravy - p...'!F35</f>
        <v>0</v>
      </c>
      <c r="BC100" s="127">
        <f>'035 - Venkovní úpravy - p...'!F36</f>
        <v>0</v>
      </c>
      <c r="BD100" s="129">
        <f>'035 - Venkovní úpravy - p...'!F37</f>
        <v>0</v>
      </c>
      <c r="BE100" s="7"/>
      <c r="BT100" s="130" t="s">
        <v>8</v>
      </c>
      <c r="BV100" s="130" t="s">
        <v>79</v>
      </c>
      <c r="BW100" s="130" t="s">
        <v>101</v>
      </c>
      <c r="BX100" s="130" t="s">
        <v>5</v>
      </c>
      <c r="CL100" s="130" t="s">
        <v>1</v>
      </c>
      <c r="CM100" s="130" t="s">
        <v>86</v>
      </c>
    </row>
    <row r="101" s="7" customFormat="1" ht="16.5" customHeight="1">
      <c r="A101" s="118" t="s">
        <v>81</v>
      </c>
      <c r="B101" s="119"/>
      <c r="C101" s="120"/>
      <c r="D101" s="121" t="s">
        <v>102</v>
      </c>
      <c r="E101" s="121"/>
      <c r="F101" s="121"/>
      <c r="G101" s="121"/>
      <c r="H101" s="121"/>
      <c r="I101" s="122"/>
      <c r="J101" s="121" t="s">
        <v>103</v>
      </c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3">
        <f>'080 - Technické zařízení ...'!J30</f>
        <v>0</v>
      </c>
      <c r="AH101" s="122"/>
      <c r="AI101" s="122"/>
      <c r="AJ101" s="122"/>
      <c r="AK101" s="122"/>
      <c r="AL101" s="122"/>
      <c r="AM101" s="122"/>
      <c r="AN101" s="123">
        <f>SUM(AG101,AT101)</f>
        <v>0</v>
      </c>
      <c r="AO101" s="122"/>
      <c r="AP101" s="122"/>
      <c r="AQ101" s="124" t="s">
        <v>84</v>
      </c>
      <c r="AR101" s="125"/>
      <c r="AS101" s="126">
        <v>0</v>
      </c>
      <c r="AT101" s="127">
        <f>ROUND(SUM(AV101:AW101),0)</f>
        <v>0</v>
      </c>
      <c r="AU101" s="128">
        <f>'080 - Technické zařízení ...'!P118</f>
        <v>0</v>
      </c>
      <c r="AV101" s="127">
        <f>'080 - Technické zařízení ...'!J33</f>
        <v>0</v>
      </c>
      <c r="AW101" s="127">
        <f>'080 - Technické zařízení ...'!J34</f>
        <v>0</v>
      </c>
      <c r="AX101" s="127">
        <f>'080 - Technické zařízení ...'!J35</f>
        <v>0</v>
      </c>
      <c r="AY101" s="127">
        <f>'080 - Technické zařízení ...'!J36</f>
        <v>0</v>
      </c>
      <c r="AZ101" s="127">
        <f>'080 - Technické zařízení ...'!F33</f>
        <v>0</v>
      </c>
      <c r="BA101" s="127">
        <f>'080 - Technické zařízení ...'!F34</f>
        <v>0</v>
      </c>
      <c r="BB101" s="127">
        <f>'080 - Technické zařízení ...'!F35</f>
        <v>0</v>
      </c>
      <c r="BC101" s="127">
        <f>'080 - Technické zařízení ...'!F36</f>
        <v>0</v>
      </c>
      <c r="BD101" s="129">
        <f>'080 - Technické zařízení ...'!F37</f>
        <v>0</v>
      </c>
      <c r="BE101" s="7"/>
      <c r="BT101" s="130" t="s">
        <v>8</v>
      </c>
      <c r="BV101" s="130" t="s">
        <v>79</v>
      </c>
      <c r="BW101" s="130" t="s">
        <v>104</v>
      </c>
      <c r="BX101" s="130" t="s">
        <v>5</v>
      </c>
      <c r="CL101" s="130" t="s">
        <v>1</v>
      </c>
      <c r="CM101" s="130" t="s">
        <v>86</v>
      </c>
    </row>
    <row r="102" s="7" customFormat="1" ht="16.5" customHeight="1">
      <c r="A102" s="118" t="s">
        <v>81</v>
      </c>
      <c r="B102" s="119"/>
      <c r="C102" s="120"/>
      <c r="D102" s="121" t="s">
        <v>105</v>
      </c>
      <c r="E102" s="121"/>
      <c r="F102" s="121"/>
      <c r="G102" s="121"/>
      <c r="H102" s="121"/>
      <c r="I102" s="122"/>
      <c r="J102" s="121" t="s">
        <v>106</v>
      </c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3">
        <f>'090 - Vedlejší a ostatní ...'!J30</f>
        <v>0</v>
      </c>
      <c r="AH102" s="122"/>
      <c r="AI102" s="122"/>
      <c r="AJ102" s="122"/>
      <c r="AK102" s="122"/>
      <c r="AL102" s="122"/>
      <c r="AM102" s="122"/>
      <c r="AN102" s="123">
        <f>SUM(AG102,AT102)</f>
        <v>0</v>
      </c>
      <c r="AO102" s="122"/>
      <c r="AP102" s="122"/>
      <c r="AQ102" s="124" t="s">
        <v>84</v>
      </c>
      <c r="AR102" s="125"/>
      <c r="AS102" s="131">
        <v>0</v>
      </c>
      <c r="AT102" s="132">
        <f>ROUND(SUM(AV102:AW102),0)</f>
        <v>0</v>
      </c>
      <c r="AU102" s="133">
        <f>'090 - Vedlejší a ostatní ...'!P122</f>
        <v>0</v>
      </c>
      <c r="AV102" s="132">
        <f>'090 - Vedlejší a ostatní ...'!J33</f>
        <v>0</v>
      </c>
      <c r="AW102" s="132">
        <f>'090 - Vedlejší a ostatní ...'!J34</f>
        <v>0</v>
      </c>
      <c r="AX102" s="132">
        <f>'090 - Vedlejší a ostatní ...'!J35</f>
        <v>0</v>
      </c>
      <c r="AY102" s="132">
        <f>'090 - Vedlejší a ostatní ...'!J36</f>
        <v>0</v>
      </c>
      <c r="AZ102" s="132">
        <f>'090 - Vedlejší a ostatní ...'!F33</f>
        <v>0</v>
      </c>
      <c r="BA102" s="132">
        <f>'090 - Vedlejší a ostatní ...'!F34</f>
        <v>0</v>
      </c>
      <c r="BB102" s="132">
        <f>'090 - Vedlejší a ostatní ...'!F35</f>
        <v>0</v>
      </c>
      <c r="BC102" s="132">
        <f>'090 - Vedlejší a ostatní ...'!F36</f>
        <v>0</v>
      </c>
      <c r="BD102" s="134">
        <f>'090 - Vedlejší a ostatní ...'!F37</f>
        <v>0</v>
      </c>
      <c r="BE102" s="7"/>
      <c r="BT102" s="130" t="s">
        <v>8</v>
      </c>
      <c r="BV102" s="130" t="s">
        <v>79</v>
      </c>
      <c r="BW102" s="130" t="s">
        <v>107</v>
      </c>
      <c r="BX102" s="130" t="s">
        <v>5</v>
      </c>
      <c r="CL102" s="130" t="s">
        <v>1</v>
      </c>
      <c r="CM102" s="130" t="s">
        <v>86</v>
      </c>
    </row>
    <row r="103" s="2" customFormat="1" ht="30" customHeight="1">
      <c r="A103" s="37"/>
      <c r="B103" s="38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43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</row>
    <row r="104" s="2" customFormat="1" ht="6.96" customHeight="1">
      <c r="A104" s="37"/>
      <c r="B104" s="65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43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</row>
  </sheetData>
  <sheetProtection sheet="1" formatColumns="0" formatRows="0" objects="1" scenarios="1" spinCount="100000" saltValue="agtFxXT1XBQyaFAmjw30dXviHEhR9hVbFcxKBcTgS1LtoWUBxtzFvhms1buXkVXzh4OMl2rzWR5vh0wSsmy3DA==" hashValue="UsOt3BgSdr9mLBRuYQ9DbGeIrxKyYgPY/ifUZfK4eYNTHg/qsSeckkYEubE39zvifzwOXLO7k2c+JLjjea6K2A==" algorithmName="SHA-512" password="F695"/>
  <mergeCells count="70">
    <mergeCell ref="L85:AO85"/>
    <mergeCell ref="AM87:AN87"/>
    <mergeCell ref="AM89:AP89"/>
    <mergeCell ref="AS89:AT91"/>
    <mergeCell ref="AM90:AP90"/>
    <mergeCell ref="C92:G92"/>
    <mergeCell ref="AG92:AM92"/>
    <mergeCell ref="I92:AF92"/>
    <mergeCell ref="AN92:AP92"/>
    <mergeCell ref="D95:H95"/>
    <mergeCell ref="AG95:AM95"/>
    <mergeCell ref="J95:AF95"/>
    <mergeCell ref="AN95:AP95"/>
    <mergeCell ref="J96:AF96"/>
    <mergeCell ref="D96:H96"/>
    <mergeCell ref="AG96:AM96"/>
    <mergeCell ref="AN96:AP96"/>
    <mergeCell ref="AN97:AP97"/>
    <mergeCell ref="D97:H97"/>
    <mergeCell ref="J97:AF97"/>
    <mergeCell ref="AG97:AM97"/>
    <mergeCell ref="AN98:AP98"/>
    <mergeCell ref="AG98:AM98"/>
    <mergeCell ref="D98:H98"/>
    <mergeCell ref="J98:AF98"/>
    <mergeCell ref="AN99:AP99"/>
    <mergeCell ref="AG99:AM99"/>
    <mergeCell ref="D99:H99"/>
    <mergeCell ref="J99:AF99"/>
    <mergeCell ref="AN100:AP100"/>
    <mergeCell ref="AG100:AM100"/>
    <mergeCell ref="D100:H100"/>
    <mergeCell ref="J100:AF100"/>
    <mergeCell ref="AN101:AP101"/>
    <mergeCell ref="AG101:AM101"/>
    <mergeCell ref="D101:H101"/>
    <mergeCell ref="J101:AF101"/>
    <mergeCell ref="AN102:AP102"/>
    <mergeCell ref="AG102:AM102"/>
    <mergeCell ref="D102:H102"/>
    <mergeCell ref="J102:AF102"/>
    <mergeCell ref="AG94:AM94"/>
    <mergeCell ref="AN94:AP94"/>
    <mergeCell ref="BE5:BE34"/>
    <mergeCell ref="K5:AO5"/>
    <mergeCell ref="K6:AO6"/>
    <mergeCell ref="E14:AJ14"/>
    <mergeCell ref="E23:AN23"/>
    <mergeCell ref="AK26:AO26"/>
    <mergeCell ref="L28:P28"/>
    <mergeCell ref="W28:AE28"/>
    <mergeCell ref="AK28:AO28"/>
    <mergeCell ref="W29:AE29"/>
    <mergeCell ref="L29:P29"/>
    <mergeCell ref="AK29:AO29"/>
    <mergeCell ref="AK30:AO30"/>
    <mergeCell ref="L30:P30"/>
    <mergeCell ref="W30:AE30"/>
    <mergeCell ref="L31:P31"/>
    <mergeCell ref="W31:AE31"/>
    <mergeCell ref="AK31:AO31"/>
    <mergeCell ref="AK32:AO32"/>
    <mergeCell ref="L32:P32"/>
    <mergeCell ref="W32:AE32"/>
    <mergeCell ref="AK33:AO33"/>
    <mergeCell ref="L33:P33"/>
    <mergeCell ref="W33:AE33"/>
    <mergeCell ref="AK35:AO35"/>
    <mergeCell ref="X35:AB35"/>
    <mergeCell ref="AR2:BE2"/>
  </mergeCells>
  <hyperlinks>
    <hyperlink ref="A95" location="'010 - Administrativní část'!C2" display="/"/>
    <hyperlink ref="A96" location="'020 - Hala'!C2" display="/"/>
    <hyperlink ref="A97" location="'021 - Hala - markýzy VP9'!C2" display="/"/>
    <hyperlink ref="A98" location="'030 - Venkovní úpravy'!C2" display="/"/>
    <hyperlink ref="A99" location="'034 - Venkovní úpravy - p...'!C2" display="/"/>
    <hyperlink ref="A100" location="'035 - Venkovní úpravy - p...'!C2" display="/"/>
    <hyperlink ref="A101" location="'080 - Technické zařízení ...'!C2" display="/"/>
    <hyperlink ref="A102" location="'090 - Vedlejší a ostatní ...'!C2" display="/"/>
  </hyperlink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50.83203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hidden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6" t="s">
        <v>85</v>
      </c>
    </row>
    <row r="3" s="1" customFormat="1" ht="6.96" customHeight="1">
      <c r="B3" s="135"/>
      <c r="C3" s="136"/>
      <c r="D3" s="136"/>
      <c r="E3" s="136"/>
      <c r="F3" s="136"/>
      <c r="G3" s="136"/>
      <c r="H3" s="136"/>
      <c r="I3" s="136"/>
      <c r="J3" s="136"/>
      <c r="K3" s="136"/>
      <c r="L3" s="19"/>
      <c r="AT3" s="16" t="s">
        <v>86</v>
      </c>
    </row>
    <row r="4" s="1" customFormat="1" ht="24.96" customHeight="1">
      <c r="B4" s="19"/>
      <c r="D4" s="137" t="s">
        <v>108</v>
      </c>
      <c r="L4" s="19"/>
      <c r="M4" s="138" t="s">
        <v>11</v>
      </c>
      <c r="AT4" s="16" t="s">
        <v>4</v>
      </c>
    </row>
    <row r="5" s="1" customFormat="1" ht="6.96" customHeight="1">
      <c r="B5" s="19"/>
      <c r="L5" s="19"/>
    </row>
    <row r="6" s="1" customFormat="1" ht="12" customHeight="1">
      <c r="B6" s="19"/>
      <c r="D6" s="139" t="s">
        <v>17</v>
      </c>
      <c r="L6" s="19"/>
    </row>
    <row r="7" s="1" customFormat="1" ht="16.5" customHeight="1">
      <c r="B7" s="19"/>
      <c r="E7" s="140" t="str">
        <f>'Rekapitulace stavby'!K6</f>
        <v>Areál společnosti FORESTINA s.r.o. Horažďovice, Blatenská 587</v>
      </c>
      <c r="F7" s="139"/>
      <c r="G7" s="139"/>
      <c r="H7" s="139"/>
      <c r="L7" s="19"/>
    </row>
    <row r="8" s="2" customFormat="1" ht="12" customHeight="1">
      <c r="A8" s="37"/>
      <c r="B8" s="43"/>
      <c r="C8" s="37"/>
      <c r="D8" s="139" t="s">
        <v>109</v>
      </c>
      <c r="E8" s="37"/>
      <c r="F8" s="37"/>
      <c r="G8" s="37"/>
      <c r="H8" s="37"/>
      <c r="I8" s="37"/>
      <c r="J8" s="37"/>
      <c r="K8" s="37"/>
      <c r="L8" s="62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</row>
    <row r="9" s="2" customFormat="1" ht="16.5" customHeight="1">
      <c r="A9" s="37"/>
      <c r="B9" s="43"/>
      <c r="C9" s="37"/>
      <c r="D9" s="37"/>
      <c r="E9" s="141" t="s">
        <v>110</v>
      </c>
      <c r="F9" s="37"/>
      <c r="G9" s="37"/>
      <c r="H9" s="37"/>
      <c r="I9" s="37"/>
      <c r="J9" s="37"/>
      <c r="K9" s="37"/>
      <c r="L9" s="62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</row>
    <row r="10" s="2" customFormat="1">
      <c r="A10" s="37"/>
      <c r="B10" s="43"/>
      <c r="C10" s="37"/>
      <c r="D10" s="37"/>
      <c r="E10" s="37"/>
      <c r="F10" s="37"/>
      <c r="G10" s="37"/>
      <c r="H10" s="37"/>
      <c r="I10" s="37"/>
      <c r="J10" s="37"/>
      <c r="K10" s="37"/>
      <c r="L10" s="62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</row>
    <row r="11" s="2" customFormat="1" ht="12" customHeight="1">
      <c r="A11" s="37"/>
      <c r="B11" s="43"/>
      <c r="C11" s="37"/>
      <c r="D11" s="139" t="s">
        <v>19</v>
      </c>
      <c r="E11" s="37"/>
      <c r="F11" s="142" t="s">
        <v>1</v>
      </c>
      <c r="G11" s="37"/>
      <c r="H11" s="37"/>
      <c r="I11" s="139" t="s">
        <v>20</v>
      </c>
      <c r="J11" s="142" t="s">
        <v>1</v>
      </c>
      <c r="K11" s="37"/>
      <c r="L11" s="62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</row>
    <row r="12" s="2" customFormat="1" ht="12" customHeight="1">
      <c r="A12" s="37"/>
      <c r="B12" s="43"/>
      <c r="C12" s="37"/>
      <c r="D12" s="139" t="s">
        <v>21</v>
      </c>
      <c r="E12" s="37"/>
      <c r="F12" s="142" t="s">
        <v>22</v>
      </c>
      <c r="G12" s="37"/>
      <c r="H12" s="37"/>
      <c r="I12" s="139" t="s">
        <v>23</v>
      </c>
      <c r="J12" s="143" t="str">
        <f>'Rekapitulace stavby'!AN8</f>
        <v>26. 11. 2025</v>
      </c>
      <c r="K12" s="37"/>
      <c r="L12" s="62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</row>
    <row r="13" s="2" customFormat="1" ht="10.8" customHeight="1">
      <c r="A13" s="37"/>
      <c r="B13" s="43"/>
      <c r="C13" s="37"/>
      <c r="D13" s="37"/>
      <c r="E13" s="37"/>
      <c r="F13" s="37"/>
      <c r="G13" s="37"/>
      <c r="H13" s="37"/>
      <c r="I13" s="37"/>
      <c r="J13" s="37"/>
      <c r="K13" s="37"/>
      <c r="L13" s="62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</row>
    <row r="14" s="2" customFormat="1" ht="12" customHeight="1">
      <c r="A14" s="37"/>
      <c r="B14" s="43"/>
      <c r="C14" s="37"/>
      <c r="D14" s="139" t="s">
        <v>25</v>
      </c>
      <c r="E14" s="37"/>
      <c r="F14" s="37"/>
      <c r="G14" s="37"/>
      <c r="H14" s="37"/>
      <c r="I14" s="139" t="s">
        <v>26</v>
      </c>
      <c r="J14" s="142" t="s">
        <v>1</v>
      </c>
      <c r="K14" s="37"/>
      <c r="L14" s="62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</row>
    <row r="15" s="2" customFormat="1" ht="18" customHeight="1">
      <c r="A15" s="37"/>
      <c r="B15" s="43"/>
      <c r="C15" s="37"/>
      <c r="D15" s="37"/>
      <c r="E15" s="142" t="s">
        <v>27</v>
      </c>
      <c r="F15" s="37"/>
      <c r="G15" s="37"/>
      <c r="H15" s="37"/>
      <c r="I15" s="139" t="s">
        <v>28</v>
      </c>
      <c r="J15" s="142" t="s">
        <v>1</v>
      </c>
      <c r="K15" s="37"/>
      <c r="L15" s="62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</row>
    <row r="16" s="2" customFormat="1" ht="6.96" customHeight="1">
      <c r="A16" s="37"/>
      <c r="B16" s="43"/>
      <c r="C16" s="37"/>
      <c r="D16" s="37"/>
      <c r="E16" s="37"/>
      <c r="F16" s="37"/>
      <c r="G16" s="37"/>
      <c r="H16" s="37"/>
      <c r="I16" s="37"/>
      <c r="J16" s="37"/>
      <c r="K16" s="37"/>
      <c r="L16" s="62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</row>
    <row r="17" s="2" customFormat="1" ht="12" customHeight="1">
      <c r="A17" s="37"/>
      <c r="B17" s="43"/>
      <c r="C17" s="37"/>
      <c r="D17" s="139" t="s">
        <v>29</v>
      </c>
      <c r="E17" s="37"/>
      <c r="F17" s="37"/>
      <c r="G17" s="37"/>
      <c r="H17" s="37"/>
      <c r="I17" s="139" t="s">
        <v>26</v>
      </c>
      <c r="J17" s="32" t="str">
        <f>'Rekapitulace stavby'!AN13</f>
        <v>Vyplň údaj</v>
      </c>
      <c r="K17" s="37"/>
      <c r="L17" s="62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</row>
    <row r="18" s="2" customFormat="1" ht="18" customHeight="1">
      <c r="A18" s="37"/>
      <c r="B18" s="43"/>
      <c r="C18" s="37"/>
      <c r="D18" s="37"/>
      <c r="E18" s="32" t="str">
        <f>'Rekapitulace stavby'!E14</f>
        <v>Vyplň údaj</v>
      </c>
      <c r="F18" s="142"/>
      <c r="G18" s="142"/>
      <c r="H18" s="142"/>
      <c r="I18" s="139" t="s">
        <v>28</v>
      </c>
      <c r="J18" s="32" t="str">
        <f>'Rekapitulace stavby'!AN14</f>
        <v>Vyplň údaj</v>
      </c>
      <c r="K18" s="37"/>
      <c r="L18" s="62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</row>
    <row r="19" s="2" customFormat="1" ht="6.96" customHeight="1">
      <c r="A19" s="37"/>
      <c r="B19" s="43"/>
      <c r="C19" s="37"/>
      <c r="D19" s="37"/>
      <c r="E19" s="37"/>
      <c r="F19" s="37"/>
      <c r="G19" s="37"/>
      <c r="H19" s="37"/>
      <c r="I19" s="37"/>
      <c r="J19" s="37"/>
      <c r="K19" s="37"/>
      <c r="L19" s="62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</row>
    <row r="20" s="2" customFormat="1" ht="12" customHeight="1">
      <c r="A20" s="37"/>
      <c r="B20" s="43"/>
      <c r="C20" s="37"/>
      <c r="D20" s="139" t="s">
        <v>31</v>
      </c>
      <c r="E20" s="37"/>
      <c r="F20" s="37"/>
      <c r="G20" s="37"/>
      <c r="H20" s="37"/>
      <c r="I20" s="139" t="s">
        <v>26</v>
      </c>
      <c r="J20" s="142" t="s">
        <v>1</v>
      </c>
      <c r="K20" s="37"/>
      <c r="L20" s="62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</row>
    <row r="21" s="2" customFormat="1" ht="18" customHeight="1">
      <c r="A21" s="37"/>
      <c r="B21" s="43"/>
      <c r="C21" s="37"/>
      <c r="D21" s="37"/>
      <c r="E21" s="142" t="s">
        <v>33</v>
      </c>
      <c r="F21" s="37"/>
      <c r="G21" s="37"/>
      <c r="H21" s="37"/>
      <c r="I21" s="139" t="s">
        <v>28</v>
      </c>
      <c r="J21" s="142" t="s">
        <v>1</v>
      </c>
      <c r="K21" s="37"/>
      <c r="L21" s="62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</row>
    <row r="22" s="2" customFormat="1" ht="6.96" customHeight="1">
      <c r="A22" s="37"/>
      <c r="B22" s="43"/>
      <c r="C22" s="37"/>
      <c r="D22" s="37"/>
      <c r="E22" s="37"/>
      <c r="F22" s="37"/>
      <c r="G22" s="37"/>
      <c r="H22" s="37"/>
      <c r="I22" s="37"/>
      <c r="J22" s="37"/>
      <c r="K22" s="37"/>
      <c r="L22" s="62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</row>
    <row r="23" s="2" customFormat="1" ht="12" customHeight="1">
      <c r="A23" s="37"/>
      <c r="B23" s="43"/>
      <c r="C23" s="37"/>
      <c r="D23" s="139" t="s">
        <v>34</v>
      </c>
      <c r="E23" s="37"/>
      <c r="F23" s="37"/>
      <c r="G23" s="37"/>
      <c r="H23" s="37"/>
      <c r="I23" s="139" t="s">
        <v>26</v>
      </c>
      <c r="J23" s="142" t="s">
        <v>1</v>
      </c>
      <c r="K23" s="37"/>
      <c r="L23" s="62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</row>
    <row r="24" s="2" customFormat="1" ht="18" customHeight="1">
      <c r="A24" s="37"/>
      <c r="B24" s="43"/>
      <c r="C24" s="37"/>
      <c r="D24" s="37"/>
      <c r="E24" s="142" t="s">
        <v>35</v>
      </c>
      <c r="F24" s="37"/>
      <c r="G24" s="37"/>
      <c r="H24" s="37"/>
      <c r="I24" s="139" t="s">
        <v>28</v>
      </c>
      <c r="J24" s="142" t="s">
        <v>1</v>
      </c>
      <c r="K24" s="37"/>
      <c r="L24" s="62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</row>
    <row r="25" s="2" customFormat="1" ht="6.96" customHeight="1">
      <c r="A25" s="37"/>
      <c r="B25" s="43"/>
      <c r="C25" s="37"/>
      <c r="D25" s="37"/>
      <c r="E25" s="37"/>
      <c r="F25" s="37"/>
      <c r="G25" s="37"/>
      <c r="H25" s="37"/>
      <c r="I25" s="37"/>
      <c r="J25" s="37"/>
      <c r="K25" s="37"/>
      <c r="L25" s="62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</row>
    <row r="26" s="2" customFormat="1" ht="12" customHeight="1">
      <c r="A26" s="37"/>
      <c r="B26" s="43"/>
      <c r="C26" s="37"/>
      <c r="D26" s="139" t="s">
        <v>36</v>
      </c>
      <c r="E26" s="37"/>
      <c r="F26" s="37"/>
      <c r="G26" s="37"/>
      <c r="H26" s="37"/>
      <c r="I26" s="37"/>
      <c r="J26" s="37"/>
      <c r="K26" s="37"/>
      <c r="L26" s="62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</row>
    <row r="27" s="8" customFormat="1" ht="16.5" customHeight="1">
      <c r="A27" s="144"/>
      <c r="B27" s="145"/>
      <c r="C27" s="144"/>
      <c r="D27" s="144"/>
      <c r="E27" s="146" t="s">
        <v>1</v>
      </c>
      <c r="F27" s="146"/>
      <c r="G27" s="146"/>
      <c r="H27" s="146"/>
      <c r="I27" s="144"/>
      <c r="J27" s="144"/>
      <c r="K27" s="144"/>
      <c r="L27" s="147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</row>
    <row r="28" s="2" customFormat="1" ht="6.96" customHeight="1">
      <c r="A28" s="37"/>
      <c r="B28" s="43"/>
      <c r="C28" s="37"/>
      <c r="D28" s="37"/>
      <c r="E28" s="37"/>
      <c r="F28" s="37"/>
      <c r="G28" s="37"/>
      <c r="H28" s="37"/>
      <c r="I28" s="37"/>
      <c r="J28" s="37"/>
      <c r="K28" s="37"/>
      <c r="L28" s="62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</row>
    <row r="29" s="2" customFormat="1" ht="6.96" customHeight="1">
      <c r="A29" s="37"/>
      <c r="B29" s="43"/>
      <c r="C29" s="37"/>
      <c r="D29" s="148"/>
      <c r="E29" s="148"/>
      <c r="F29" s="148"/>
      <c r="G29" s="148"/>
      <c r="H29" s="148"/>
      <c r="I29" s="148"/>
      <c r="J29" s="148"/>
      <c r="K29" s="148"/>
      <c r="L29" s="62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</row>
    <row r="30" s="2" customFormat="1" ht="25.44" customHeight="1">
      <c r="A30" s="37"/>
      <c r="B30" s="43"/>
      <c r="C30" s="37"/>
      <c r="D30" s="149" t="s">
        <v>37</v>
      </c>
      <c r="E30" s="37"/>
      <c r="F30" s="37"/>
      <c r="G30" s="37"/>
      <c r="H30" s="37"/>
      <c r="I30" s="37"/>
      <c r="J30" s="150">
        <f>ROUND(J142, 0)</f>
        <v>0</v>
      </c>
      <c r="K30" s="37"/>
      <c r="L30" s="62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</row>
    <row r="31" s="2" customFormat="1" ht="6.96" customHeight="1">
      <c r="A31" s="37"/>
      <c r="B31" s="43"/>
      <c r="C31" s="37"/>
      <c r="D31" s="148"/>
      <c r="E31" s="148"/>
      <c r="F31" s="148"/>
      <c r="G31" s="148"/>
      <c r="H31" s="148"/>
      <c r="I31" s="148"/>
      <c r="J31" s="148"/>
      <c r="K31" s="148"/>
      <c r="L31" s="62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</row>
    <row r="32" s="2" customFormat="1" ht="14.4" customHeight="1">
      <c r="A32" s="37"/>
      <c r="B32" s="43"/>
      <c r="C32" s="37"/>
      <c r="D32" s="37"/>
      <c r="E32" s="37"/>
      <c r="F32" s="151" t="s">
        <v>39</v>
      </c>
      <c r="G32" s="37"/>
      <c r="H32" s="37"/>
      <c r="I32" s="151" t="s">
        <v>38</v>
      </c>
      <c r="J32" s="151" t="s">
        <v>40</v>
      </c>
      <c r="K32" s="37"/>
      <c r="L32" s="62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</row>
    <row r="33" s="2" customFormat="1" ht="14.4" customHeight="1">
      <c r="A33" s="37"/>
      <c r="B33" s="43"/>
      <c r="C33" s="37"/>
      <c r="D33" s="152" t="s">
        <v>41</v>
      </c>
      <c r="E33" s="139" t="s">
        <v>42</v>
      </c>
      <c r="F33" s="153">
        <f>ROUND((SUM(BE142:BE894)),  0)</f>
        <v>0</v>
      </c>
      <c r="G33" s="37"/>
      <c r="H33" s="37"/>
      <c r="I33" s="154">
        <v>0.20999999999999999</v>
      </c>
      <c r="J33" s="153">
        <f>ROUND(((SUM(BE142:BE894))*I33),  0)</f>
        <v>0</v>
      </c>
      <c r="K33" s="37"/>
      <c r="L33" s="62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</row>
    <row r="34" s="2" customFormat="1" ht="14.4" customHeight="1">
      <c r="A34" s="37"/>
      <c r="B34" s="43"/>
      <c r="C34" s="37"/>
      <c r="D34" s="37"/>
      <c r="E34" s="139" t="s">
        <v>43</v>
      </c>
      <c r="F34" s="153">
        <f>ROUND((SUM(BF142:BF894)),  0)</f>
        <v>0</v>
      </c>
      <c r="G34" s="37"/>
      <c r="H34" s="37"/>
      <c r="I34" s="154">
        <v>0.12</v>
      </c>
      <c r="J34" s="153">
        <f>ROUND(((SUM(BF142:BF894))*I34),  0)</f>
        <v>0</v>
      </c>
      <c r="K34" s="37"/>
      <c r="L34" s="62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</row>
    <row r="35" hidden="1" s="2" customFormat="1" ht="14.4" customHeight="1">
      <c r="A35" s="37"/>
      <c r="B35" s="43"/>
      <c r="C35" s="37"/>
      <c r="D35" s="37"/>
      <c r="E35" s="139" t="s">
        <v>44</v>
      </c>
      <c r="F35" s="153">
        <f>ROUND((SUM(BG142:BG894)),  0)</f>
        <v>0</v>
      </c>
      <c r="G35" s="37"/>
      <c r="H35" s="37"/>
      <c r="I35" s="154">
        <v>0.20999999999999999</v>
      </c>
      <c r="J35" s="153">
        <f>0</f>
        <v>0</v>
      </c>
      <c r="K35" s="37"/>
      <c r="L35" s="62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</row>
    <row r="36" hidden="1" s="2" customFormat="1" ht="14.4" customHeight="1">
      <c r="A36" s="37"/>
      <c r="B36" s="43"/>
      <c r="C36" s="37"/>
      <c r="D36" s="37"/>
      <c r="E36" s="139" t="s">
        <v>45</v>
      </c>
      <c r="F36" s="153">
        <f>ROUND((SUM(BH142:BH894)),  0)</f>
        <v>0</v>
      </c>
      <c r="G36" s="37"/>
      <c r="H36" s="37"/>
      <c r="I36" s="154">
        <v>0.12</v>
      </c>
      <c r="J36" s="153">
        <f>0</f>
        <v>0</v>
      </c>
      <c r="K36" s="37"/>
      <c r="L36" s="62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</row>
    <row r="37" hidden="1" s="2" customFormat="1" ht="14.4" customHeight="1">
      <c r="A37" s="37"/>
      <c r="B37" s="43"/>
      <c r="C37" s="37"/>
      <c r="D37" s="37"/>
      <c r="E37" s="139" t="s">
        <v>46</v>
      </c>
      <c r="F37" s="153">
        <f>ROUND((SUM(BI142:BI894)),  0)</f>
        <v>0</v>
      </c>
      <c r="G37" s="37"/>
      <c r="H37" s="37"/>
      <c r="I37" s="154">
        <v>0</v>
      </c>
      <c r="J37" s="153">
        <f>0</f>
        <v>0</v>
      </c>
      <c r="K37" s="37"/>
      <c r="L37" s="62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</row>
    <row r="38" s="2" customFormat="1" ht="6.96" customHeight="1">
      <c r="A38" s="37"/>
      <c r="B38" s="43"/>
      <c r="C38" s="37"/>
      <c r="D38" s="37"/>
      <c r="E38" s="37"/>
      <c r="F38" s="37"/>
      <c r="G38" s="37"/>
      <c r="H38" s="37"/>
      <c r="I38" s="37"/>
      <c r="J38" s="37"/>
      <c r="K38" s="37"/>
      <c r="L38" s="62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</row>
    <row r="39" s="2" customFormat="1" ht="25.44" customHeight="1">
      <c r="A39" s="37"/>
      <c r="B39" s="43"/>
      <c r="C39" s="155"/>
      <c r="D39" s="156" t="s">
        <v>47</v>
      </c>
      <c r="E39" s="157"/>
      <c r="F39" s="157"/>
      <c r="G39" s="158" t="s">
        <v>48</v>
      </c>
      <c r="H39" s="159" t="s">
        <v>49</v>
      </c>
      <c r="I39" s="157"/>
      <c r="J39" s="160">
        <f>SUM(J30:J37)</f>
        <v>0</v>
      </c>
      <c r="K39" s="161"/>
      <c r="L39" s="62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</row>
    <row r="40" s="2" customFormat="1" ht="14.4" customHeight="1">
      <c r="A40" s="37"/>
      <c r="B40" s="43"/>
      <c r="C40" s="37"/>
      <c r="D40" s="37"/>
      <c r="E40" s="37"/>
      <c r="F40" s="37"/>
      <c r="G40" s="37"/>
      <c r="H40" s="37"/>
      <c r="I40" s="37"/>
      <c r="J40" s="37"/>
      <c r="K40" s="37"/>
      <c r="L40" s="62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</row>
    <row r="41" s="1" customFormat="1" ht="14.4" customHeight="1">
      <c r="B41" s="19"/>
      <c r="L41" s="19"/>
    </row>
    <row r="42" s="1" customFormat="1" ht="14.4" customHeight="1">
      <c r="B42" s="19"/>
      <c r="L42" s="19"/>
    </row>
    <row r="43" s="1" customFormat="1" ht="14.4" customHeight="1">
      <c r="B43" s="19"/>
      <c r="L43" s="19"/>
    </row>
    <row r="44" s="1" customFormat="1" ht="14.4" customHeight="1">
      <c r="B44" s="19"/>
      <c r="L44" s="19"/>
    </row>
    <row r="45" s="1" customFormat="1" ht="14.4" customHeight="1">
      <c r="B45" s="19"/>
      <c r="L45" s="19"/>
    </row>
    <row r="46" s="1" customFormat="1" ht="14.4" customHeight="1">
      <c r="B46" s="19"/>
      <c r="L46" s="19"/>
    </row>
    <row r="47" s="1" customFormat="1" ht="14.4" customHeight="1">
      <c r="B47" s="19"/>
      <c r="L47" s="19"/>
    </row>
    <row r="48" s="1" customFormat="1" ht="14.4" customHeight="1">
      <c r="B48" s="19"/>
      <c r="L48" s="19"/>
    </row>
    <row r="49" s="1" customFormat="1" ht="14.4" customHeight="1">
      <c r="B49" s="19"/>
      <c r="L49" s="19"/>
    </row>
    <row r="50" s="2" customFormat="1" ht="14.4" customHeight="1">
      <c r="B50" s="62"/>
      <c r="D50" s="162" t="s">
        <v>50</v>
      </c>
      <c r="E50" s="163"/>
      <c r="F50" s="163"/>
      <c r="G50" s="162" t="s">
        <v>51</v>
      </c>
      <c r="H50" s="163"/>
      <c r="I50" s="163"/>
      <c r="J50" s="163"/>
      <c r="K50" s="163"/>
      <c r="L50" s="62"/>
    </row>
    <row r="51">
      <c r="B51" s="19"/>
      <c r="L51" s="19"/>
    </row>
    <row r="52">
      <c r="B52" s="19"/>
      <c r="L52" s="19"/>
    </row>
    <row r="53">
      <c r="B53" s="19"/>
      <c r="L53" s="19"/>
    </row>
    <row r="54">
      <c r="B54" s="19"/>
      <c r="L54" s="19"/>
    </row>
    <row r="55">
      <c r="B55" s="19"/>
      <c r="L55" s="19"/>
    </row>
    <row r="56">
      <c r="B56" s="19"/>
      <c r="L56" s="19"/>
    </row>
    <row r="57">
      <c r="B57" s="19"/>
      <c r="L57" s="19"/>
    </row>
    <row r="58">
      <c r="B58" s="19"/>
      <c r="L58" s="19"/>
    </row>
    <row r="59">
      <c r="B59" s="19"/>
      <c r="L59" s="19"/>
    </row>
    <row r="60">
      <c r="B60" s="19"/>
      <c r="L60" s="19"/>
    </row>
    <row r="61" s="2" customFormat="1">
      <c r="A61" s="37"/>
      <c r="B61" s="43"/>
      <c r="C61" s="37"/>
      <c r="D61" s="164" t="s">
        <v>52</v>
      </c>
      <c r="E61" s="165"/>
      <c r="F61" s="166" t="s">
        <v>53</v>
      </c>
      <c r="G61" s="164" t="s">
        <v>52</v>
      </c>
      <c r="H61" s="165"/>
      <c r="I61" s="165"/>
      <c r="J61" s="167" t="s">
        <v>53</v>
      </c>
      <c r="K61" s="165"/>
      <c r="L61" s="62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</row>
    <row r="62">
      <c r="B62" s="19"/>
      <c r="L62" s="19"/>
    </row>
    <row r="63">
      <c r="B63" s="19"/>
      <c r="L63" s="19"/>
    </row>
    <row r="64">
      <c r="B64" s="19"/>
      <c r="L64" s="19"/>
    </row>
    <row r="65" s="2" customFormat="1">
      <c r="A65" s="37"/>
      <c r="B65" s="43"/>
      <c r="C65" s="37"/>
      <c r="D65" s="162" t="s">
        <v>54</v>
      </c>
      <c r="E65" s="168"/>
      <c r="F65" s="168"/>
      <c r="G65" s="162" t="s">
        <v>55</v>
      </c>
      <c r="H65" s="168"/>
      <c r="I65" s="168"/>
      <c r="J65" s="168"/>
      <c r="K65" s="168"/>
      <c r="L65" s="62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</row>
    <row r="66">
      <c r="B66" s="19"/>
      <c r="L66" s="19"/>
    </row>
    <row r="67">
      <c r="B67" s="19"/>
      <c r="L67" s="19"/>
    </row>
    <row r="68">
      <c r="B68" s="19"/>
      <c r="L68" s="19"/>
    </row>
    <row r="69">
      <c r="B69" s="19"/>
      <c r="L69" s="19"/>
    </row>
    <row r="70">
      <c r="B70" s="19"/>
      <c r="L70" s="19"/>
    </row>
    <row r="71">
      <c r="B71" s="19"/>
      <c r="L71" s="19"/>
    </row>
    <row r="72">
      <c r="B72" s="19"/>
      <c r="L72" s="19"/>
    </row>
    <row r="73">
      <c r="B73" s="19"/>
      <c r="L73" s="19"/>
    </row>
    <row r="74">
      <c r="B74" s="19"/>
      <c r="L74" s="19"/>
    </row>
    <row r="75">
      <c r="B75" s="19"/>
      <c r="L75" s="19"/>
    </row>
    <row r="76" s="2" customFormat="1">
      <c r="A76" s="37"/>
      <c r="B76" s="43"/>
      <c r="C76" s="37"/>
      <c r="D76" s="164" t="s">
        <v>52</v>
      </c>
      <c r="E76" s="165"/>
      <c r="F76" s="166" t="s">
        <v>53</v>
      </c>
      <c r="G76" s="164" t="s">
        <v>52</v>
      </c>
      <c r="H76" s="165"/>
      <c r="I76" s="165"/>
      <c r="J76" s="167" t="s">
        <v>53</v>
      </c>
      <c r="K76" s="165"/>
      <c r="L76" s="62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</row>
    <row r="77" s="2" customFormat="1" ht="14.4" customHeight="1">
      <c r="A77" s="37"/>
      <c r="B77" s="169"/>
      <c r="C77" s="170"/>
      <c r="D77" s="170"/>
      <c r="E77" s="170"/>
      <c r="F77" s="170"/>
      <c r="G77" s="170"/>
      <c r="H77" s="170"/>
      <c r="I77" s="170"/>
      <c r="J77" s="170"/>
      <c r="K77" s="170"/>
      <c r="L77" s="62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</row>
    <row r="81" s="2" customFormat="1" ht="6.96" customHeight="1">
      <c r="A81" s="37"/>
      <c r="B81" s="171"/>
      <c r="C81" s="172"/>
      <c r="D81" s="172"/>
      <c r="E81" s="172"/>
      <c r="F81" s="172"/>
      <c r="G81" s="172"/>
      <c r="H81" s="172"/>
      <c r="I81" s="172"/>
      <c r="J81" s="172"/>
      <c r="K81" s="172"/>
      <c r="L81" s="62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</row>
    <row r="82" s="2" customFormat="1" ht="24.96" customHeight="1">
      <c r="A82" s="37"/>
      <c r="B82" s="38"/>
      <c r="C82" s="22" t="s">
        <v>111</v>
      </c>
      <c r="D82" s="39"/>
      <c r="E82" s="39"/>
      <c r="F82" s="39"/>
      <c r="G82" s="39"/>
      <c r="H82" s="39"/>
      <c r="I82" s="39"/>
      <c r="J82" s="39"/>
      <c r="K82" s="39"/>
      <c r="L82" s="62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</row>
    <row r="83" s="2" customFormat="1" ht="6.96" customHeight="1">
      <c r="A83" s="37"/>
      <c r="B83" s="38"/>
      <c r="C83" s="39"/>
      <c r="D83" s="39"/>
      <c r="E83" s="39"/>
      <c r="F83" s="39"/>
      <c r="G83" s="39"/>
      <c r="H83" s="39"/>
      <c r="I83" s="39"/>
      <c r="J83" s="39"/>
      <c r="K83" s="39"/>
      <c r="L83" s="62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</row>
    <row r="84" s="2" customFormat="1" ht="12" customHeight="1">
      <c r="A84" s="37"/>
      <c r="B84" s="38"/>
      <c r="C84" s="31" t="s">
        <v>17</v>
      </c>
      <c r="D84" s="39"/>
      <c r="E84" s="39"/>
      <c r="F84" s="39"/>
      <c r="G84" s="39"/>
      <c r="H84" s="39"/>
      <c r="I84" s="39"/>
      <c r="J84" s="39"/>
      <c r="K84" s="39"/>
      <c r="L84" s="62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</row>
    <row r="85" s="2" customFormat="1" ht="16.5" customHeight="1">
      <c r="A85" s="37"/>
      <c r="B85" s="38"/>
      <c r="C85" s="39"/>
      <c r="D85" s="39"/>
      <c r="E85" s="173" t="str">
        <f>E7</f>
        <v>Areál společnosti FORESTINA s.r.o. Horažďovice, Blatenská 587</v>
      </c>
      <c r="F85" s="31"/>
      <c r="G85" s="31"/>
      <c r="H85" s="31"/>
      <c r="I85" s="39"/>
      <c r="J85" s="39"/>
      <c r="K85" s="39"/>
      <c r="L85" s="62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</row>
    <row r="86" s="2" customFormat="1" ht="12" customHeight="1">
      <c r="A86" s="37"/>
      <c r="B86" s="38"/>
      <c r="C86" s="31" t="s">
        <v>109</v>
      </c>
      <c r="D86" s="39"/>
      <c r="E86" s="39"/>
      <c r="F86" s="39"/>
      <c r="G86" s="39"/>
      <c r="H86" s="39"/>
      <c r="I86" s="39"/>
      <c r="J86" s="39"/>
      <c r="K86" s="39"/>
      <c r="L86" s="62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</row>
    <row r="87" s="2" customFormat="1" ht="16.5" customHeight="1">
      <c r="A87" s="37"/>
      <c r="B87" s="38"/>
      <c r="C87" s="39"/>
      <c r="D87" s="39"/>
      <c r="E87" s="75" t="str">
        <f>E9</f>
        <v>010 - Administrativní část</v>
      </c>
      <c r="F87" s="39"/>
      <c r="G87" s="39"/>
      <c r="H87" s="39"/>
      <c r="I87" s="39"/>
      <c r="J87" s="39"/>
      <c r="K87" s="39"/>
      <c r="L87" s="62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</row>
    <row r="88" s="2" customFormat="1" ht="6.96" customHeight="1">
      <c r="A88" s="37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62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</row>
    <row r="89" s="2" customFormat="1" ht="12" customHeight="1">
      <c r="A89" s="37"/>
      <c r="B89" s="38"/>
      <c r="C89" s="31" t="s">
        <v>21</v>
      </c>
      <c r="D89" s="39"/>
      <c r="E89" s="39"/>
      <c r="F89" s="26" t="str">
        <f>F12</f>
        <v>Horažďovice</v>
      </c>
      <c r="G89" s="39"/>
      <c r="H89" s="39"/>
      <c r="I89" s="31" t="s">
        <v>23</v>
      </c>
      <c r="J89" s="78" t="str">
        <f>IF(J12="","",J12)</f>
        <v>26. 11. 2025</v>
      </c>
      <c r="K89" s="39"/>
      <c r="L89" s="62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</row>
    <row r="90" s="2" customFormat="1" ht="6.96" customHeight="1">
      <c r="A90" s="37"/>
      <c r="B90" s="38"/>
      <c r="C90" s="39"/>
      <c r="D90" s="39"/>
      <c r="E90" s="39"/>
      <c r="F90" s="39"/>
      <c r="G90" s="39"/>
      <c r="H90" s="39"/>
      <c r="I90" s="39"/>
      <c r="J90" s="39"/>
      <c r="K90" s="39"/>
      <c r="L90" s="62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</row>
    <row r="91" s="2" customFormat="1" ht="25.65" customHeight="1">
      <c r="A91" s="37"/>
      <c r="B91" s="38"/>
      <c r="C91" s="31" t="s">
        <v>25</v>
      </c>
      <c r="D91" s="39"/>
      <c r="E91" s="39"/>
      <c r="F91" s="26" t="str">
        <f>E15</f>
        <v>FORESTINA s.r.o.</v>
      </c>
      <c r="G91" s="39"/>
      <c r="H91" s="39"/>
      <c r="I91" s="31" t="s">
        <v>31</v>
      </c>
      <c r="J91" s="35" t="str">
        <f>E21</f>
        <v>STA projektový ateliér, s.r.o.</v>
      </c>
      <c r="K91" s="39"/>
      <c r="L91" s="62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</row>
    <row r="92" s="2" customFormat="1" ht="15.15" customHeight="1">
      <c r="A92" s="37"/>
      <c r="B92" s="38"/>
      <c r="C92" s="31" t="s">
        <v>29</v>
      </c>
      <c r="D92" s="39"/>
      <c r="E92" s="39"/>
      <c r="F92" s="26" t="str">
        <f>IF(E18="","",E18)</f>
        <v>Vyplň údaj</v>
      </c>
      <c r="G92" s="39"/>
      <c r="H92" s="39"/>
      <c r="I92" s="31" t="s">
        <v>34</v>
      </c>
      <c r="J92" s="35" t="str">
        <f>E24</f>
        <v>Pavel Hrba</v>
      </c>
      <c r="K92" s="39"/>
      <c r="L92" s="62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</row>
    <row r="93" s="2" customFormat="1" ht="10.32" customHeight="1">
      <c r="A93" s="37"/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62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</row>
    <row r="94" s="2" customFormat="1" ht="29.28" customHeight="1">
      <c r="A94" s="37"/>
      <c r="B94" s="38"/>
      <c r="C94" s="174" t="s">
        <v>112</v>
      </c>
      <c r="D94" s="175"/>
      <c r="E94" s="175"/>
      <c r="F94" s="175"/>
      <c r="G94" s="175"/>
      <c r="H94" s="175"/>
      <c r="I94" s="175"/>
      <c r="J94" s="176" t="s">
        <v>113</v>
      </c>
      <c r="K94" s="175"/>
      <c r="L94" s="62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</row>
    <row r="95" s="2" customFormat="1" ht="10.32" customHeight="1">
      <c r="A95" s="37"/>
      <c r="B95" s="38"/>
      <c r="C95" s="39"/>
      <c r="D95" s="39"/>
      <c r="E95" s="39"/>
      <c r="F95" s="39"/>
      <c r="G95" s="39"/>
      <c r="H95" s="39"/>
      <c r="I95" s="39"/>
      <c r="J95" s="39"/>
      <c r="K95" s="39"/>
      <c r="L95" s="62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</row>
    <row r="96" s="2" customFormat="1" ht="22.8" customHeight="1">
      <c r="A96" s="37"/>
      <c r="B96" s="38"/>
      <c r="C96" s="177" t="s">
        <v>114</v>
      </c>
      <c r="D96" s="39"/>
      <c r="E96" s="39"/>
      <c r="F96" s="39"/>
      <c r="G96" s="39"/>
      <c r="H96" s="39"/>
      <c r="I96" s="39"/>
      <c r="J96" s="109">
        <f>J142</f>
        <v>0</v>
      </c>
      <c r="K96" s="39"/>
      <c r="L96" s="62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U96" s="16" t="s">
        <v>115</v>
      </c>
    </row>
    <row r="97" s="9" customFormat="1" ht="24.96" customHeight="1">
      <c r="A97" s="9"/>
      <c r="B97" s="178"/>
      <c r="C97" s="179"/>
      <c r="D97" s="180" t="s">
        <v>116</v>
      </c>
      <c r="E97" s="181"/>
      <c r="F97" s="181"/>
      <c r="G97" s="181"/>
      <c r="H97" s="181"/>
      <c r="I97" s="181"/>
      <c r="J97" s="182">
        <f>J143</f>
        <v>0</v>
      </c>
      <c r="K97" s="179"/>
      <c r="L97" s="183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="10" customFormat="1" ht="19.92" customHeight="1">
      <c r="A98" s="10"/>
      <c r="B98" s="184"/>
      <c r="C98" s="185"/>
      <c r="D98" s="186" t="s">
        <v>117</v>
      </c>
      <c r="E98" s="187"/>
      <c r="F98" s="187"/>
      <c r="G98" s="187"/>
      <c r="H98" s="187"/>
      <c r="I98" s="187"/>
      <c r="J98" s="188">
        <f>J144</f>
        <v>0</v>
      </c>
      <c r="K98" s="185"/>
      <c r="L98" s="189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="10" customFormat="1" ht="19.92" customHeight="1">
      <c r="A99" s="10"/>
      <c r="B99" s="184"/>
      <c r="C99" s="185"/>
      <c r="D99" s="186" t="s">
        <v>118</v>
      </c>
      <c r="E99" s="187"/>
      <c r="F99" s="187"/>
      <c r="G99" s="187"/>
      <c r="H99" s="187"/>
      <c r="I99" s="187"/>
      <c r="J99" s="188">
        <f>J173</f>
        <v>0</v>
      </c>
      <c r="K99" s="185"/>
      <c r="L99" s="189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 s="10" customFormat="1" ht="19.92" customHeight="1">
      <c r="A100" s="10"/>
      <c r="B100" s="184"/>
      <c r="C100" s="185"/>
      <c r="D100" s="186" t="s">
        <v>119</v>
      </c>
      <c r="E100" s="187"/>
      <c r="F100" s="187"/>
      <c r="G100" s="187"/>
      <c r="H100" s="187"/>
      <c r="I100" s="187"/>
      <c r="J100" s="188">
        <f>J206</f>
        <v>0</v>
      </c>
      <c r="K100" s="185"/>
      <c r="L100" s="189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s="10" customFormat="1" ht="19.92" customHeight="1">
      <c r="A101" s="10"/>
      <c r="B101" s="184"/>
      <c r="C101" s="185"/>
      <c r="D101" s="186" t="s">
        <v>120</v>
      </c>
      <c r="E101" s="187"/>
      <c r="F101" s="187"/>
      <c r="G101" s="187"/>
      <c r="H101" s="187"/>
      <c r="I101" s="187"/>
      <c r="J101" s="188">
        <f>J236</f>
        <v>0</v>
      </c>
      <c r="K101" s="185"/>
      <c r="L101" s="189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 s="10" customFormat="1" ht="19.92" customHeight="1">
      <c r="A102" s="10"/>
      <c r="B102" s="184"/>
      <c r="C102" s="185"/>
      <c r="D102" s="186" t="s">
        <v>121</v>
      </c>
      <c r="E102" s="187"/>
      <c r="F102" s="187"/>
      <c r="G102" s="187"/>
      <c r="H102" s="187"/>
      <c r="I102" s="187"/>
      <c r="J102" s="188">
        <f>J271</f>
        <v>0</v>
      </c>
      <c r="K102" s="185"/>
      <c r="L102" s="189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 s="10" customFormat="1" ht="19.92" customHeight="1">
      <c r="A103" s="10"/>
      <c r="B103" s="184"/>
      <c r="C103" s="185"/>
      <c r="D103" s="186" t="s">
        <v>122</v>
      </c>
      <c r="E103" s="187"/>
      <c r="F103" s="187"/>
      <c r="G103" s="187"/>
      <c r="H103" s="187"/>
      <c r="I103" s="187"/>
      <c r="J103" s="188">
        <f>J274</f>
        <v>0</v>
      </c>
      <c r="K103" s="185"/>
      <c r="L103" s="189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</row>
    <row r="104" s="10" customFormat="1" ht="19.92" customHeight="1">
      <c r="A104" s="10"/>
      <c r="B104" s="184"/>
      <c r="C104" s="185"/>
      <c r="D104" s="186" t="s">
        <v>123</v>
      </c>
      <c r="E104" s="187"/>
      <c r="F104" s="187"/>
      <c r="G104" s="187"/>
      <c r="H104" s="187"/>
      <c r="I104" s="187"/>
      <c r="J104" s="188">
        <f>J354</f>
        <v>0</v>
      </c>
      <c r="K104" s="185"/>
      <c r="L104" s="189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</row>
    <row r="105" s="10" customFormat="1" ht="19.92" customHeight="1">
      <c r="A105" s="10"/>
      <c r="B105" s="184"/>
      <c r="C105" s="185"/>
      <c r="D105" s="186" t="s">
        <v>124</v>
      </c>
      <c r="E105" s="187"/>
      <c r="F105" s="187"/>
      <c r="G105" s="187"/>
      <c r="H105" s="187"/>
      <c r="I105" s="187"/>
      <c r="J105" s="188">
        <f>J372</f>
        <v>0</v>
      </c>
      <c r="K105" s="185"/>
      <c r="L105" s="189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</row>
    <row r="106" s="9" customFormat="1" ht="24.96" customHeight="1">
      <c r="A106" s="9"/>
      <c r="B106" s="178"/>
      <c r="C106" s="179"/>
      <c r="D106" s="180" t="s">
        <v>125</v>
      </c>
      <c r="E106" s="181"/>
      <c r="F106" s="181"/>
      <c r="G106" s="181"/>
      <c r="H106" s="181"/>
      <c r="I106" s="181"/>
      <c r="J106" s="182">
        <f>J374</f>
        <v>0</v>
      </c>
      <c r="K106" s="179"/>
      <c r="L106" s="183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s="10" customFormat="1" ht="19.92" customHeight="1">
      <c r="A107" s="10"/>
      <c r="B107" s="184"/>
      <c r="C107" s="185"/>
      <c r="D107" s="186" t="s">
        <v>126</v>
      </c>
      <c r="E107" s="187"/>
      <c r="F107" s="187"/>
      <c r="G107" s="187"/>
      <c r="H107" s="187"/>
      <c r="I107" s="187"/>
      <c r="J107" s="188">
        <f>J375</f>
        <v>0</v>
      </c>
      <c r="K107" s="185"/>
      <c r="L107" s="189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</row>
    <row r="108" s="10" customFormat="1" ht="19.92" customHeight="1">
      <c r="A108" s="10"/>
      <c r="B108" s="184"/>
      <c r="C108" s="185"/>
      <c r="D108" s="186" t="s">
        <v>127</v>
      </c>
      <c r="E108" s="187"/>
      <c r="F108" s="187"/>
      <c r="G108" s="187"/>
      <c r="H108" s="187"/>
      <c r="I108" s="187"/>
      <c r="J108" s="188">
        <f>J406</f>
        <v>0</v>
      </c>
      <c r="K108" s="185"/>
      <c r="L108" s="189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</row>
    <row r="109" s="10" customFormat="1" ht="19.92" customHeight="1">
      <c r="A109" s="10"/>
      <c r="B109" s="184"/>
      <c r="C109" s="185"/>
      <c r="D109" s="186" t="s">
        <v>128</v>
      </c>
      <c r="E109" s="187"/>
      <c r="F109" s="187"/>
      <c r="G109" s="187"/>
      <c r="H109" s="187"/>
      <c r="I109" s="187"/>
      <c r="J109" s="188">
        <f>J460</f>
        <v>0</v>
      </c>
      <c r="K109" s="185"/>
      <c r="L109" s="189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</row>
    <row r="110" s="10" customFormat="1" ht="19.92" customHeight="1">
      <c r="A110" s="10"/>
      <c r="B110" s="184"/>
      <c r="C110" s="185"/>
      <c r="D110" s="186" t="s">
        <v>129</v>
      </c>
      <c r="E110" s="187"/>
      <c r="F110" s="187"/>
      <c r="G110" s="187"/>
      <c r="H110" s="187"/>
      <c r="I110" s="187"/>
      <c r="J110" s="188">
        <f>J544</f>
        <v>0</v>
      </c>
      <c r="K110" s="185"/>
      <c r="L110" s="189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</row>
    <row r="111" s="10" customFormat="1" ht="19.92" customHeight="1">
      <c r="A111" s="10"/>
      <c r="B111" s="184"/>
      <c r="C111" s="185"/>
      <c r="D111" s="186" t="s">
        <v>130</v>
      </c>
      <c r="E111" s="187"/>
      <c r="F111" s="187"/>
      <c r="G111" s="187"/>
      <c r="H111" s="187"/>
      <c r="I111" s="187"/>
      <c r="J111" s="188">
        <f>J560</f>
        <v>0</v>
      </c>
      <c r="K111" s="185"/>
      <c r="L111" s="189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</row>
    <row r="112" s="10" customFormat="1" ht="19.92" customHeight="1">
      <c r="A112" s="10"/>
      <c r="B112" s="184"/>
      <c r="C112" s="185"/>
      <c r="D112" s="186" t="s">
        <v>131</v>
      </c>
      <c r="E112" s="187"/>
      <c r="F112" s="187"/>
      <c r="G112" s="187"/>
      <c r="H112" s="187"/>
      <c r="I112" s="187"/>
      <c r="J112" s="188">
        <f>J683</f>
        <v>0</v>
      </c>
      <c r="K112" s="185"/>
      <c r="L112" s="189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</row>
    <row r="113" s="10" customFormat="1" ht="19.92" customHeight="1">
      <c r="A113" s="10"/>
      <c r="B113" s="184"/>
      <c r="C113" s="185"/>
      <c r="D113" s="186" t="s">
        <v>132</v>
      </c>
      <c r="E113" s="187"/>
      <c r="F113" s="187"/>
      <c r="G113" s="187"/>
      <c r="H113" s="187"/>
      <c r="I113" s="187"/>
      <c r="J113" s="188">
        <f>J698</f>
        <v>0</v>
      </c>
      <c r="K113" s="185"/>
      <c r="L113" s="189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</row>
    <row r="114" s="10" customFormat="1" ht="19.92" customHeight="1">
      <c r="A114" s="10"/>
      <c r="B114" s="184"/>
      <c r="C114" s="185"/>
      <c r="D114" s="186" t="s">
        <v>133</v>
      </c>
      <c r="E114" s="187"/>
      <c r="F114" s="187"/>
      <c r="G114" s="187"/>
      <c r="H114" s="187"/>
      <c r="I114" s="187"/>
      <c r="J114" s="188">
        <f>J730</f>
        <v>0</v>
      </c>
      <c r="K114" s="185"/>
      <c r="L114" s="189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</row>
    <row r="115" s="10" customFormat="1" ht="19.92" customHeight="1">
      <c r="A115" s="10"/>
      <c r="B115" s="184"/>
      <c r="C115" s="185"/>
      <c r="D115" s="186" t="s">
        <v>134</v>
      </c>
      <c r="E115" s="187"/>
      <c r="F115" s="187"/>
      <c r="G115" s="187"/>
      <c r="H115" s="187"/>
      <c r="I115" s="187"/>
      <c r="J115" s="188">
        <f>J796</f>
        <v>0</v>
      </c>
      <c r="K115" s="185"/>
      <c r="L115" s="189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</row>
    <row r="116" s="10" customFormat="1" ht="19.92" customHeight="1">
      <c r="A116" s="10"/>
      <c r="B116" s="184"/>
      <c r="C116" s="185"/>
      <c r="D116" s="186" t="s">
        <v>135</v>
      </c>
      <c r="E116" s="187"/>
      <c r="F116" s="187"/>
      <c r="G116" s="187"/>
      <c r="H116" s="187"/>
      <c r="I116" s="187"/>
      <c r="J116" s="188">
        <f>J835</f>
        <v>0</v>
      </c>
      <c r="K116" s="185"/>
      <c r="L116" s="189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</row>
    <row r="117" s="10" customFormat="1" ht="19.92" customHeight="1">
      <c r="A117" s="10"/>
      <c r="B117" s="184"/>
      <c r="C117" s="185"/>
      <c r="D117" s="186" t="s">
        <v>136</v>
      </c>
      <c r="E117" s="187"/>
      <c r="F117" s="187"/>
      <c r="G117" s="187"/>
      <c r="H117" s="187"/>
      <c r="I117" s="187"/>
      <c r="J117" s="188">
        <f>J846</f>
        <v>0</v>
      </c>
      <c r="K117" s="185"/>
      <c r="L117" s="189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</row>
    <row r="118" s="10" customFormat="1" ht="19.92" customHeight="1">
      <c r="A118" s="10"/>
      <c r="B118" s="184"/>
      <c r="C118" s="185"/>
      <c r="D118" s="186" t="s">
        <v>137</v>
      </c>
      <c r="E118" s="187"/>
      <c r="F118" s="187"/>
      <c r="G118" s="187"/>
      <c r="H118" s="187"/>
      <c r="I118" s="187"/>
      <c r="J118" s="188">
        <f>J860</f>
        <v>0</v>
      </c>
      <c r="K118" s="185"/>
      <c r="L118" s="189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</row>
    <row r="119" s="10" customFormat="1" ht="19.92" customHeight="1">
      <c r="A119" s="10"/>
      <c r="B119" s="184"/>
      <c r="C119" s="185"/>
      <c r="D119" s="186" t="s">
        <v>138</v>
      </c>
      <c r="E119" s="187"/>
      <c r="F119" s="187"/>
      <c r="G119" s="187"/>
      <c r="H119" s="187"/>
      <c r="I119" s="187"/>
      <c r="J119" s="188">
        <f>J882</f>
        <v>0</v>
      </c>
      <c r="K119" s="185"/>
      <c r="L119" s="189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</row>
    <row r="120" s="10" customFormat="1" ht="19.92" customHeight="1">
      <c r="A120" s="10"/>
      <c r="B120" s="184"/>
      <c r="C120" s="185"/>
      <c r="D120" s="186" t="s">
        <v>139</v>
      </c>
      <c r="E120" s="187"/>
      <c r="F120" s="187"/>
      <c r="G120" s="187"/>
      <c r="H120" s="187"/>
      <c r="I120" s="187"/>
      <c r="J120" s="188">
        <f>J886</f>
        <v>0</v>
      </c>
      <c r="K120" s="185"/>
      <c r="L120" s="189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</row>
    <row r="121" s="9" customFormat="1" ht="24.96" customHeight="1">
      <c r="A121" s="9"/>
      <c r="B121" s="178"/>
      <c r="C121" s="179"/>
      <c r="D121" s="180" t="s">
        <v>140</v>
      </c>
      <c r="E121" s="181"/>
      <c r="F121" s="181"/>
      <c r="G121" s="181"/>
      <c r="H121" s="181"/>
      <c r="I121" s="181"/>
      <c r="J121" s="182">
        <f>J892</f>
        <v>0</v>
      </c>
      <c r="K121" s="179"/>
      <c r="L121" s="183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</row>
    <row r="122" s="10" customFormat="1" ht="19.92" customHeight="1">
      <c r="A122" s="10"/>
      <c r="B122" s="184"/>
      <c r="C122" s="185"/>
      <c r="D122" s="186" t="s">
        <v>141</v>
      </c>
      <c r="E122" s="187"/>
      <c r="F122" s="187"/>
      <c r="G122" s="187"/>
      <c r="H122" s="187"/>
      <c r="I122" s="187"/>
      <c r="J122" s="188">
        <f>J893</f>
        <v>0</v>
      </c>
      <c r="K122" s="185"/>
      <c r="L122" s="189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</row>
    <row r="123" s="2" customFormat="1" ht="21.84" customHeight="1">
      <c r="A123" s="37"/>
      <c r="B123" s="38"/>
      <c r="C123" s="39"/>
      <c r="D123" s="39"/>
      <c r="E123" s="39"/>
      <c r="F123" s="39"/>
      <c r="G123" s="39"/>
      <c r="H123" s="39"/>
      <c r="I123" s="39"/>
      <c r="J123" s="39"/>
      <c r="K123" s="39"/>
      <c r="L123" s="62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</row>
    <row r="124" s="2" customFormat="1" ht="6.96" customHeight="1">
      <c r="A124" s="37"/>
      <c r="B124" s="65"/>
      <c r="C124" s="66"/>
      <c r="D124" s="66"/>
      <c r="E124" s="66"/>
      <c r="F124" s="66"/>
      <c r="G124" s="66"/>
      <c r="H124" s="66"/>
      <c r="I124" s="66"/>
      <c r="J124" s="66"/>
      <c r="K124" s="66"/>
      <c r="L124" s="62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</row>
    <row r="128" s="2" customFormat="1" ht="6.96" customHeight="1">
      <c r="A128" s="37"/>
      <c r="B128" s="67"/>
      <c r="C128" s="68"/>
      <c r="D128" s="68"/>
      <c r="E128" s="68"/>
      <c r="F128" s="68"/>
      <c r="G128" s="68"/>
      <c r="H128" s="68"/>
      <c r="I128" s="68"/>
      <c r="J128" s="68"/>
      <c r="K128" s="68"/>
      <c r="L128" s="62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</row>
    <row r="129" s="2" customFormat="1" ht="24.96" customHeight="1">
      <c r="A129" s="37"/>
      <c r="B129" s="38"/>
      <c r="C129" s="22" t="s">
        <v>142</v>
      </c>
      <c r="D129" s="39"/>
      <c r="E129" s="39"/>
      <c r="F129" s="39"/>
      <c r="G129" s="39"/>
      <c r="H129" s="39"/>
      <c r="I129" s="39"/>
      <c r="J129" s="39"/>
      <c r="K129" s="39"/>
      <c r="L129" s="62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</row>
    <row r="130" s="2" customFormat="1" ht="6.96" customHeight="1">
      <c r="A130" s="37"/>
      <c r="B130" s="38"/>
      <c r="C130" s="39"/>
      <c r="D130" s="39"/>
      <c r="E130" s="39"/>
      <c r="F130" s="39"/>
      <c r="G130" s="39"/>
      <c r="H130" s="39"/>
      <c r="I130" s="39"/>
      <c r="J130" s="39"/>
      <c r="K130" s="39"/>
      <c r="L130" s="62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</row>
    <row r="131" s="2" customFormat="1" ht="12" customHeight="1">
      <c r="A131" s="37"/>
      <c r="B131" s="38"/>
      <c r="C131" s="31" t="s">
        <v>17</v>
      </c>
      <c r="D131" s="39"/>
      <c r="E131" s="39"/>
      <c r="F131" s="39"/>
      <c r="G131" s="39"/>
      <c r="H131" s="39"/>
      <c r="I131" s="39"/>
      <c r="J131" s="39"/>
      <c r="K131" s="39"/>
      <c r="L131" s="62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</row>
    <row r="132" s="2" customFormat="1" ht="16.5" customHeight="1">
      <c r="A132" s="37"/>
      <c r="B132" s="38"/>
      <c r="C132" s="39"/>
      <c r="D132" s="39"/>
      <c r="E132" s="173" t="str">
        <f>E7</f>
        <v>Areál společnosti FORESTINA s.r.o. Horažďovice, Blatenská 587</v>
      </c>
      <c r="F132" s="31"/>
      <c r="G132" s="31"/>
      <c r="H132" s="31"/>
      <c r="I132" s="39"/>
      <c r="J132" s="39"/>
      <c r="K132" s="39"/>
      <c r="L132" s="62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</row>
    <row r="133" s="2" customFormat="1" ht="12" customHeight="1">
      <c r="A133" s="37"/>
      <c r="B133" s="38"/>
      <c r="C133" s="31" t="s">
        <v>109</v>
      </c>
      <c r="D133" s="39"/>
      <c r="E133" s="39"/>
      <c r="F133" s="39"/>
      <c r="G133" s="39"/>
      <c r="H133" s="39"/>
      <c r="I133" s="39"/>
      <c r="J133" s="39"/>
      <c r="K133" s="39"/>
      <c r="L133" s="62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</row>
    <row r="134" s="2" customFormat="1" ht="16.5" customHeight="1">
      <c r="A134" s="37"/>
      <c r="B134" s="38"/>
      <c r="C134" s="39"/>
      <c r="D134" s="39"/>
      <c r="E134" s="75" t="str">
        <f>E9</f>
        <v>010 - Administrativní část</v>
      </c>
      <c r="F134" s="39"/>
      <c r="G134" s="39"/>
      <c r="H134" s="39"/>
      <c r="I134" s="39"/>
      <c r="J134" s="39"/>
      <c r="K134" s="39"/>
      <c r="L134" s="62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</row>
    <row r="135" s="2" customFormat="1" ht="6.96" customHeight="1">
      <c r="A135" s="37"/>
      <c r="B135" s="38"/>
      <c r="C135" s="39"/>
      <c r="D135" s="39"/>
      <c r="E135" s="39"/>
      <c r="F135" s="39"/>
      <c r="G135" s="39"/>
      <c r="H135" s="39"/>
      <c r="I135" s="39"/>
      <c r="J135" s="39"/>
      <c r="K135" s="39"/>
      <c r="L135" s="62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</row>
    <row r="136" s="2" customFormat="1" ht="12" customHeight="1">
      <c r="A136" s="37"/>
      <c r="B136" s="38"/>
      <c r="C136" s="31" t="s">
        <v>21</v>
      </c>
      <c r="D136" s="39"/>
      <c r="E136" s="39"/>
      <c r="F136" s="26" t="str">
        <f>F12</f>
        <v>Horažďovice</v>
      </c>
      <c r="G136" s="39"/>
      <c r="H136" s="39"/>
      <c r="I136" s="31" t="s">
        <v>23</v>
      </c>
      <c r="J136" s="78" t="str">
        <f>IF(J12="","",J12)</f>
        <v>26. 11. 2025</v>
      </c>
      <c r="K136" s="39"/>
      <c r="L136" s="62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</row>
    <row r="137" s="2" customFormat="1" ht="6.96" customHeight="1">
      <c r="A137" s="37"/>
      <c r="B137" s="38"/>
      <c r="C137" s="39"/>
      <c r="D137" s="39"/>
      <c r="E137" s="39"/>
      <c r="F137" s="39"/>
      <c r="G137" s="39"/>
      <c r="H137" s="39"/>
      <c r="I137" s="39"/>
      <c r="J137" s="39"/>
      <c r="K137" s="39"/>
      <c r="L137" s="62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</row>
    <row r="138" s="2" customFormat="1" ht="25.65" customHeight="1">
      <c r="A138" s="37"/>
      <c r="B138" s="38"/>
      <c r="C138" s="31" t="s">
        <v>25</v>
      </c>
      <c r="D138" s="39"/>
      <c r="E138" s="39"/>
      <c r="F138" s="26" t="str">
        <f>E15</f>
        <v>FORESTINA s.r.o.</v>
      </c>
      <c r="G138" s="39"/>
      <c r="H138" s="39"/>
      <c r="I138" s="31" t="s">
        <v>31</v>
      </c>
      <c r="J138" s="35" t="str">
        <f>E21</f>
        <v>STA projektový ateliér, s.r.o.</v>
      </c>
      <c r="K138" s="39"/>
      <c r="L138" s="62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</row>
    <row r="139" s="2" customFormat="1" ht="15.15" customHeight="1">
      <c r="A139" s="37"/>
      <c r="B139" s="38"/>
      <c r="C139" s="31" t="s">
        <v>29</v>
      </c>
      <c r="D139" s="39"/>
      <c r="E139" s="39"/>
      <c r="F139" s="26" t="str">
        <f>IF(E18="","",E18)</f>
        <v>Vyplň údaj</v>
      </c>
      <c r="G139" s="39"/>
      <c r="H139" s="39"/>
      <c r="I139" s="31" t="s">
        <v>34</v>
      </c>
      <c r="J139" s="35" t="str">
        <f>E24</f>
        <v>Pavel Hrba</v>
      </c>
      <c r="K139" s="39"/>
      <c r="L139" s="62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</row>
    <row r="140" s="2" customFormat="1" ht="10.32" customHeight="1">
      <c r="A140" s="37"/>
      <c r="B140" s="38"/>
      <c r="C140" s="39"/>
      <c r="D140" s="39"/>
      <c r="E140" s="39"/>
      <c r="F140" s="39"/>
      <c r="G140" s="39"/>
      <c r="H140" s="39"/>
      <c r="I140" s="39"/>
      <c r="J140" s="39"/>
      <c r="K140" s="39"/>
      <c r="L140" s="62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</row>
    <row r="141" s="11" customFormat="1" ht="29.28" customHeight="1">
      <c r="A141" s="190"/>
      <c r="B141" s="191"/>
      <c r="C141" s="192" t="s">
        <v>143</v>
      </c>
      <c r="D141" s="193" t="s">
        <v>62</v>
      </c>
      <c r="E141" s="193" t="s">
        <v>58</v>
      </c>
      <c r="F141" s="193" t="s">
        <v>59</v>
      </c>
      <c r="G141" s="193" t="s">
        <v>144</v>
      </c>
      <c r="H141" s="193" t="s">
        <v>145</v>
      </c>
      <c r="I141" s="193" t="s">
        <v>146</v>
      </c>
      <c r="J141" s="194" t="s">
        <v>113</v>
      </c>
      <c r="K141" s="195" t="s">
        <v>147</v>
      </c>
      <c r="L141" s="196"/>
      <c r="M141" s="99" t="s">
        <v>1</v>
      </c>
      <c r="N141" s="100" t="s">
        <v>41</v>
      </c>
      <c r="O141" s="100" t="s">
        <v>148</v>
      </c>
      <c r="P141" s="100" t="s">
        <v>149</v>
      </c>
      <c r="Q141" s="100" t="s">
        <v>150</v>
      </c>
      <c r="R141" s="100" t="s">
        <v>151</v>
      </c>
      <c r="S141" s="100" t="s">
        <v>152</v>
      </c>
      <c r="T141" s="101" t="s">
        <v>153</v>
      </c>
      <c r="U141" s="190"/>
      <c r="V141" s="190"/>
      <c r="W141" s="190"/>
      <c r="X141" s="190"/>
      <c r="Y141" s="190"/>
      <c r="Z141" s="190"/>
      <c r="AA141" s="190"/>
      <c r="AB141" s="190"/>
      <c r="AC141" s="190"/>
      <c r="AD141" s="190"/>
      <c r="AE141" s="190"/>
    </row>
    <row r="142" s="2" customFormat="1" ht="22.8" customHeight="1">
      <c r="A142" s="37"/>
      <c r="B142" s="38"/>
      <c r="C142" s="106" t="s">
        <v>154</v>
      </c>
      <c r="D142" s="39"/>
      <c r="E142" s="39"/>
      <c r="F142" s="39"/>
      <c r="G142" s="39"/>
      <c r="H142" s="39"/>
      <c r="I142" s="39"/>
      <c r="J142" s="197">
        <f>BK142</f>
        <v>0</v>
      </c>
      <c r="K142" s="39"/>
      <c r="L142" s="43"/>
      <c r="M142" s="102"/>
      <c r="N142" s="198"/>
      <c r="O142" s="103"/>
      <c r="P142" s="199">
        <f>P143+P374+P892</f>
        <v>0</v>
      </c>
      <c r="Q142" s="103"/>
      <c r="R142" s="199">
        <f>R143+R374+R892</f>
        <v>2034.4995431199998</v>
      </c>
      <c r="S142" s="103"/>
      <c r="T142" s="200">
        <f>T143+T374+T892</f>
        <v>9.6729999999999983</v>
      </c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T142" s="16" t="s">
        <v>76</v>
      </c>
      <c r="AU142" s="16" t="s">
        <v>115</v>
      </c>
      <c r="BK142" s="201">
        <f>BK143+BK374+BK892</f>
        <v>0</v>
      </c>
    </row>
    <row r="143" s="12" customFormat="1" ht="25.92" customHeight="1">
      <c r="A143" s="12"/>
      <c r="B143" s="202"/>
      <c r="C143" s="203"/>
      <c r="D143" s="204" t="s">
        <v>76</v>
      </c>
      <c r="E143" s="205" t="s">
        <v>155</v>
      </c>
      <c r="F143" s="205" t="s">
        <v>156</v>
      </c>
      <c r="G143" s="203"/>
      <c r="H143" s="203"/>
      <c r="I143" s="206"/>
      <c r="J143" s="207">
        <f>BK143</f>
        <v>0</v>
      </c>
      <c r="K143" s="203"/>
      <c r="L143" s="208"/>
      <c r="M143" s="209"/>
      <c r="N143" s="210"/>
      <c r="O143" s="210"/>
      <c r="P143" s="211">
        <f>P144+P173+P206+P236+P271+P274+P354+P372</f>
        <v>0</v>
      </c>
      <c r="Q143" s="210"/>
      <c r="R143" s="211">
        <f>R144+R173+R206+R236+R271+R274+R354+R372</f>
        <v>1777.4732552999997</v>
      </c>
      <c r="S143" s="210"/>
      <c r="T143" s="212">
        <f>T144+T173+T206+T236+T271+T274+T354+T372</f>
        <v>9.6729999999999983</v>
      </c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R143" s="213" t="s">
        <v>8</v>
      </c>
      <c r="AT143" s="214" t="s">
        <v>76</v>
      </c>
      <c r="AU143" s="214" t="s">
        <v>77</v>
      </c>
      <c r="AY143" s="213" t="s">
        <v>157</v>
      </c>
      <c r="BK143" s="215">
        <f>BK144+BK173+BK206+BK236+BK271+BK274+BK354+BK372</f>
        <v>0</v>
      </c>
    </row>
    <row r="144" s="12" customFormat="1" ht="22.8" customHeight="1">
      <c r="A144" s="12"/>
      <c r="B144" s="202"/>
      <c r="C144" s="203"/>
      <c r="D144" s="204" t="s">
        <v>76</v>
      </c>
      <c r="E144" s="216" t="s">
        <v>8</v>
      </c>
      <c r="F144" s="216" t="s">
        <v>158</v>
      </c>
      <c r="G144" s="203"/>
      <c r="H144" s="203"/>
      <c r="I144" s="206"/>
      <c r="J144" s="217">
        <f>BK144</f>
        <v>0</v>
      </c>
      <c r="K144" s="203"/>
      <c r="L144" s="208"/>
      <c r="M144" s="209"/>
      <c r="N144" s="210"/>
      <c r="O144" s="210"/>
      <c r="P144" s="211">
        <f>SUM(P145:P172)</f>
        <v>0</v>
      </c>
      <c r="Q144" s="210"/>
      <c r="R144" s="211">
        <f>SUM(R145:R172)</f>
        <v>0</v>
      </c>
      <c r="S144" s="210"/>
      <c r="T144" s="212">
        <f>SUM(T145:T172)</f>
        <v>0</v>
      </c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R144" s="213" t="s">
        <v>8</v>
      </c>
      <c r="AT144" s="214" t="s">
        <v>76</v>
      </c>
      <c r="AU144" s="214" t="s">
        <v>8</v>
      </c>
      <c r="AY144" s="213" t="s">
        <v>157</v>
      </c>
      <c r="BK144" s="215">
        <f>SUM(BK145:BK172)</f>
        <v>0</v>
      </c>
    </row>
    <row r="145" s="2" customFormat="1" ht="33" customHeight="1">
      <c r="A145" s="37"/>
      <c r="B145" s="38"/>
      <c r="C145" s="218" t="s">
        <v>8</v>
      </c>
      <c r="D145" s="218" t="s">
        <v>159</v>
      </c>
      <c r="E145" s="219" t="s">
        <v>160</v>
      </c>
      <c r="F145" s="220" t="s">
        <v>161</v>
      </c>
      <c r="G145" s="221" t="s">
        <v>162</v>
      </c>
      <c r="H145" s="222">
        <v>2045.0630000000001</v>
      </c>
      <c r="I145" s="223"/>
      <c r="J145" s="224">
        <f>ROUND(I145*H145,0)</f>
        <v>0</v>
      </c>
      <c r="K145" s="225"/>
      <c r="L145" s="43"/>
      <c r="M145" s="226" t="s">
        <v>1</v>
      </c>
      <c r="N145" s="227" t="s">
        <v>42</v>
      </c>
      <c r="O145" s="90"/>
      <c r="P145" s="228">
        <f>O145*H145</f>
        <v>0</v>
      </c>
      <c r="Q145" s="228">
        <v>0</v>
      </c>
      <c r="R145" s="228">
        <f>Q145*H145</f>
        <v>0</v>
      </c>
      <c r="S145" s="228">
        <v>0</v>
      </c>
      <c r="T145" s="229">
        <f>S145*H145</f>
        <v>0</v>
      </c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R145" s="230" t="s">
        <v>163</v>
      </c>
      <c r="AT145" s="230" t="s">
        <v>159</v>
      </c>
      <c r="AU145" s="230" t="s">
        <v>86</v>
      </c>
      <c r="AY145" s="16" t="s">
        <v>157</v>
      </c>
      <c r="BE145" s="231">
        <f>IF(N145="základní",J145,0)</f>
        <v>0</v>
      </c>
      <c r="BF145" s="231">
        <f>IF(N145="snížená",J145,0)</f>
        <v>0</v>
      </c>
      <c r="BG145" s="231">
        <f>IF(N145="zákl. přenesená",J145,0)</f>
        <v>0</v>
      </c>
      <c r="BH145" s="231">
        <f>IF(N145="sníž. přenesená",J145,0)</f>
        <v>0</v>
      </c>
      <c r="BI145" s="231">
        <f>IF(N145="nulová",J145,0)</f>
        <v>0</v>
      </c>
      <c r="BJ145" s="16" t="s">
        <v>8</v>
      </c>
      <c r="BK145" s="231">
        <f>ROUND(I145*H145,0)</f>
        <v>0</v>
      </c>
      <c r="BL145" s="16" t="s">
        <v>163</v>
      </c>
      <c r="BM145" s="230" t="s">
        <v>164</v>
      </c>
    </row>
    <row r="146" s="13" customFormat="1">
      <c r="A146" s="13"/>
      <c r="B146" s="232"/>
      <c r="C146" s="233"/>
      <c r="D146" s="234" t="s">
        <v>165</v>
      </c>
      <c r="E146" s="235" t="s">
        <v>1</v>
      </c>
      <c r="F146" s="236" t="s">
        <v>166</v>
      </c>
      <c r="G146" s="233"/>
      <c r="H146" s="237">
        <v>1861.2000000000001</v>
      </c>
      <c r="I146" s="238"/>
      <c r="J146" s="233"/>
      <c r="K146" s="233"/>
      <c r="L146" s="239"/>
      <c r="M146" s="240"/>
      <c r="N146" s="241"/>
      <c r="O146" s="241"/>
      <c r="P146" s="241"/>
      <c r="Q146" s="241"/>
      <c r="R146" s="241"/>
      <c r="S146" s="241"/>
      <c r="T146" s="242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T146" s="243" t="s">
        <v>165</v>
      </c>
      <c r="AU146" s="243" t="s">
        <v>86</v>
      </c>
      <c r="AV146" s="13" t="s">
        <v>86</v>
      </c>
      <c r="AW146" s="13" t="s">
        <v>32</v>
      </c>
      <c r="AX146" s="13" t="s">
        <v>77</v>
      </c>
      <c r="AY146" s="243" t="s">
        <v>157</v>
      </c>
    </row>
    <row r="147" s="13" customFormat="1">
      <c r="A147" s="13"/>
      <c r="B147" s="232"/>
      <c r="C147" s="233"/>
      <c r="D147" s="234" t="s">
        <v>165</v>
      </c>
      <c r="E147" s="235" t="s">
        <v>1</v>
      </c>
      <c r="F147" s="236" t="s">
        <v>167</v>
      </c>
      <c r="G147" s="233"/>
      <c r="H147" s="237">
        <v>183.863</v>
      </c>
      <c r="I147" s="238"/>
      <c r="J147" s="233"/>
      <c r="K147" s="233"/>
      <c r="L147" s="239"/>
      <c r="M147" s="240"/>
      <c r="N147" s="241"/>
      <c r="O147" s="241"/>
      <c r="P147" s="241"/>
      <c r="Q147" s="241"/>
      <c r="R147" s="241"/>
      <c r="S147" s="241"/>
      <c r="T147" s="242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T147" s="243" t="s">
        <v>165</v>
      </c>
      <c r="AU147" s="243" t="s">
        <v>86</v>
      </c>
      <c r="AV147" s="13" t="s">
        <v>86</v>
      </c>
      <c r="AW147" s="13" t="s">
        <v>32</v>
      </c>
      <c r="AX147" s="13" t="s">
        <v>77</v>
      </c>
      <c r="AY147" s="243" t="s">
        <v>157</v>
      </c>
    </row>
    <row r="148" s="2" customFormat="1" ht="37.8" customHeight="1">
      <c r="A148" s="37"/>
      <c r="B148" s="38"/>
      <c r="C148" s="218" t="s">
        <v>86</v>
      </c>
      <c r="D148" s="218" t="s">
        <v>159</v>
      </c>
      <c r="E148" s="219" t="s">
        <v>168</v>
      </c>
      <c r="F148" s="220" t="s">
        <v>169</v>
      </c>
      <c r="G148" s="221" t="s">
        <v>162</v>
      </c>
      <c r="H148" s="222">
        <v>2591.1770000000001</v>
      </c>
      <c r="I148" s="223"/>
      <c r="J148" s="224">
        <f>ROUND(I148*H148,0)</f>
        <v>0</v>
      </c>
      <c r="K148" s="225"/>
      <c r="L148" s="43"/>
      <c r="M148" s="226" t="s">
        <v>1</v>
      </c>
      <c r="N148" s="227" t="s">
        <v>42</v>
      </c>
      <c r="O148" s="90"/>
      <c r="P148" s="228">
        <f>O148*H148</f>
        <v>0</v>
      </c>
      <c r="Q148" s="228">
        <v>0</v>
      </c>
      <c r="R148" s="228">
        <f>Q148*H148</f>
        <v>0</v>
      </c>
      <c r="S148" s="228">
        <v>0</v>
      </c>
      <c r="T148" s="229">
        <f>S148*H148</f>
        <v>0</v>
      </c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R148" s="230" t="s">
        <v>163</v>
      </c>
      <c r="AT148" s="230" t="s">
        <v>159</v>
      </c>
      <c r="AU148" s="230" t="s">
        <v>86</v>
      </c>
      <c r="AY148" s="16" t="s">
        <v>157</v>
      </c>
      <c r="BE148" s="231">
        <f>IF(N148="základní",J148,0)</f>
        <v>0</v>
      </c>
      <c r="BF148" s="231">
        <f>IF(N148="snížená",J148,0)</f>
        <v>0</v>
      </c>
      <c r="BG148" s="231">
        <f>IF(N148="zákl. přenesená",J148,0)</f>
        <v>0</v>
      </c>
      <c r="BH148" s="231">
        <f>IF(N148="sníž. přenesená",J148,0)</f>
        <v>0</v>
      </c>
      <c r="BI148" s="231">
        <f>IF(N148="nulová",J148,0)</f>
        <v>0</v>
      </c>
      <c r="BJ148" s="16" t="s">
        <v>8</v>
      </c>
      <c r="BK148" s="231">
        <f>ROUND(I148*H148,0)</f>
        <v>0</v>
      </c>
      <c r="BL148" s="16" t="s">
        <v>163</v>
      </c>
      <c r="BM148" s="230" t="s">
        <v>170</v>
      </c>
    </row>
    <row r="149" s="14" customFormat="1">
      <c r="A149" s="14"/>
      <c r="B149" s="244"/>
      <c r="C149" s="245"/>
      <c r="D149" s="234" t="s">
        <v>165</v>
      </c>
      <c r="E149" s="246" t="s">
        <v>1</v>
      </c>
      <c r="F149" s="247" t="s">
        <v>171</v>
      </c>
      <c r="G149" s="245"/>
      <c r="H149" s="246" t="s">
        <v>1</v>
      </c>
      <c r="I149" s="248"/>
      <c r="J149" s="245"/>
      <c r="K149" s="245"/>
      <c r="L149" s="249"/>
      <c r="M149" s="250"/>
      <c r="N149" s="251"/>
      <c r="O149" s="251"/>
      <c r="P149" s="251"/>
      <c r="Q149" s="251"/>
      <c r="R149" s="251"/>
      <c r="S149" s="251"/>
      <c r="T149" s="252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T149" s="253" t="s">
        <v>165</v>
      </c>
      <c r="AU149" s="253" t="s">
        <v>86</v>
      </c>
      <c r="AV149" s="14" t="s">
        <v>8</v>
      </c>
      <c r="AW149" s="14" t="s">
        <v>32</v>
      </c>
      <c r="AX149" s="14" t="s">
        <v>77</v>
      </c>
      <c r="AY149" s="253" t="s">
        <v>157</v>
      </c>
    </row>
    <row r="150" s="13" customFormat="1">
      <c r="A150" s="13"/>
      <c r="B150" s="232"/>
      <c r="C150" s="233"/>
      <c r="D150" s="234" t="s">
        <v>165</v>
      </c>
      <c r="E150" s="235" t="s">
        <v>1</v>
      </c>
      <c r="F150" s="236" t="s">
        <v>172</v>
      </c>
      <c r="G150" s="233"/>
      <c r="H150" s="237">
        <v>70.138000000000005</v>
      </c>
      <c r="I150" s="238"/>
      <c r="J150" s="233"/>
      <c r="K150" s="233"/>
      <c r="L150" s="239"/>
      <c r="M150" s="240"/>
      <c r="N150" s="241"/>
      <c r="O150" s="241"/>
      <c r="P150" s="241"/>
      <c r="Q150" s="241"/>
      <c r="R150" s="241"/>
      <c r="S150" s="241"/>
      <c r="T150" s="242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T150" s="243" t="s">
        <v>165</v>
      </c>
      <c r="AU150" s="243" t="s">
        <v>86</v>
      </c>
      <c r="AV150" s="13" t="s">
        <v>86</v>
      </c>
      <c r="AW150" s="13" t="s">
        <v>32</v>
      </c>
      <c r="AX150" s="13" t="s">
        <v>77</v>
      </c>
      <c r="AY150" s="243" t="s">
        <v>157</v>
      </c>
    </row>
    <row r="151" s="13" customFormat="1">
      <c r="A151" s="13"/>
      <c r="B151" s="232"/>
      <c r="C151" s="233"/>
      <c r="D151" s="234" t="s">
        <v>165</v>
      </c>
      <c r="E151" s="235" t="s">
        <v>1</v>
      </c>
      <c r="F151" s="236" t="s">
        <v>173</v>
      </c>
      <c r="G151" s="233"/>
      <c r="H151" s="237">
        <v>2045.0630000000001</v>
      </c>
      <c r="I151" s="238"/>
      <c r="J151" s="233"/>
      <c r="K151" s="233"/>
      <c r="L151" s="239"/>
      <c r="M151" s="240"/>
      <c r="N151" s="241"/>
      <c r="O151" s="241"/>
      <c r="P151" s="241"/>
      <c r="Q151" s="241"/>
      <c r="R151" s="241"/>
      <c r="S151" s="241"/>
      <c r="T151" s="242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T151" s="243" t="s">
        <v>165</v>
      </c>
      <c r="AU151" s="243" t="s">
        <v>86</v>
      </c>
      <c r="AV151" s="13" t="s">
        <v>86</v>
      </c>
      <c r="AW151" s="13" t="s">
        <v>32</v>
      </c>
      <c r="AX151" s="13" t="s">
        <v>77</v>
      </c>
      <c r="AY151" s="243" t="s">
        <v>157</v>
      </c>
    </row>
    <row r="152" s="14" customFormat="1">
      <c r="A152" s="14"/>
      <c r="B152" s="244"/>
      <c r="C152" s="245"/>
      <c r="D152" s="234" t="s">
        <v>165</v>
      </c>
      <c r="E152" s="246" t="s">
        <v>1</v>
      </c>
      <c r="F152" s="247" t="s">
        <v>174</v>
      </c>
      <c r="G152" s="245"/>
      <c r="H152" s="246" t="s">
        <v>1</v>
      </c>
      <c r="I152" s="248"/>
      <c r="J152" s="245"/>
      <c r="K152" s="245"/>
      <c r="L152" s="249"/>
      <c r="M152" s="250"/>
      <c r="N152" s="251"/>
      <c r="O152" s="251"/>
      <c r="P152" s="251"/>
      <c r="Q152" s="251"/>
      <c r="R152" s="251"/>
      <c r="S152" s="251"/>
      <c r="T152" s="252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T152" s="253" t="s">
        <v>165</v>
      </c>
      <c r="AU152" s="253" t="s">
        <v>86</v>
      </c>
      <c r="AV152" s="14" t="s">
        <v>8</v>
      </c>
      <c r="AW152" s="14" t="s">
        <v>32</v>
      </c>
      <c r="AX152" s="14" t="s">
        <v>77</v>
      </c>
      <c r="AY152" s="253" t="s">
        <v>157</v>
      </c>
    </row>
    <row r="153" s="13" customFormat="1">
      <c r="A153" s="13"/>
      <c r="B153" s="232"/>
      <c r="C153" s="233"/>
      <c r="D153" s="234" t="s">
        <v>165</v>
      </c>
      <c r="E153" s="235" t="s">
        <v>1</v>
      </c>
      <c r="F153" s="236" t="s">
        <v>175</v>
      </c>
      <c r="G153" s="233"/>
      <c r="H153" s="237">
        <v>475.976</v>
      </c>
      <c r="I153" s="238"/>
      <c r="J153" s="233"/>
      <c r="K153" s="233"/>
      <c r="L153" s="239"/>
      <c r="M153" s="240"/>
      <c r="N153" s="241"/>
      <c r="O153" s="241"/>
      <c r="P153" s="241"/>
      <c r="Q153" s="241"/>
      <c r="R153" s="241"/>
      <c r="S153" s="241"/>
      <c r="T153" s="24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T153" s="243" t="s">
        <v>165</v>
      </c>
      <c r="AU153" s="243" t="s">
        <v>86</v>
      </c>
      <c r="AV153" s="13" t="s">
        <v>86</v>
      </c>
      <c r="AW153" s="13" t="s">
        <v>32</v>
      </c>
      <c r="AX153" s="13" t="s">
        <v>77</v>
      </c>
      <c r="AY153" s="243" t="s">
        <v>157</v>
      </c>
    </row>
    <row r="154" s="2" customFormat="1" ht="37.8" customHeight="1">
      <c r="A154" s="37"/>
      <c r="B154" s="38"/>
      <c r="C154" s="218" t="s">
        <v>176</v>
      </c>
      <c r="D154" s="218" t="s">
        <v>159</v>
      </c>
      <c r="E154" s="219" t="s">
        <v>177</v>
      </c>
      <c r="F154" s="220" t="s">
        <v>178</v>
      </c>
      <c r="G154" s="221" t="s">
        <v>162</v>
      </c>
      <c r="H154" s="222">
        <v>1569.087</v>
      </c>
      <c r="I154" s="223"/>
      <c r="J154" s="224">
        <f>ROUND(I154*H154,0)</f>
        <v>0</v>
      </c>
      <c r="K154" s="225"/>
      <c r="L154" s="43"/>
      <c r="M154" s="226" t="s">
        <v>1</v>
      </c>
      <c r="N154" s="227" t="s">
        <v>42</v>
      </c>
      <c r="O154" s="90"/>
      <c r="P154" s="228">
        <f>O154*H154</f>
        <v>0</v>
      </c>
      <c r="Q154" s="228">
        <v>0</v>
      </c>
      <c r="R154" s="228">
        <f>Q154*H154</f>
        <v>0</v>
      </c>
      <c r="S154" s="228">
        <v>0</v>
      </c>
      <c r="T154" s="229">
        <f>S154*H154</f>
        <v>0</v>
      </c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R154" s="230" t="s">
        <v>163</v>
      </c>
      <c r="AT154" s="230" t="s">
        <v>159</v>
      </c>
      <c r="AU154" s="230" t="s">
        <v>86</v>
      </c>
      <c r="AY154" s="16" t="s">
        <v>157</v>
      </c>
      <c r="BE154" s="231">
        <f>IF(N154="základní",J154,0)</f>
        <v>0</v>
      </c>
      <c r="BF154" s="231">
        <f>IF(N154="snížená",J154,0)</f>
        <v>0</v>
      </c>
      <c r="BG154" s="231">
        <f>IF(N154="zákl. přenesená",J154,0)</f>
        <v>0</v>
      </c>
      <c r="BH154" s="231">
        <f>IF(N154="sníž. přenesená",J154,0)</f>
        <v>0</v>
      </c>
      <c r="BI154" s="231">
        <f>IF(N154="nulová",J154,0)</f>
        <v>0</v>
      </c>
      <c r="BJ154" s="16" t="s">
        <v>8</v>
      </c>
      <c r="BK154" s="231">
        <f>ROUND(I154*H154,0)</f>
        <v>0</v>
      </c>
      <c r="BL154" s="16" t="s">
        <v>163</v>
      </c>
      <c r="BM154" s="230" t="s">
        <v>179</v>
      </c>
    </row>
    <row r="155" s="13" customFormat="1">
      <c r="A155" s="13"/>
      <c r="B155" s="232"/>
      <c r="C155" s="233"/>
      <c r="D155" s="234" t="s">
        <v>165</v>
      </c>
      <c r="E155" s="235" t="s">
        <v>1</v>
      </c>
      <c r="F155" s="236" t="s">
        <v>180</v>
      </c>
      <c r="G155" s="233"/>
      <c r="H155" s="237">
        <v>1569.087</v>
      </c>
      <c r="I155" s="238"/>
      <c r="J155" s="233"/>
      <c r="K155" s="233"/>
      <c r="L155" s="239"/>
      <c r="M155" s="240"/>
      <c r="N155" s="241"/>
      <c r="O155" s="241"/>
      <c r="P155" s="241"/>
      <c r="Q155" s="241"/>
      <c r="R155" s="241"/>
      <c r="S155" s="241"/>
      <c r="T155" s="24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T155" s="243" t="s">
        <v>165</v>
      </c>
      <c r="AU155" s="243" t="s">
        <v>86</v>
      </c>
      <c r="AV155" s="13" t="s">
        <v>86</v>
      </c>
      <c r="AW155" s="13" t="s">
        <v>32</v>
      </c>
      <c r="AX155" s="13" t="s">
        <v>77</v>
      </c>
      <c r="AY155" s="243" t="s">
        <v>157</v>
      </c>
    </row>
    <row r="156" s="2" customFormat="1" ht="37.8" customHeight="1">
      <c r="A156" s="37"/>
      <c r="B156" s="38"/>
      <c r="C156" s="218" t="s">
        <v>163</v>
      </c>
      <c r="D156" s="218" t="s">
        <v>159</v>
      </c>
      <c r="E156" s="219" t="s">
        <v>181</v>
      </c>
      <c r="F156" s="220" t="s">
        <v>182</v>
      </c>
      <c r="G156" s="221" t="s">
        <v>162</v>
      </c>
      <c r="H156" s="222">
        <v>26674.478999999999</v>
      </c>
      <c r="I156" s="223"/>
      <c r="J156" s="224">
        <f>ROUND(I156*H156,0)</f>
        <v>0</v>
      </c>
      <c r="K156" s="225"/>
      <c r="L156" s="43"/>
      <c r="M156" s="226" t="s">
        <v>1</v>
      </c>
      <c r="N156" s="227" t="s">
        <v>42</v>
      </c>
      <c r="O156" s="90"/>
      <c r="P156" s="228">
        <f>O156*H156</f>
        <v>0</v>
      </c>
      <c r="Q156" s="228">
        <v>0</v>
      </c>
      <c r="R156" s="228">
        <f>Q156*H156</f>
        <v>0</v>
      </c>
      <c r="S156" s="228">
        <v>0</v>
      </c>
      <c r="T156" s="229">
        <f>S156*H156</f>
        <v>0</v>
      </c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R156" s="230" t="s">
        <v>163</v>
      </c>
      <c r="AT156" s="230" t="s">
        <v>159</v>
      </c>
      <c r="AU156" s="230" t="s">
        <v>86</v>
      </c>
      <c r="AY156" s="16" t="s">
        <v>157</v>
      </c>
      <c r="BE156" s="231">
        <f>IF(N156="základní",J156,0)</f>
        <v>0</v>
      </c>
      <c r="BF156" s="231">
        <f>IF(N156="snížená",J156,0)</f>
        <v>0</v>
      </c>
      <c r="BG156" s="231">
        <f>IF(N156="zákl. přenesená",J156,0)</f>
        <v>0</v>
      </c>
      <c r="BH156" s="231">
        <f>IF(N156="sníž. přenesená",J156,0)</f>
        <v>0</v>
      </c>
      <c r="BI156" s="231">
        <f>IF(N156="nulová",J156,0)</f>
        <v>0</v>
      </c>
      <c r="BJ156" s="16" t="s">
        <v>8</v>
      </c>
      <c r="BK156" s="231">
        <f>ROUND(I156*H156,0)</f>
        <v>0</v>
      </c>
      <c r="BL156" s="16" t="s">
        <v>163</v>
      </c>
      <c r="BM156" s="230" t="s">
        <v>183</v>
      </c>
    </row>
    <row r="157" s="13" customFormat="1">
      <c r="A157" s="13"/>
      <c r="B157" s="232"/>
      <c r="C157" s="233"/>
      <c r="D157" s="234" t="s">
        <v>165</v>
      </c>
      <c r="E157" s="235" t="s">
        <v>1</v>
      </c>
      <c r="F157" s="236" t="s">
        <v>184</v>
      </c>
      <c r="G157" s="233"/>
      <c r="H157" s="237">
        <v>26674.478999999999</v>
      </c>
      <c r="I157" s="238"/>
      <c r="J157" s="233"/>
      <c r="K157" s="233"/>
      <c r="L157" s="239"/>
      <c r="M157" s="240"/>
      <c r="N157" s="241"/>
      <c r="O157" s="241"/>
      <c r="P157" s="241"/>
      <c r="Q157" s="241"/>
      <c r="R157" s="241"/>
      <c r="S157" s="241"/>
      <c r="T157" s="24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T157" s="243" t="s">
        <v>165</v>
      </c>
      <c r="AU157" s="243" t="s">
        <v>86</v>
      </c>
      <c r="AV157" s="13" t="s">
        <v>86</v>
      </c>
      <c r="AW157" s="13" t="s">
        <v>32</v>
      </c>
      <c r="AX157" s="13" t="s">
        <v>77</v>
      </c>
      <c r="AY157" s="243" t="s">
        <v>157</v>
      </c>
    </row>
    <row r="158" s="2" customFormat="1" ht="24.15" customHeight="1">
      <c r="A158" s="37"/>
      <c r="B158" s="38"/>
      <c r="C158" s="218" t="s">
        <v>185</v>
      </c>
      <c r="D158" s="218" t="s">
        <v>159</v>
      </c>
      <c r="E158" s="219" t="s">
        <v>186</v>
      </c>
      <c r="F158" s="220" t="s">
        <v>187</v>
      </c>
      <c r="G158" s="221" t="s">
        <v>162</v>
      </c>
      <c r="H158" s="222">
        <v>2115.201</v>
      </c>
      <c r="I158" s="223"/>
      <c r="J158" s="224">
        <f>ROUND(I158*H158,0)</f>
        <v>0</v>
      </c>
      <c r="K158" s="225"/>
      <c r="L158" s="43"/>
      <c r="M158" s="226" t="s">
        <v>1</v>
      </c>
      <c r="N158" s="227" t="s">
        <v>42</v>
      </c>
      <c r="O158" s="90"/>
      <c r="P158" s="228">
        <f>O158*H158</f>
        <v>0</v>
      </c>
      <c r="Q158" s="228">
        <v>0</v>
      </c>
      <c r="R158" s="228">
        <f>Q158*H158</f>
        <v>0</v>
      </c>
      <c r="S158" s="228">
        <v>0</v>
      </c>
      <c r="T158" s="229">
        <f>S158*H158</f>
        <v>0</v>
      </c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R158" s="230" t="s">
        <v>163</v>
      </c>
      <c r="AT158" s="230" t="s">
        <v>159</v>
      </c>
      <c r="AU158" s="230" t="s">
        <v>86</v>
      </c>
      <c r="AY158" s="16" t="s">
        <v>157</v>
      </c>
      <c r="BE158" s="231">
        <f>IF(N158="základní",J158,0)</f>
        <v>0</v>
      </c>
      <c r="BF158" s="231">
        <f>IF(N158="snížená",J158,0)</f>
        <v>0</v>
      </c>
      <c r="BG158" s="231">
        <f>IF(N158="zákl. přenesená",J158,0)</f>
        <v>0</v>
      </c>
      <c r="BH158" s="231">
        <f>IF(N158="sníž. přenesená",J158,0)</f>
        <v>0</v>
      </c>
      <c r="BI158" s="231">
        <f>IF(N158="nulová",J158,0)</f>
        <v>0</v>
      </c>
      <c r="BJ158" s="16" t="s">
        <v>8</v>
      </c>
      <c r="BK158" s="231">
        <f>ROUND(I158*H158,0)</f>
        <v>0</v>
      </c>
      <c r="BL158" s="16" t="s">
        <v>163</v>
      </c>
      <c r="BM158" s="230" t="s">
        <v>188</v>
      </c>
    </row>
    <row r="159" s="13" customFormat="1">
      <c r="A159" s="13"/>
      <c r="B159" s="232"/>
      <c r="C159" s="233"/>
      <c r="D159" s="234" t="s">
        <v>165</v>
      </c>
      <c r="E159" s="235" t="s">
        <v>1</v>
      </c>
      <c r="F159" s="236" t="s">
        <v>172</v>
      </c>
      <c r="G159" s="233"/>
      <c r="H159" s="237">
        <v>70.138000000000005</v>
      </c>
      <c r="I159" s="238"/>
      <c r="J159" s="233"/>
      <c r="K159" s="233"/>
      <c r="L159" s="239"/>
      <c r="M159" s="240"/>
      <c r="N159" s="241"/>
      <c r="O159" s="241"/>
      <c r="P159" s="241"/>
      <c r="Q159" s="241"/>
      <c r="R159" s="241"/>
      <c r="S159" s="241"/>
      <c r="T159" s="242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T159" s="243" t="s">
        <v>165</v>
      </c>
      <c r="AU159" s="243" t="s">
        <v>86</v>
      </c>
      <c r="AV159" s="13" t="s">
        <v>86</v>
      </c>
      <c r="AW159" s="13" t="s">
        <v>32</v>
      </c>
      <c r="AX159" s="13" t="s">
        <v>77</v>
      </c>
      <c r="AY159" s="243" t="s">
        <v>157</v>
      </c>
    </row>
    <row r="160" s="13" customFormat="1">
      <c r="A160" s="13"/>
      <c r="B160" s="232"/>
      <c r="C160" s="233"/>
      <c r="D160" s="234" t="s">
        <v>165</v>
      </c>
      <c r="E160" s="235" t="s">
        <v>1</v>
      </c>
      <c r="F160" s="236" t="s">
        <v>189</v>
      </c>
      <c r="G160" s="233"/>
      <c r="H160" s="237">
        <v>475.976</v>
      </c>
      <c r="I160" s="238"/>
      <c r="J160" s="233"/>
      <c r="K160" s="233"/>
      <c r="L160" s="239"/>
      <c r="M160" s="240"/>
      <c r="N160" s="241"/>
      <c r="O160" s="241"/>
      <c r="P160" s="241"/>
      <c r="Q160" s="241"/>
      <c r="R160" s="241"/>
      <c r="S160" s="241"/>
      <c r="T160" s="24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T160" s="243" t="s">
        <v>165</v>
      </c>
      <c r="AU160" s="243" t="s">
        <v>86</v>
      </c>
      <c r="AV160" s="13" t="s">
        <v>86</v>
      </c>
      <c r="AW160" s="13" t="s">
        <v>32</v>
      </c>
      <c r="AX160" s="13" t="s">
        <v>77</v>
      </c>
      <c r="AY160" s="243" t="s">
        <v>157</v>
      </c>
    </row>
    <row r="161" s="13" customFormat="1">
      <c r="A161" s="13"/>
      <c r="B161" s="232"/>
      <c r="C161" s="233"/>
      <c r="D161" s="234" t="s">
        <v>165</v>
      </c>
      <c r="E161" s="235" t="s">
        <v>1</v>
      </c>
      <c r="F161" s="236" t="s">
        <v>180</v>
      </c>
      <c r="G161" s="233"/>
      <c r="H161" s="237">
        <v>1569.087</v>
      </c>
      <c r="I161" s="238"/>
      <c r="J161" s="233"/>
      <c r="K161" s="233"/>
      <c r="L161" s="239"/>
      <c r="M161" s="240"/>
      <c r="N161" s="241"/>
      <c r="O161" s="241"/>
      <c r="P161" s="241"/>
      <c r="Q161" s="241"/>
      <c r="R161" s="241"/>
      <c r="S161" s="241"/>
      <c r="T161" s="24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T161" s="243" t="s">
        <v>165</v>
      </c>
      <c r="AU161" s="243" t="s">
        <v>86</v>
      </c>
      <c r="AV161" s="13" t="s">
        <v>86</v>
      </c>
      <c r="AW161" s="13" t="s">
        <v>32</v>
      </c>
      <c r="AX161" s="13" t="s">
        <v>77</v>
      </c>
      <c r="AY161" s="243" t="s">
        <v>157</v>
      </c>
    </row>
    <row r="162" s="2" customFormat="1" ht="33" customHeight="1">
      <c r="A162" s="37"/>
      <c r="B162" s="38"/>
      <c r="C162" s="218" t="s">
        <v>190</v>
      </c>
      <c r="D162" s="218" t="s">
        <v>159</v>
      </c>
      <c r="E162" s="219" t="s">
        <v>191</v>
      </c>
      <c r="F162" s="220" t="s">
        <v>192</v>
      </c>
      <c r="G162" s="221" t="s">
        <v>193</v>
      </c>
      <c r="H162" s="222">
        <v>2745.902</v>
      </c>
      <c r="I162" s="223"/>
      <c r="J162" s="224">
        <f>ROUND(I162*H162,0)</f>
        <v>0</v>
      </c>
      <c r="K162" s="225"/>
      <c r="L162" s="43"/>
      <c r="M162" s="226" t="s">
        <v>1</v>
      </c>
      <c r="N162" s="227" t="s">
        <v>42</v>
      </c>
      <c r="O162" s="90"/>
      <c r="P162" s="228">
        <f>O162*H162</f>
        <v>0</v>
      </c>
      <c r="Q162" s="228">
        <v>0</v>
      </c>
      <c r="R162" s="228">
        <f>Q162*H162</f>
        <v>0</v>
      </c>
      <c r="S162" s="228">
        <v>0</v>
      </c>
      <c r="T162" s="229">
        <f>S162*H162</f>
        <v>0</v>
      </c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R162" s="230" t="s">
        <v>163</v>
      </c>
      <c r="AT162" s="230" t="s">
        <v>159</v>
      </c>
      <c r="AU162" s="230" t="s">
        <v>86</v>
      </c>
      <c r="AY162" s="16" t="s">
        <v>157</v>
      </c>
      <c r="BE162" s="231">
        <f>IF(N162="základní",J162,0)</f>
        <v>0</v>
      </c>
      <c r="BF162" s="231">
        <f>IF(N162="snížená",J162,0)</f>
        <v>0</v>
      </c>
      <c r="BG162" s="231">
        <f>IF(N162="zákl. přenesená",J162,0)</f>
        <v>0</v>
      </c>
      <c r="BH162" s="231">
        <f>IF(N162="sníž. přenesená",J162,0)</f>
        <v>0</v>
      </c>
      <c r="BI162" s="231">
        <f>IF(N162="nulová",J162,0)</f>
        <v>0</v>
      </c>
      <c r="BJ162" s="16" t="s">
        <v>8</v>
      </c>
      <c r="BK162" s="231">
        <f>ROUND(I162*H162,0)</f>
        <v>0</v>
      </c>
      <c r="BL162" s="16" t="s">
        <v>163</v>
      </c>
      <c r="BM162" s="230" t="s">
        <v>194</v>
      </c>
    </row>
    <row r="163" s="13" customFormat="1">
      <c r="A163" s="13"/>
      <c r="B163" s="232"/>
      <c r="C163" s="233"/>
      <c r="D163" s="234" t="s">
        <v>165</v>
      </c>
      <c r="E163" s="235" t="s">
        <v>1</v>
      </c>
      <c r="F163" s="236" t="s">
        <v>195</v>
      </c>
      <c r="G163" s="233"/>
      <c r="H163" s="237">
        <v>2745.902</v>
      </c>
      <c r="I163" s="238"/>
      <c r="J163" s="233"/>
      <c r="K163" s="233"/>
      <c r="L163" s="239"/>
      <c r="M163" s="240"/>
      <c r="N163" s="241"/>
      <c r="O163" s="241"/>
      <c r="P163" s="241"/>
      <c r="Q163" s="241"/>
      <c r="R163" s="241"/>
      <c r="S163" s="241"/>
      <c r="T163" s="242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T163" s="243" t="s">
        <v>165</v>
      </c>
      <c r="AU163" s="243" t="s">
        <v>86</v>
      </c>
      <c r="AV163" s="13" t="s">
        <v>86</v>
      </c>
      <c r="AW163" s="13" t="s">
        <v>32</v>
      </c>
      <c r="AX163" s="13" t="s">
        <v>77</v>
      </c>
      <c r="AY163" s="243" t="s">
        <v>157</v>
      </c>
    </row>
    <row r="164" s="2" customFormat="1" ht="16.5" customHeight="1">
      <c r="A164" s="37"/>
      <c r="B164" s="38"/>
      <c r="C164" s="218" t="s">
        <v>196</v>
      </c>
      <c r="D164" s="218" t="s">
        <v>159</v>
      </c>
      <c r="E164" s="219" t="s">
        <v>197</v>
      </c>
      <c r="F164" s="220" t="s">
        <v>198</v>
      </c>
      <c r="G164" s="221" t="s">
        <v>162</v>
      </c>
      <c r="H164" s="222">
        <v>3684.288</v>
      </c>
      <c r="I164" s="223"/>
      <c r="J164" s="224">
        <f>ROUND(I164*H164,0)</f>
        <v>0</v>
      </c>
      <c r="K164" s="225"/>
      <c r="L164" s="43"/>
      <c r="M164" s="226" t="s">
        <v>1</v>
      </c>
      <c r="N164" s="227" t="s">
        <v>42</v>
      </c>
      <c r="O164" s="90"/>
      <c r="P164" s="228">
        <f>O164*H164</f>
        <v>0</v>
      </c>
      <c r="Q164" s="228">
        <v>0</v>
      </c>
      <c r="R164" s="228">
        <f>Q164*H164</f>
        <v>0</v>
      </c>
      <c r="S164" s="228">
        <v>0</v>
      </c>
      <c r="T164" s="229">
        <f>S164*H164</f>
        <v>0</v>
      </c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R164" s="230" t="s">
        <v>163</v>
      </c>
      <c r="AT164" s="230" t="s">
        <v>159</v>
      </c>
      <c r="AU164" s="230" t="s">
        <v>86</v>
      </c>
      <c r="AY164" s="16" t="s">
        <v>157</v>
      </c>
      <c r="BE164" s="231">
        <f>IF(N164="základní",J164,0)</f>
        <v>0</v>
      </c>
      <c r="BF164" s="231">
        <f>IF(N164="snížená",J164,0)</f>
        <v>0</v>
      </c>
      <c r="BG164" s="231">
        <f>IF(N164="zákl. přenesená",J164,0)</f>
        <v>0</v>
      </c>
      <c r="BH164" s="231">
        <f>IF(N164="sníž. přenesená",J164,0)</f>
        <v>0</v>
      </c>
      <c r="BI164" s="231">
        <f>IF(N164="nulová",J164,0)</f>
        <v>0</v>
      </c>
      <c r="BJ164" s="16" t="s">
        <v>8</v>
      </c>
      <c r="BK164" s="231">
        <f>ROUND(I164*H164,0)</f>
        <v>0</v>
      </c>
      <c r="BL164" s="16" t="s">
        <v>163</v>
      </c>
      <c r="BM164" s="230" t="s">
        <v>199</v>
      </c>
    </row>
    <row r="165" s="13" customFormat="1">
      <c r="A165" s="13"/>
      <c r="B165" s="232"/>
      <c r="C165" s="233"/>
      <c r="D165" s="234" t="s">
        <v>165</v>
      </c>
      <c r="E165" s="235" t="s">
        <v>1</v>
      </c>
      <c r="F165" s="236" t="s">
        <v>172</v>
      </c>
      <c r="G165" s="233"/>
      <c r="H165" s="237">
        <v>70.138000000000005</v>
      </c>
      <c r="I165" s="238"/>
      <c r="J165" s="233"/>
      <c r="K165" s="233"/>
      <c r="L165" s="239"/>
      <c r="M165" s="240"/>
      <c r="N165" s="241"/>
      <c r="O165" s="241"/>
      <c r="P165" s="241"/>
      <c r="Q165" s="241"/>
      <c r="R165" s="241"/>
      <c r="S165" s="241"/>
      <c r="T165" s="24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T165" s="243" t="s">
        <v>165</v>
      </c>
      <c r="AU165" s="243" t="s">
        <v>86</v>
      </c>
      <c r="AV165" s="13" t="s">
        <v>86</v>
      </c>
      <c r="AW165" s="13" t="s">
        <v>32</v>
      </c>
      <c r="AX165" s="13" t="s">
        <v>77</v>
      </c>
      <c r="AY165" s="243" t="s">
        <v>157</v>
      </c>
    </row>
    <row r="166" s="13" customFormat="1">
      <c r="A166" s="13"/>
      <c r="B166" s="232"/>
      <c r="C166" s="233"/>
      <c r="D166" s="234" t="s">
        <v>165</v>
      </c>
      <c r="E166" s="235" t="s">
        <v>1</v>
      </c>
      <c r="F166" s="236" t="s">
        <v>173</v>
      </c>
      <c r="G166" s="233"/>
      <c r="H166" s="237">
        <v>2045.0630000000001</v>
      </c>
      <c r="I166" s="238"/>
      <c r="J166" s="233"/>
      <c r="K166" s="233"/>
      <c r="L166" s="239"/>
      <c r="M166" s="240"/>
      <c r="N166" s="241"/>
      <c r="O166" s="241"/>
      <c r="P166" s="241"/>
      <c r="Q166" s="241"/>
      <c r="R166" s="241"/>
      <c r="S166" s="241"/>
      <c r="T166" s="242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T166" s="243" t="s">
        <v>165</v>
      </c>
      <c r="AU166" s="243" t="s">
        <v>86</v>
      </c>
      <c r="AV166" s="13" t="s">
        <v>86</v>
      </c>
      <c r="AW166" s="13" t="s">
        <v>32</v>
      </c>
      <c r="AX166" s="13" t="s">
        <v>77</v>
      </c>
      <c r="AY166" s="243" t="s">
        <v>157</v>
      </c>
    </row>
    <row r="167" s="13" customFormat="1">
      <c r="A167" s="13"/>
      <c r="B167" s="232"/>
      <c r="C167" s="233"/>
      <c r="D167" s="234" t="s">
        <v>165</v>
      </c>
      <c r="E167" s="235" t="s">
        <v>1</v>
      </c>
      <c r="F167" s="236" t="s">
        <v>180</v>
      </c>
      <c r="G167" s="233"/>
      <c r="H167" s="237">
        <v>1569.087</v>
      </c>
      <c r="I167" s="238"/>
      <c r="J167" s="233"/>
      <c r="K167" s="233"/>
      <c r="L167" s="239"/>
      <c r="M167" s="240"/>
      <c r="N167" s="241"/>
      <c r="O167" s="241"/>
      <c r="P167" s="241"/>
      <c r="Q167" s="241"/>
      <c r="R167" s="241"/>
      <c r="S167" s="241"/>
      <c r="T167" s="242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T167" s="243" t="s">
        <v>165</v>
      </c>
      <c r="AU167" s="243" t="s">
        <v>86</v>
      </c>
      <c r="AV167" s="13" t="s">
        <v>86</v>
      </c>
      <c r="AW167" s="13" t="s">
        <v>32</v>
      </c>
      <c r="AX167" s="13" t="s">
        <v>77</v>
      </c>
      <c r="AY167" s="243" t="s">
        <v>157</v>
      </c>
    </row>
    <row r="168" s="2" customFormat="1" ht="24.15" customHeight="1">
      <c r="A168" s="37"/>
      <c r="B168" s="38"/>
      <c r="C168" s="218" t="s">
        <v>200</v>
      </c>
      <c r="D168" s="218" t="s">
        <v>159</v>
      </c>
      <c r="E168" s="219" t="s">
        <v>201</v>
      </c>
      <c r="F168" s="220" t="s">
        <v>202</v>
      </c>
      <c r="G168" s="221" t="s">
        <v>162</v>
      </c>
      <c r="H168" s="222">
        <v>475.976</v>
      </c>
      <c r="I168" s="223"/>
      <c r="J168" s="224">
        <f>ROUND(I168*H168,0)</f>
        <v>0</v>
      </c>
      <c r="K168" s="225"/>
      <c r="L168" s="43"/>
      <c r="M168" s="226" t="s">
        <v>1</v>
      </c>
      <c r="N168" s="227" t="s">
        <v>42</v>
      </c>
      <c r="O168" s="90"/>
      <c r="P168" s="228">
        <f>O168*H168</f>
        <v>0</v>
      </c>
      <c r="Q168" s="228">
        <v>0</v>
      </c>
      <c r="R168" s="228">
        <f>Q168*H168</f>
        <v>0</v>
      </c>
      <c r="S168" s="228">
        <v>0</v>
      </c>
      <c r="T168" s="229">
        <f>S168*H168</f>
        <v>0</v>
      </c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R168" s="230" t="s">
        <v>163</v>
      </c>
      <c r="AT168" s="230" t="s">
        <v>159</v>
      </c>
      <c r="AU168" s="230" t="s">
        <v>86</v>
      </c>
      <c r="AY168" s="16" t="s">
        <v>157</v>
      </c>
      <c r="BE168" s="231">
        <f>IF(N168="základní",J168,0)</f>
        <v>0</v>
      </c>
      <c r="BF168" s="231">
        <f>IF(N168="snížená",J168,0)</f>
        <v>0</v>
      </c>
      <c r="BG168" s="231">
        <f>IF(N168="zákl. přenesená",J168,0)</f>
        <v>0</v>
      </c>
      <c r="BH168" s="231">
        <f>IF(N168="sníž. přenesená",J168,0)</f>
        <v>0</v>
      </c>
      <c r="BI168" s="231">
        <f>IF(N168="nulová",J168,0)</f>
        <v>0</v>
      </c>
      <c r="BJ168" s="16" t="s">
        <v>8</v>
      </c>
      <c r="BK168" s="231">
        <f>ROUND(I168*H168,0)</f>
        <v>0</v>
      </c>
      <c r="BL168" s="16" t="s">
        <v>163</v>
      </c>
      <c r="BM168" s="230" t="s">
        <v>203</v>
      </c>
    </row>
    <row r="169" s="13" customFormat="1">
      <c r="A169" s="13"/>
      <c r="B169" s="232"/>
      <c r="C169" s="233"/>
      <c r="D169" s="234" t="s">
        <v>165</v>
      </c>
      <c r="E169" s="235" t="s">
        <v>1</v>
      </c>
      <c r="F169" s="236" t="s">
        <v>204</v>
      </c>
      <c r="G169" s="233"/>
      <c r="H169" s="237">
        <v>446.82900000000001</v>
      </c>
      <c r="I169" s="238"/>
      <c r="J169" s="233"/>
      <c r="K169" s="233"/>
      <c r="L169" s="239"/>
      <c r="M169" s="240"/>
      <c r="N169" s="241"/>
      <c r="O169" s="241"/>
      <c r="P169" s="241"/>
      <c r="Q169" s="241"/>
      <c r="R169" s="241"/>
      <c r="S169" s="241"/>
      <c r="T169" s="242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T169" s="243" t="s">
        <v>165</v>
      </c>
      <c r="AU169" s="243" t="s">
        <v>86</v>
      </c>
      <c r="AV169" s="13" t="s">
        <v>86</v>
      </c>
      <c r="AW169" s="13" t="s">
        <v>32</v>
      </c>
      <c r="AX169" s="13" t="s">
        <v>77</v>
      </c>
      <c r="AY169" s="243" t="s">
        <v>157</v>
      </c>
    </row>
    <row r="170" s="13" customFormat="1">
      <c r="A170" s="13"/>
      <c r="B170" s="232"/>
      <c r="C170" s="233"/>
      <c r="D170" s="234" t="s">
        <v>165</v>
      </c>
      <c r="E170" s="235" t="s">
        <v>1</v>
      </c>
      <c r="F170" s="236" t="s">
        <v>205</v>
      </c>
      <c r="G170" s="233"/>
      <c r="H170" s="237">
        <v>29.146999999999998</v>
      </c>
      <c r="I170" s="238"/>
      <c r="J170" s="233"/>
      <c r="K170" s="233"/>
      <c r="L170" s="239"/>
      <c r="M170" s="240"/>
      <c r="N170" s="241"/>
      <c r="O170" s="241"/>
      <c r="P170" s="241"/>
      <c r="Q170" s="241"/>
      <c r="R170" s="241"/>
      <c r="S170" s="241"/>
      <c r="T170" s="242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T170" s="243" t="s">
        <v>165</v>
      </c>
      <c r="AU170" s="243" t="s">
        <v>86</v>
      </c>
      <c r="AV170" s="13" t="s">
        <v>86</v>
      </c>
      <c r="AW170" s="13" t="s">
        <v>32</v>
      </c>
      <c r="AX170" s="13" t="s">
        <v>77</v>
      </c>
      <c r="AY170" s="243" t="s">
        <v>157</v>
      </c>
    </row>
    <row r="171" s="2" customFormat="1" ht="24.15" customHeight="1">
      <c r="A171" s="37"/>
      <c r="B171" s="38"/>
      <c r="C171" s="218" t="s">
        <v>206</v>
      </c>
      <c r="D171" s="218" t="s">
        <v>159</v>
      </c>
      <c r="E171" s="219" t="s">
        <v>207</v>
      </c>
      <c r="F171" s="220" t="s">
        <v>208</v>
      </c>
      <c r="G171" s="221" t="s">
        <v>209</v>
      </c>
      <c r="H171" s="222">
        <v>1128</v>
      </c>
      <c r="I171" s="223"/>
      <c r="J171" s="224">
        <f>ROUND(I171*H171,0)</f>
        <v>0</v>
      </c>
      <c r="K171" s="225"/>
      <c r="L171" s="43"/>
      <c r="M171" s="226" t="s">
        <v>1</v>
      </c>
      <c r="N171" s="227" t="s">
        <v>42</v>
      </c>
      <c r="O171" s="90"/>
      <c r="P171" s="228">
        <f>O171*H171</f>
        <v>0</v>
      </c>
      <c r="Q171" s="228">
        <v>0</v>
      </c>
      <c r="R171" s="228">
        <f>Q171*H171</f>
        <v>0</v>
      </c>
      <c r="S171" s="228">
        <v>0</v>
      </c>
      <c r="T171" s="229">
        <f>S171*H171</f>
        <v>0</v>
      </c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R171" s="230" t="s">
        <v>163</v>
      </c>
      <c r="AT171" s="230" t="s">
        <v>159</v>
      </c>
      <c r="AU171" s="230" t="s">
        <v>86</v>
      </c>
      <c r="AY171" s="16" t="s">
        <v>157</v>
      </c>
      <c r="BE171" s="231">
        <f>IF(N171="základní",J171,0)</f>
        <v>0</v>
      </c>
      <c r="BF171" s="231">
        <f>IF(N171="snížená",J171,0)</f>
        <v>0</v>
      </c>
      <c r="BG171" s="231">
        <f>IF(N171="zákl. přenesená",J171,0)</f>
        <v>0</v>
      </c>
      <c r="BH171" s="231">
        <f>IF(N171="sníž. přenesená",J171,0)</f>
        <v>0</v>
      </c>
      <c r="BI171" s="231">
        <f>IF(N171="nulová",J171,0)</f>
        <v>0</v>
      </c>
      <c r="BJ171" s="16" t="s">
        <v>8</v>
      </c>
      <c r="BK171" s="231">
        <f>ROUND(I171*H171,0)</f>
        <v>0</v>
      </c>
      <c r="BL171" s="16" t="s">
        <v>163</v>
      </c>
      <c r="BM171" s="230" t="s">
        <v>210</v>
      </c>
    </row>
    <row r="172" s="13" customFormat="1">
      <c r="A172" s="13"/>
      <c r="B172" s="232"/>
      <c r="C172" s="233"/>
      <c r="D172" s="234" t="s">
        <v>165</v>
      </c>
      <c r="E172" s="235" t="s">
        <v>1</v>
      </c>
      <c r="F172" s="236" t="s">
        <v>211</v>
      </c>
      <c r="G172" s="233"/>
      <c r="H172" s="237">
        <v>1128</v>
      </c>
      <c r="I172" s="238"/>
      <c r="J172" s="233"/>
      <c r="K172" s="233"/>
      <c r="L172" s="239"/>
      <c r="M172" s="240"/>
      <c r="N172" s="241"/>
      <c r="O172" s="241"/>
      <c r="P172" s="241"/>
      <c r="Q172" s="241"/>
      <c r="R172" s="241"/>
      <c r="S172" s="241"/>
      <c r="T172" s="24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T172" s="243" t="s">
        <v>165</v>
      </c>
      <c r="AU172" s="243" t="s">
        <v>86</v>
      </c>
      <c r="AV172" s="13" t="s">
        <v>86</v>
      </c>
      <c r="AW172" s="13" t="s">
        <v>32</v>
      </c>
      <c r="AX172" s="13" t="s">
        <v>77</v>
      </c>
      <c r="AY172" s="243" t="s">
        <v>157</v>
      </c>
    </row>
    <row r="173" s="12" customFormat="1" ht="22.8" customHeight="1">
      <c r="A173" s="12"/>
      <c r="B173" s="202"/>
      <c r="C173" s="203"/>
      <c r="D173" s="204" t="s">
        <v>76</v>
      </c>
      <c r="E173" s="216" t="s">
        <v>86</v>
      </c>
      <c r="F173" s="216" t="s">
        <v>212</v>
      </c>
      <c r="G173" s="203"/>
      <c r="H173" s="203"/>
      <c r="I173" s="206"/>
      <c r="J173" s="217">
        <f>BK173</f>
        <v>0</v>
      </c>
      <c r="K173" s="203"/>
      <c r="L173" s="208"/>
      <c r="M173" s="209"/>
      <c r="N173" s="210"/>
      <c r="O173" s="210"/>
      <c r="P173" s="211">
        <f>SUM(P174:P205)</f>
        <v>0</v>
      </c>
      <c r="Q173" s="210"/>
      <c r="R173" s="211">
        <f>SUM(R174:R205)</f>
        <v>456.78160353999999</v>
      </c>
      <c r="S173" s="210"/>
      <c r="T173" s="212">
        <f>SUM(T174:T205)</f>
        <v>9.6729999999999983</v>
      </c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R173" s="213" t="s">
        <v>8</v>
      </c>
      <c r="AT173" s="214" t="s">
        <v>76</v>
      </c>
      <c r="AU173" s="214" t="s">
        <v>8</v>
      </c>
      <c r="AY173" s="213" t="s">
        <v>157</v>
      </c>
      <c r="BK173" s="215">
        <f>SUM(BK174:BK205)</f>
        <v>0</v>
      </c>
    </row>
    <row r="174" s="2" customFormat="1" ht="24.15" customHeight="1">
      <c r="A174" s="37"/>
      <c r="B174" s="38"/>
      <c r="C174" s="218" t="s">
        <v>213</v>
      </c>
      <c r="D174" s="218" t="s">
        <v>159</v>
      </c>
      <c r="E174" s="219" t="s">
        <v>214</v>
      </c>
      <c r="F174" s="220" t="s">
        <v>215</v>
      </c>
      <c r="G174" s="221" t="s">
        <v>216</v>
      </c>
      <c r="H174" s="222">
        <v>70.200000000000003</v>
      </c>
      <c r="I174" s="223"/>
      <c r="J174" s="224">
        <f>ROUND(I174*H174,0)</f>
        <v>0</v>
      </c>
      <c r="K174" s="225"/>
      <c r="L174" s="43"/>
      <c r="M174" s="226" t="s">
        <v>1</v>
      </c>
      <c r="N174" s="227" t="s">
        <v>42</v>
      </c>
      <c r="O174" s="90"/>
      <c r="P174" s="228">
        <f>O174*H174</f>
        <v>0</v>
      </c>
      <c r="Q174" s="228">
        <v>0.00010000000000000001</v>
      </c>
      <c r="R174" s="228">
        <f>Q174*H174</f>
        <v>0.0070200000000000002</v>
      </c>
      <c r="S174" s="228">
        <v>0</v>
      </c>
      <c r="T174" s="229">
        <f>S174*H174</f>
        <v>0</v>
      </c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R174" s="230" t="s">
        <v>163</v>
      </c>
      <c r="AT174" s="230" t="s">
        <v>159</v>
      </c>
      <c r="AU174" s="230" t="s">
        <v>86</v>
      </c>
      <c r="AY174" s="16" t="s">
        <v>157</v>
      </c>
      <c r="BE174" s="231">
        <f>IF(N174="základní",J174,0)</f>
        <v>0</v>
      </c>
      <c r="BF174" s="231">
        <f>IF(N174="snížená",J174,0)</f>
        <v>0</v>
      </c>
      <c r="BG174" s="231">
        <f>IF(N174="zákl. přenesená",J174,0)</f>
        <v>0</v>
      </c>
      <c r="BH174" s="231">
        <f>IF(N174="sníž. přenesená",J174,0)</f>
        <v>0</v>
      </c>
      <c r="BI174" s="231">
        <f>IF(N174="nulová",J174,0)</f>
        <v>0</v>
      </c>
      <c r="BJ174" s="16" t="s">
        <v>8</v>
      </c>
      <c r="BK174" s="231">
        <f>ROUND(I174*H174,0)</f>
        <v>0</v>
      </c>
      <c r="BL174" s="16" t="s">
        <v>163</v>
      </c>
      <c r="BM174" s="230" t="s">
        <v>217</v>
      </c>
    </row>
    <row r="175" s="13" customFormat="1">
      <c r="A175" s="13"/>
      <c r="B175" s="232"/>
      <c r="C175" s="233"/>
      <c r="D175" s="234" t="s">
        <v>165</v>
      </c>
      <c r="E175" s="235" t="s">
        <v>1</v>
      </c>
      <c r="F175" s="236" t="s">
        <v>218</v>
      </c>
      <c r="G175" s="233"/>
      <c r="H175" s="237">
        <v>70.200000000000003</v>
      </c>
      <c r="I175" s="238"/>
      <c r="J175" s="233"/>
      <c r="K175" s="233"/>
      <c r="L175" s="239"/>
      <c r="M175" s="240"/>
      <c r="N175" s="241"/>
      <c r="O175" s="241"/>
      <c r="P175" s="241"/>
      <c r="Q175" s="241"/>
      <c r="R175" s="241"/>
      <c r="S175" s="241"/>
      <c r="T175" s="24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T175" s="243" t="s">
        <v>165</v>
      </c>
      <c r="AU175" s="243" t="s">
        <v>86</v>
      </c>
      <c r="AV175" s="13" t="s">
        <v>86</v>
      </c>
      <c r="AW175" s="13" t="s">
        <v>32</v>
      </c>
      <c r="AX175" s="13" t="s">
        <v>77</v>
      </c>
      <c r="AY175" s="243" t="s">
        <v>157</v>
      </c>
    </row>
    <row r="176" s="2" customFormat="1" ht="24.15" customHeight="1">
      <c r="A176" s="37"/>
      <c r="B176" s="38"/>
      <c r="C176" s="218" t="s">
        <v>219</v>
      </c>
      <c r="D176" s="218" t="s">
        <v>159</v>
      </c>
      <c r="E176" s="219" t="s">
        <v>220</v>
      </c>
      <c r="F176" s="220" t="s">
        <v>221</v>
      </c>
      <c r="G176" s="221" t="s">
        <v>216</v>
      </c>
      <c r="H176" s="222">
        <v>96.599999999999994</v>
      </c>
      <c r="I176" s="223"/>
      <c r="J176" s="224">
        <f>ROUND(I176*H176,0)</f>
        <v>0</v>
      </c>
      <c r="K176" s="225"/>
      <c r="L176" s="43"/>
      <c r="M176" s="226" t="s">
        <v>1</v>
      </c>
      <c r="N176" s="227" t="s">
        <v>42</v>
      </c>
      <c r="O176" s="90"/>
      <c r="P176" s="228">
        <f>O176*H176</f>
        <v>0</v>
      </c>
      <c r="Q176" s="228">
        <v>0.00011</v>
      </c>
      <c r="R176" s="228">
        <f>Q176*H176</f>
        <v>0.010626</v>
      </c>
      <c r="S176" s="228">
        <v>0</v>
      </c>
      <c r="T176" s="229">
        <f>S176*H176</f>
        <v>0</v>
      </c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R176" s="230" t="s">
        <v>163</v>
      </c>
      <c r="AT176" s="230" t="s">
        <v>159</v>
      </c>
      <c r="AU176" s="230" t="s">
        <v>86</v>
      </c>
      <c r="AY176" s="16" t="s">
        <v>157</v>
      </c>
      <c r="BE176" s="231">
        <f>IF(N176="základní",J176,0)</f>
        <v>0</v>
      </c>
      <c r="BF176" s="231">
        <f>IF(N176="snížená",J176,0)</f>
        <v>0</v>
      </c>
      <c r="BG176" s="231">
        <f>IF(N176="zákl. přenesená",J176,0)</f>
        <v>0</v>
      </c>
      <c r="BH176" s="231">
        <f>IF(N176="sníž. přenesená",J176,0)</f>
        <v>0</v>
      </c>
      <c r="BI176" s="231">
        <f>IF(N176="nulová",J176,0)</f>
        <v>0</v>
      </c>
      <c r="BJ176" s="16" t="s">
        <v>8</v>
      </c>
      <c r="BK176" s="231">
        <f>ROUND(I176*H176,0)</f>
        <v>0</v>
      </c>
      <c r="BL176" s="16" t="s">
        <v>163</v>
      </c>
      <c r="BM176" s="230" t="s">
        <v>222</v>
      </c>
    </row>
    <row r="177" s="13" customFormat="1">
      <c r="A177" s="13"/>
      <c r="B177" s="232"/>
      <c r="C177" s="233"/>
      <c r="D177" s="234" t="s">
        <v>165</v>
      </c>
      <c r="E177" s="235" t="s">
        <v>1</v>
      </c>
      <c r="F177" s="236" t="s">
        <v>223</v>
      </c>
      <c r="G177" s="233"/>
      <c r="H177" s="237">
        <v>96.599999999999994</v>
      </c>
      <c r="I177" s="238"/>
      <c r="J177" s="233"/>
      <c r="K177" s="233"/>
      <c r="L177" s="239"/>
      <c r="M177" s="240"/>
      <c r="N177" s="241"/>
      <c r="O177" s="241"/>
      <c r="P177" s="241"/>
      <c r="Q177" s="241"/>
      <c r="R177" s="241"/>
      <c r="S177" s="241"/>
      <c r="T177" s="242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T177" s="243" t="s">
        <v>165</v>
      </c>
      <c r="AU177" s="243" t="s">
        <v>86</v>
      </c>
      <c r="AV177" s="13" t="s">
        <v>86</v>
      </c>
      <c r="AW177" s="13" t="s">
        <v>32</v>
      </c>
      <c r="AX177" s="13" t="s">
        <v>77</v>
      </c>
      <c r="AY177" s="243" t="s">
        <v>157</v>
      </c>
    </row>
    <row r="178" s="2" customFormat="1" ht="37.8" customHeight="1">
      <c r="A178" s="37"/>
      <c r="B178" s="38"/>
      <c r="C178" s="218" t="s">
        <v>9</v>
      </c>
      <c r="D178" s="218" t="s">
        <v>159</v>
      </c>
      <c r="E178" s="219" t="s">
        <v>224</v>
      </c>
      <c r="F178" s="220" t="s">
        <v>225</v>
      </c>
      <c r="G178" s="221" t="s">
        <v>216</v>
      </c>
      <c r="H178" s="222">
        <v>166.80000000000001</v>
      </c>
      <c r="I178" s="223"/>
      <c r="J178" s="224">
        <f>ROUND(I178*H178,0)</f>
        <v>0</v>
      </c>
      <c r="K178" s="225"/>
      <c r="L178" s="43"/>
      <c r="M178" s="226" t="s">
        <v>1</v>
      </c>
      <c r="N178" s="227" t="s">
        <v>42</v>
      </c>
      <c r="O178" s="90"/>
      <c r="P178" s="228">
        <f>O178*H178</f>
        <v>0</v>
      </c>
      <c r="Q178" s="228">
        <v>0</v>
      </c>
      <c r="R178" s="228">
        <f>Q178*H178</f>
        <v>0</v>
      </c>
      <c r="S178" s="228">
        <v>0</v>
      </c>
      <c r="T178" s="229">
        <f>S178*H178</f>
        <v>0</v>
      </c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R178" s="230" t="s">
        <v>163</v>
      </c>
      <c r="AT178" s="230" t="s">
        <v>159</v>
      </c>
      <c r="AU178" s="230" t="s">
        <v>86</v>
      </c>
      <c r="AY178" s="16" t="s">
        <v>157</v>
      </c>
      <c r="BE178" s="231">
        <f>IF(N178="základní",J178,0)</f>
        <v>0</v>
      </c>
      <c r="BF178" s="231">
        <f>IF(N178="snížená",J178,0)</f>
        <v>0</v>
      </c>
      <c r="BG178" s="231">
        <f>IF(N178="zákl. přenesená",J178,0)</f>
        <v>0</v>
      </c>
      <c r="BH178" s="231">
        <f>IF(N178="sníž. přenesená",J178,0)</f>
        <v>0</v>
      </c>
      <c r="BI178" s="231">
        <f>IF(N178="nulová",J178,0)</f>
        <v>0</v>
      </c>
      <c r="BJ178" s="16" t="s">
        <v>8</v>
      </c>
      <c r="BK178" s="231">
        <f>ROUND(I178*H178,0)</f>
        <v>0</v>
      </c>
      <c r="BL178" s="16" t="s">
        <v>163</v>
      </c>
      <c r="BM178" s="230" t="s">
        <v>226</v>
      </c>
    </row>
    <row r="179" s="13" customFormat="1">
      <c r="A179" s="13"/>
      <c r="B179" s="232"/>
      <c r="C179" s="233"/>
      <c r="D179" s="234" t="s">
        <v>165</v>
      </c>
      <c r="E179" s="235" t="s">
        <v>1</v>
      </c>
      <c r="F179" s="236" t="s">
        <v>227</v>
      </c>
      <c r="G179" s="233"/>
      <c r="H179" s="237">
        <v>166.80000000000001</v>
      </c>
      <c r="I179" s="238"/>
      <c r="J179" s="233"/>
      <c r="K179" s="233"/>
      <c r="L179" s="239"/>
      <c r="M179" s="240"/>
      <c r="N179" s="241"/>
      <c r="O179" s="241"/>
      <c r="P179" s="241"/>
      <c r="Q179" s="241"/>
      <c r="R179" s="241"/>
      <c r="S179" s="241"/>
      <c r="T179" s="24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T179" s="243" t="s">
        <v>165</v>
      </c>
      <c r="AU179" s="243" t="s">
        <v>86</v>
      </c>
      <c r="AV179" s="13" t="s">
        <v>86</v>
      </c>
      <c r="AW179" s="13" t="s">
        <v>32</v>
      </c>
      <c r="AX179" s="13" t="s">
        <v>77</v>
      </c>
      <c r="AY179" s="243" t="s">
        <v>157</v>
      </c>
    </row>
    <row r="180" s="2" customFormat="1" ht="24.15" customHeight="1">
      <c r="A180" s="37"/>
      <c r="B180" s="38"/>
      <c r="C180" s="254" t="s">
        <v>228</v>
      </c>
      <c r="D180" s="254" t="s">
        <v>229</v>
      </c>
      <c r="E180" s="255" t="s">
        <v>230</v>
      </c>
      <c r="F180" s="256" t="s">
        <v>231</v>
      </c>
      <c r="G180" s="257" t="s">
        <v>162</v>
      </c>
      <c r="H180" s="258">
        <v>54.595999999999997</v>
      </c>
      <c r="I180" s="259"/>
      <c r="J180" s="260">
        <f>ROUND(I180*H180,0)</f>
        <v>0</v>
      </c>
      <c r="K180" s="261"/>
      <c r="L180" s="262"/>
      <c r="M180" s="263" t="s">
        <v>1</v>
      </c>
      <c r="N180" s="264" t="s">
        <v>42</v>
      </c>
      <c r="O180" s="90"/>
      <c r="P180" s="228">
        <f>O180*H180</f>
        <v>0</v>
      </c>
      <c r="Q180" s="228">
        <v>2.4289999999999998</v>
      </c>
      <c r="R180" s="228">
        <f>Q180*H180</f>
        <v>132.61368399999998</v>
      </c>
      <c r="S180" s="228">
        <v>0</v>
      </c>
      <c r="T180" s="229">
        <f>S180*H180</f>
        <v>0</v>
      </c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R180" s="230" t="s">
        <v>200</v>
      </c>
      <c r="AT180" s="230" t="s">
        <v>229</v>
      </c>
      <c r="AU180" s="230" t="s">
        <v>86</v>
      </c>
      <c r="AY180" s="16" t="s">
        <v>157</v>
      </c>
      <c r="BE180" s="231">
        <f>IF(N180="základní",J180,0)</f>
        <v>0</v>
      </c>
      <c r="BF180" s="231">
        <f>IF(N180="snížená",J180,0)</f>
        <v>0</v>
      </c>
      <c r="BG180" s="231">
        <f>IF(N180="zákl. přenesená",J180,0)</f>
        <v>0</v>
      </c>
      <c r="BH180" s="231">
        <f>IF(N180="sníž. přenesená",J180,0)</f>
        <v>0</v>
      </c>
      <c r="BI180" s="231">
        <f>IF(N180="nulová",J180,0)</f>
        <v>0</v>
      </c>
      <c r="BJ180" s="16" t="s">
        <v>8</v>
      </c>
      <c r="BK180" s="231">
        <f>ROUND(I180*H180,0)</f>
        <v>0</v>
      </c>
      <c r="BL180" s="16" t="s">
        <v>163</v>
      </c>
      <c r="BM180" s="230" t="s">
        <v>232</v>
      </c>
    </row>
    <row r="181" s="13" customFormat="1">
      <c r="A181" s="13"/>
      <c r="B181" s="232"/>
      <c r="C181" s="233"/>
      <c r="D181" s="234" t="s">
        <v>165</v>
      </c>
      <c r="E181" s="235" t="s">
        <v>1</v>
      </c>
      <c r="F181" s="236" t="s">
        <v>233</v>
      </c>
      <c r="G181" s="233"/>
      <c r="H181" s="237">
        <v>51.996000000000002</v>
      </c>
      <c r="I181" s="238"/>
      <c r="J181" s="233"/>
      <c r="K181" s="233"/>
      <c r="L181" s="239"/>
      <c r="M181" s="240"/>
      <c r="N181" s="241"/>
      <c r="O181" s="241"/>
      <c r="P181" s="241"/>
      <c r="Q181" s="241"/>
      <c r="R181" s="241"/>
      <c r="S181" s="241"/>
      <c r="T181" s="24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T181" s="243" t="s">
        <v>165</v>
      </c>
      <c r="AU181" s="243" t="s">
        <v>86</v>
      </c>
      <c r="AV181" s="13" t="s">
        <v>86</v>
      </c>
      <c r="AW181" s="13" t="s">
        <v>32</v>
      </c>
      <c r="AX181" s="13" t="s">
        <v>8</v>
      </c>
      <c r="AY181" s="243" t="s">
        <v>157</v>
      </c>
    </row>
    <row r="182" s="13" customFormat="1">
      <c r="A182" s="13"/>
      <c r="B182" s="232"/>
      <c r="C182" s="233"/>
      <c r="D182" s="234" t="s">
        <v>165</v>
      </c>
      <c r="E182" s="233"/>
      <c r="F182" s="236" t="s">
        <v>234</v>
      </c>
      <c r="G182" s="233"/>
      <c r="H182" s="237">
        <v>54.595999999999997</v>
      </c>
      <c r="I182" s="238"/>
      <c r="J182" s="233"/>
      <c r="K182" s="233"/>
      <c r="L182" s="239"/>
      <c r="M182" s="240"/>
      <c r="N182" s="241"/>
      <c r="O182" s="241"/>
      <c r="P182" s="241"/>
      <c r="Q182" s="241"/>
      <c r="R182" s="241"/>
      <c r="S182" s="241"/>
      <c r="T182" s="24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T182" s="243" t="s">
        <v>165</v>
      </c>
      <c r="AU182" s="243" t="s">
        <v>86</v>
      </c>
      <c r="AV182" s="13" t="s">
        <v>86</v>
      </c>
      <c r="AW182" s="13" t="s">
        <v>4</v>
      </c>
      <c r="AX182" s="13" t="s">
        <v>8</v>
      </c>
      <c r="AY182" s="243" t="s">
        <v>157</v>
      </c>
    </row>
    <row r="183" s="2" customFormat="1" ht="24.15" customHeight="1">
      <c r="A183" s="37"/>
      <c r="B183" s="38"/>
      <c r="C183" s="218" t="s">
        <v>235</v>
      </c>
      <c r="D183" s="218" t="s">
        <v>159</v>
      </c>
      <c r="E183" s="219" t="s">
        <v>236</v>
      </c>
      <c r="F183" s="220" t="s">
        <v>237</v>
      </c>
      <c r="G183" s="221" t="s">
        <v>193</v>
      </c>
      <c r="H183" s="222">
        <v>6.1070000000000002</v>
      </c>
      <c r="I183" s="223"/>
      <c r="J183" s="224">
        <f>ROUND(I183*H183,0)</f>
        <v>0</v>
      </c>
      <c r="K183" s="225"/>
      <c r="L183" s="43"/>
      <c r="M183" s="226" t="s">
        <v>1</v>
      </c>
      <c r="N183" s="227" t="s">
        <v>42</v>
      </c>
      <c r="O183" s="90"/>
      <c r="P183" s="228">
        <f>O183*H183</f>
        <v>0</v>
      </c>
      <c r="Q183" s="228">
        <v>1.11381</v>
      </c>
      <c r="R183" s="228">
        <f>Q183*H183</f>
        <v>6.8020376699999998</v>
      </c>
      <c r="S183" s="228">
        <v>0</v>
      </c>
      <c r="T183" s="229">
        <f>S183*H183</f>
        <v>0</v>
      </c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R183" s="230" t="s">
        <v>163</v>
      </c>
      <c r="AT183" s="230" t="s">
        <v>159</v>
      </c>
      <c r="AU183" s="230" t="s">
        <v>86</v>
      </c>
      <c r="AY183" s="16" t="s">
        <v>157</v>
      </c>
      <c r="BE183" s="231">
        <f>IF(N183="základní",J183,0)</f>
        <v>0</v>
      </c>
      <c r="BF183" s="231">
        <f>IF(N183="snížená",J183,0)</f>
        <v>0</v>
      </c>
      <c r="BG183" s="231">
        <f>IF(N183="zákl. přenesená",J183,0)</f>
        <v>0</v>
      </c>
      <c r="BH183" s="231">
        <f>IF(N183="sníž. přenesená",J183,0)</f>
        <v>0</v>
      </c>
      <c r="BI183" s="231">
        <f>IF(N183="nulová",J183,0)</f>
        <v>0</v>
      </c>
      <c r="BJ183" s="16" t="s">
        <v>8</v>
      </c>
      <c r="BK183" s="231">
        <f>ROUND(I183*H183,0)</f>
        <v>0</v>
      </c>
      <c r="BL183" s="16" t="s">
        <v>163</v>
      </c>
      <c r="BM183" s="230" t="s">
        <v>238</v>
      </c>
    </row>
    <row r="184" s="13" customFormat="1">
      <c r="A184" s="13"/>
      <c r="B184" s="232"/>
      <c r="C184" s="233"/>
      <c r="D184" s="234" t="s">
        <v>165</v>
      </c>
      <c r="E184" s="235" t="s">
        <v>1</v>
      </c>
      <c r="F184" s="236" t="s">
        <v>239</v>
      </c>
      <c r="G184" s="233"/>
      <c r="H184" s="237">
        <v>5.4379999999999997</v>
      </c>
      <c r="I184" s="238"/>
      <c r="J184" s="233"/>
      <c r="K184" s="233"/>
      <c r="L184" s="239"/>
      <c r="M184" s="240"/>
      <c r="N184" s="241"/>
      <c r="O184" s="241"/>
      <c r="P184" s="241"/>
      <c r="Q184" s="241"/>
      <c r="R184" s="241"/>
      <c r="S184" s="241"/>
      <c r="T184" s="242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T184" s="243" t="s">
        <v>165</v>
      </c>
      <c r="AU184" s="243" t="s">
        <v>86</v>
      </c>
      <c r="AV184" s="13" t="s">
        <v>86</v>
      </c>
      <c r="AW184" s="13" t="s">
        <v>32</v>
      </c>
      <c r="AX184" s="13" t="s">
        <v>77</v>
      </c>
      <c r="AY184" s="243" t="s">
        <v>157</v>
      </c>
    </row>
    <row r="185" s="13" customFormat="1">
      <c r="A185" s="13"/>
      <c r="B185" s="232"/>
      <c r="C185" s="233"/>
      <c r="D185" s="234" t="s">
        <v>165</v>
      </c>
      <c r="E185" s="235" t="s">
        <v>1</v>
      </c>
      <c r="F185" s="236" t="s">
        <v>240</v>
      </c>
      <c r="G185" s="233"/>
      <c r="H185" s="237">
        <v>0.66900000000000004</v>
      </c>
      <c r="I185" s="238"/>
      <c r="J185" s="233"/>
      <c r="K185" s="233"/>
      <c r="L185" s="239"/>
      <c r="M185" s="240"/>
      <c r="N185" s="241"/>
      <c r="O185" s="241"/>
      <c r="P185" s="241"/>
      <c r="Q185" s="241"/>
      <c r="R185" s="241"/>
      <c r="S185" s="241"/>
      <c r="T185" s="24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T185" s="243" t="s">
        <v>165</v>
      </c>
      <c r="AU185" s="243" t="s">
        <v>86</v>
      </c>
      <c r="AV185" s="13" t="s">
        <v>86</v>
      </c>
      <c r="AW185" s="13" t="s">
        <v>32</v>
      </c>
      <c r="AX185" s="13" t="s">
        <v>77</v>
      </c>
      <c r="AY185" s="243" t="s">
        <v>157</v>
      </c>
    </row>
    <row r="186" s="2" customFormat="1" ht="24.15" customHeight="1">
      <c r="A186" s="37"/>
      <c r="B186" s="38"/>
      <c r="C186" s="218" t="s">
        <v>241</v>
      </c>
      <c r="D186" s="218" t="s">
        <v>159</v>
      </c>
      <c r="E186" s="219" t="s">
        <v>242</v>
      </c>
      <c r="F186" s="220" t="s">
        <v>243</v>
      </c>
      <c r="G186" s="221" t="s">
        <v>216</v>
      </c>
      <c r="H186" s="222">
        <v>17</v>
      </c>
      <c r="I186" s="223"/>
      <c r="J186" s="224">
        <f>ROUND(I186*H186,0)</f>
        <v>0</v>
      </c>
      <c r="K186" s="225"/>
      <c r="L186" s="43"/>
      <c r="M186" s="226" t="s">
        <v>1</v>
      </c>
      <c r="N186" s="227" t="s">
        <v>42</v>
      </c>
      <c r="O186" s="90"/>
      <c r="P186" s="228">
        <f>O186*H186</f>
        <v>0</v>
      </c>
      <c r="Q186" s="228">
        <v>0</v>
      </c>
      <c r="R186" s="228">
        <f>Q186*H186</f>
        <v>0</v>
      </c>
      <c r="S186" s="228">
        <v>0.56899999999999995</v>
      </c>
      <c r="T186" s="229">
        <f>S186*H186</f>
        <v>9.6729999999999983</v>
      </c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R186" s="230" t="s">
        <v>163</v>
      </c>
      <c r="AT186" s="230" t="s">
        <v>159</v>
      </c>
      <c r="AU186" s="230" t="s">
        <v>86</v>
      </c>
      <c r="AY186" s="16" t="s">
        <v>157</v>
      </c>
      <c r="BE186" s="231">
        <f>IF(N186="základní",J186,0)</f>
        <v>0</v>
      </c>
      <c r="BF186" s="231">
        <f>IF(N186="snížená",J186,0)</f>
        <v>0</v>
      </c>
      <c r="BG186" s="231">
        <f>IF(N186="zákl. přenesená",J186,0)</f>
        <v>0</v>
      </c>
      <c r="BH186" s="231">
        <f>IF(N186="sníž. přenesená",J186,0)</f>
        <v>0</v>
      </c>
      <c r="BI186" s="231">
        <f>IF(N186="nulová",J186,0)</f>
        <v>0</v>
      </c>
      <c r="BJ186" s="16" t="s">
        <v>8</v>
      </c>
      <c r="BK186" s="231">
        <f>ROUND(I186*H186,0)</f>
        <v>0</v>
      </c>
      <c r="BL186" s="16" t="s">
        <v>163</v>
      </c>
      <c r="BM186" s="230" t="s">
        <v>244</v>
      </c>
    </row>
    <row r="187" s="13" customFormat="1">
      <c r="A187" s="13"/>
      <c r="B187" s="232"/>
      <c r="C187" s="233"/>
      <c r="D187" s="234" t="s">
        <v>165</v>
      </c>
      <c r="E187" s="235" t="s">
        <v>1</v>
      </c>
      <c r="F187" s="236" t="s">
        <v>245</v>
      </c>
      <c r="G187" s="233"/>
      <c r="H187" s="237">
        <v>17</v>
      </c>
      <c r="I187" s="238"/>
      <c r="J187" s="233"/>
      <c r="K187" s="233"/>
      <c r="L187" s="239"/>
      <c r="M187" s="240"/>
      <c r="N187" s="241"/>
      <c r="O187" s="241"/>
      <c r="P187" s="241"/>
      <c r="Q187" s="241"/>
      <c r="R187" s="241"/>
      <c r="S187" s="241"/>
      <c r="T187" s="24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T187" s="243" t="s">
        <v>165</v>
      </c>
      <c r="AU187" s="243" t="s">
        <v>86</v>
      </c>
      <c r="AV187" s="13" t="s">
        <v>86</v>
      </c>
      <c r="AW187" s="13" t="s">
        <v>32</v>
      </c>
      <c r="AX187" s="13" t="s">
        <v>77</v>
      </c>
      <c r="AY187" s="243" t="s">
        <v>157</v>
      </c>
    </row>
    <row r="188" s="2" customFormat="1" ht="24.15" customHeight="1">
      <c r="A188" s="37"/>
      <c r="B188" s="38"/>
      <c r="C188" s="218" t="s">
        <v>246</v>
      </c>
      <c r="D188" s="218" t="s">
        <v>159</v>
      </c>
      <c r="E188" s="219" t="s">
        <v>247</v>
      </c>
      <c r="F188" s="220" t="s">
        <v>248</v>
      </c>
      <c r="G188" s="221" t="s">
        <v>162</v>
      </c>
      <c r="H188" s="222">
        <v>40.18</v>
      </c>
      <c r="I188" s="223"/>
      <c r="J188" s="224">
        <f>ROUND(I188*H188,0)</f>
        <v>0</v>
      </c>
      <c r="K188" s="225"/>
      <c r="L188" s="43"/>
      <c r="M188" s="226" t="s">
        <v>1</v>
      </c>
      <c r="N188" s="227" t="s">
        <v>42</v>
      </c>
      <c r="O188" s="90"/>
      <c r="P188" s="228">
        <f>O188*H188</f>
        <v>0</v>
      </c>
      <c r="Q188" s="228">
        <v>2.5236100000000001</v>
      </c>
      <c r="R188" s="228">
        <f>Q188*H188</f>
        <v>101.3986498</v>
      </c>
      <c r="S188" s="228">
        <v>0</v>
      </c>
      <c r="T188" s="229">
        <f>S188*H188</f>
        <v>0</v>
      </c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R188" s="230" t="s">
        <v>163</v>
      </c>
      <c r="AT188" s="230" t="s">
        <v>159</v>
      </c>
      <c r="AU188" s="230" t="s">
        <v>86</v>
      </c>
      <c r="AY188" s="16" t="s">
        <v>157</v>
      </c>
      <c r="BE188" s="231">
        <f>IF(N188="základní",J188,0)</f>
        <v>0</v>
      </c>
      <c r="BF188" s="231">
        <f>IF(N188="snížená",J188,0)</f>
        <v>0</v>
      </c>
      <c r="BG188" s="231">
        <f>IF(N188="zákl. přenesená",J188,0)</f>
        <v>0</v>
      </c>
      <c r="BH188" s="231">
        <f>IF(N188="sníž. přenesená",J188,0)</f>
        <v>0</v>
      </c>
      <c r="BI188" s="231">
        <f>IF(N188="nulová",J188,0)</f>
        <v>0</v>
      </c>
      <c r="BJ188" s="16" t="s">
        <v>8</v>
      </c>
      <c r="BK188" s="231">
        <f>ROUND(I188*H188,0)</f>
        <v>0</v>
      </c>
      <c r="BL188" s="16" t="s">
        <v>163</v>
      </c>
      <c r="BM188" s="230" t="s">
        <v>249</v>
      </c>
    </row>
    <row r="189" s="13" customFormat="1">
      <c r="A189" s="13"/>
      <c r="B189" s="232"/>
      <c r="C189" s="233"/>
      <c r="D189" s="234" t="s">
        <v>165</v>
      </c>
      <c r="E189" s="235" t="s">
        <v>1</v>
      </c>
      <c r="F189" s="236" t="s">
        <v>250</v>
      </c>
      <c r="G189" s="233"/>
      <c r="H189" s="237">
        <v>40.18</v>
      </c>
      <c r="I189" s="238"/>
      <c r="J189" s="233"/>
      <c r="K189" s="233"/>
      <c r="L189" s="239"/>
      <c r="M189" s="240"/>
      <c r="N189" s="241"/>
      <c r="O189" s="241"/>
      <c r="P189" s="241"/>
      <c r="Q189" s="241"/>
      <c r="R189" s="241"/>
      <c r="S189" s="241"/>
      <c r="T189" s="24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T189" s="243" t="s">
        <v>165</v>
      </c>
      <c r="AU189" s="243" t="s">
        <v>86</v>
      </c>
      <c r="AV189" s="13" t="s">
        <v>86</v>
      </c>
      <c r="AW189" s="13" t="s">
        <v>32</v>
      </c>
      <c r="AX189" s="13" t="s">
        <v>77</v>
      </c>
      <c r="AY189" s="243" t="s">
        <v>157</v>
      </c>
    </row>
    <row r="190" s="2" customFormat="1" ht="16.5" customHeight="1">
      <c r="A190" s="37"/>
      <c r="B190" s="38"/>
      <c r="C190" s="218" t="s">
        <v>251</v>
      </c>
      <c r="D190" s="218" t="s">
        <v>159</v>
      </c>
      <c r="E190" s="219" t="s">
        <v>252</v>
      </c>
      <c r="F190" s="220" t="s">
        <v>253</v>
      </c>
      <c r="G190" s="221" t="s">
        <v>209</v>
      </c>
      <c r="H190" s="222">
        <v>22.606000000000002</v>
      </c>
      <c r="I190" s="223"/>
      <c r="J190" s="224">
        <f>ROUND(I190*H190,0)</f>
        <v>0</v>
      </c>
      <c r="K190" s="225"/>
      <c r="L190" s="43"/>
      <c r="M190" s="226" t="s">
        <v>1</v>
      </c>
      <c r="N190" s="227" t="s">
        <v>42</v>
      </c>
      <c r="O190" s="90"/>
      <c r="P190" s="228">
        <f>O190*H190</f>
        <v>0</v>
      </c>
      <c r="Q190" s="228">
        <v>0.0029399999999999999</v>
      </c>
      <c r="R190" s="228">
        <f>Q190*H190</f>
        <v>0.066461640000000002</v>
      </c>
      <c r="S190" s="228">
        <v>0</v>
      </c>
      <c r="T190" s="229">
        <f>S190*H190</f>
        <v>0</v>
      </c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R190" s="230" t="s">
        <v>163</v>
      </c>
      <c r="AT190" s="230" t="s">
        <v>159</v>
      </c>
      <c r="AU190" s="230" t="s">
        <v>86</v>
      </c>
      <c r="AY190" s="16" t="s">
        <v>157</v>
      </c>
      <c r="BE190" s="231">
        <f>IF(N190="základní",J190,0)</f>
        <v>0</v>
      </c>
      <c r="BF190" s="231">
        <f>IF(N190="snížená",J190,0)</f>
        <v>0</v>
      </c>
      <c r="BG190" s="231">
        <f>IF(N190="zákl. přenesená",J190,0)</f>
        <v>0</v>
      </c>
      <c r="BH190" s="231">
        <f>IF(N190="sníž. přenesená",J190,0)</f>
        <v>0</v>
      </c>
      <c r="BI190" s="231">
        <f>IF(N190="nulová",J190,0)</f>
        <v>0</v>
      </c>
      <c r="BJ190" s="16" t="s">
        <v>8</v>
      </c>
      <c r="BK190" s="231">
        <f>ROUND(I190*H190,0)</f>
        <v>0</v>
      </c>
      <c r="BL190" s="16" t="s">
        <v>163</v>
      </c>
      <c r="BM190" s="230" t="s">
        <v>254</v>
      </c>
    </row>
    <row r="191" s="13" customFormat="1">
      <c r="A191" s="13"/>
      <c r="B191" s="232"/>
      <c r="C191" s="233"/>
      <c r="D191" s="234" t="s">
        <v>165</v>
      </c>
      <c r="E191" s="235" t="s">
        <v>1</v>
      </c>
      <c r="F191" s="236" t="s">
        <v>255</v>
      </c>
      <c r="G191" s="233"/>
      <c r="H191" s="237">
        <v>22.606000000000002</v>
      </c>
      <c r="I191" s="238"/>
      <c r="J191" s="233"/>
      <c r="K191" s="233"/>
      <c r="L191" s="239"/>
      <c r="M191" s="240"/>
      <c r="N191" s="241"/>
      <c r="O191" s="241"/>
      <c r="P191" s="241"/>
      <c r="Q191" s="241"/>
      <c r="R191" s="241"/>
      <c r="S191" s="241"/>
      <c r="T191" s="24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T191" s="243" t="s">
        <v>165</v>
      </c>
      <c r="AU191" s="243" t="s">
        <v>86</v>
      </c>
      <c r="AV191" s="13" t="s">
        <v>86</v>
      </c>
      <c r="AW191" s="13" t="s">
        <v>32</v>
      </c>
      <c r="AX191" s="13" t="s">
        <v>77</v>
      </c>
      <c r="AY191" s="243" t="s">
        <v>157</v>
      </c>
    </row>
    <row r="192" s="2" customFormat="1" ht="16.5" customHeight="1">
      <c r="A192" s="37"/>
      <c r="B192" s="38"/>
      <c r="C192" s="218" t="s">
        <v>256</v>
      </c>
      <c r="D192" s="218" t="s">
        <v>159</v>
      </c>
      <c r="E192" s="219" t="s">
        <v>257</v>
      </c>
      <c r="F192" s="220" t="s">
        <v>258</v>
      </c>
      <c r="G192" s="221" t="s">
        <v>209</v>
      </c>
      <c r="H192" s="222">
        <v>22.606000000000002</v>
      </c>
      <c r="I192" s="223"/>
      <c r="J192" s="224">
        <f>ROUND(I192*H192,0)</f>
        <v>0</v>
      </c>
      <c r="K192" s="225"/>
      <c r="L192" s="43"/>
      <c r="M192" s="226" t="s">
        <v>1</v>
      </c>
      <c r="N192" s="227" t="s">
        <v>42</v>
      </c>
      <c r="O192" s="90"/>
      <c r="P192" s="228">
        <f>O192*H192</f>
        <v>0</v>
      </c>
      <c r="Q192" s="228">
        <v>0</v>
      </c>
      <c r="R192" s="228">
        <f>Q192*H192</f>
        <v>0</v>
      </c>
      <c r="S192" s="228">
        <v>0</v>
      </c>
      <c r="T192" s="229">
        <f>S192*H192</f>
        <v>0</v>
      </c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R192" s="230" t="s">
        <v>163</v>
      </c>
      <c r="AT192" s="230" t="s">
        <v>159</v>
      </c>
      <c r="AU192" s="230" t="s">
        <v>86</v>
      </c>
      <c r="AY192" s="16" t="s">
        <v>157</v>
      </c>
      <c r="BE192" s="231">
        <f>IF(N192="základní",J192,0)</f>
        <v>0</v>
      </c>
      <c r="BF192" s="231">
        <f>IF(N192="snížená",J192,0)</f>
        <v>0</v>
      </c>
      <c r="BG192" s="231">
        <f>IF(N192="zákl. přenesená",J192,0)</f>
        <v>0</v>
      </c>
      <c r="BH192" s="231">
        <f>IF(N192="sníž. přenesená",J192,0)</f>
        <v>0</v>
      </c>
      <c r="BI192" s="231">
        <f>IF(N192="nulová",J192,0)</f>
        <v>0</v>
      </c>
      <c r="BJ192" s="16" t="s">
        <v>8</v>
      </c>
      <c r="BK192" s="231">
        <f>ROUND(I192*H192,0)</f>
        <v>0</v>
      </c>
      <c r="BL192" s="16" t="s">
        <v>163</v>
      </c>
      <c r="BM192" s="230" t="s">
        <v>259</v>
      </c>
    </row>
    <row r="193" s="2" customFormat="1" ht="21.75" customHeight="1">
      <c r="A193" s="37"/>
      <c r="B193" s="38"/>
      <c r="C193" s="218" t="s">
        <v>260</v>
      </c>
      <c r="D193" s="218" t="s">
        <v>159</v>
      </c>
      <c r="E193" s="219" t="s">
        <v>261</v>
      </c>
      <c r="F193" s="220" t="s">
        <v>262</v>
      </c>
      <c r="G193" s="221" t="s">
        <v>193</v>
      </c>
      <c r="H193" s="222">
        <v>3.6160000000000001</v>
      </c>
      <c r="I193" s="223"/>
      <c r="J193" s="224">
        <f>ROUND(I193*H193,0)</f>
        <v>0</v>
      </c>
      <c r="K193" s="225"/>
      <c r="L193" s="43"/>
      <c r="M193" s="226" t="s">
        <v>1</v>
      </c>
      <c r="N193" s="227" t="s">
        <v>42</v>
      </c>
      <c r="O193" s="90"/>
      <c r="P193" s="228">
        <f>O193*H193</f>
        <v>0</v>
      </c>
      <c r="Q193" s="228">
        <v>1.0606199999999999</v>
      </c>
      <c r="R193" s="228">
        <f>Q193*H193</f>
        <v>3.8352019199999998</v>
      </c>
      <c r="S193" s="228">
        <v>0</v>
      </c>
      <c r="T193" s="229">
        <f>S193*H193</f>
        <v>0</v>
      </c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R193" s="230" t="s">
        <v>163</v>
      </c>
      <c r="AT193" s="230" t="s">
        <v>159</v>
      </c>
      <c r="AU193" s="230" t="s">
        <v>86</v>
      </c>
      <c r="AY193" s="16" t="s">
        <v>157</v>
      </c>
      <c r="BE193" s="231">
        <f>IF(N193="základní",J193,0)</f>
        <v>0</v>
      </c>
      <c r="BF193" s="231">
        <f>IF(N193="snížená",J193,0)</f>
        <v>0</v>
      </c>
      <c r="BG193" s="231">
        <f>IF(N193="zákl. přenesená",J193,0)</f>
        <v>0</v>
      </c>
      <c r="BH193" s="231">
        <f>IF(N193="sníž. přenesená",J193,0)</f>
        <v>0</v>
      </c>
      <c r="BI193" s="231">
        <f>IF(N193="nulová",J193,0)</f>
        <v>0</v>
      </c>
      <c r="BJ193" s="16" t="s">
        <v>8</v>
      </c>
      <c r="BK193" s="231">
        <f>ROUND(I193*H193,0)</f>
        <v>0</v>
      </c>
      <c r="BL193" s="16" t="s">
        <v>163</v>
      </c>
      <c r="BM193" s="230" t="s">
        <v>263</v>
      </c>
    </row>
    <row r="194" s="13" customFormat="1">
      <c r="A194" s="13"/>
      <c r="B194" s="232"/>
      <c r="C194" s="233"/>
      <c r="D194" s="234" t="s">
        <v>165</v>
      </c>
      <c r="E194" s="235" t="s">
        <v>1</v>
      </c>
      <c r="F194" s="236" t="s">
        <v>264</v>
      </c>
      <c r="G194" s="233"/>
      <c r="H194" s="237">
        <v>3.6160000000000001</v>
      </c>
      <c r="I194" s="238"/>
      <c r="J194" s="233"/>
      <c r="K194" s="233"/>
      <c r="L194" s="239"/>
      <c r="M194" s="240"/>
      <c r="N194" s="241"/>
      <c r="O194" s="241"/>
      <c r="P194" s="241"/>
      <c r="Q194" s="241"/>
      <c r="R194" s="241"/>
      <c r="S194" s="241"/>
      <c r="T194" s="242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T194" s="243" t="s">
        <v>165</v>
      </c>
      <c r="AU194" s="243" t="s">
        <v>86</v>
      </c>
      <c r="AV194" s="13" t="s">
        <v>86</v>
      </c>
      <c r="AW194" s="13" t="s">
        <v>32</v>
      </c>
      <c r="AX194" s="13" t="s">
        <v>77</v>
      </c>
      <c r="AY194" s="243" t="s">
        <v>157</v>
      </c>
    </row>
    <row r="195" s="2" customFormat="1" ht="24.15" customHeight="1">
      <c r="A195" s="37"/>
      <c r="B195" s="38"/>
      <c r="C195" s="218" t="s">
        <v>265</v>
      </c>
      <c r="D195" s="218" t="s">
        <v>159</v>
      </c>
      <c r="E195" s="219" t="s">
        <v>266</v>
      </c>
      <c r="F195" s="220" t="s">
        <v>267</v>
      </c>
      <c r="G195" s="221" t="s">
        <v>162</v>
      </c>
      <c r="H195" s="222">
        <v>81.331000000000003</v>
      </c>
      <c r="I195" s="223"/>
      <c r="J195" s="224">
        <f>ROUND(I195*H195,0)</f>
        <v>0</v>
      </c>
      <c r="K195" s="225"/>
      <c r="L195" s="43"/>
      <c r="M195" s="226" t="s">
        <v>1</v>
      </c>
      <c r="N195" s="227" t="s">
        <v>42</v>
      </c>
      <c r="O195" s="90"/>
      <c r="P195" s="228">
        <f>O195*H195</f>
        <v>0</v>
      </c>
      <c r="Q195" s="228">
        <v>2.5018699999999998</v>
      </c>
      <c r="R195" s="228">
        <f>Q195*H195</f>
        <v>203.47958896999998</v>
      </c>
      <c r="S195" s="228">
        <v>0</v>
      </c>
      <c r="T195" s="229">
        <f>S195*H195</f>
        <v>0</v>
      </c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R195" s="230" t="s">
        <v>163</v>
      </c>
      <c r="AT195" s="230" t="s">
        <v>159</v>
      </c>
      <c r="AU195" s="230" t="s">
        <v>86</v>
      </c>
      <c r="AY195" s="16" t="s">
        <v>157</v>
      </c>
      <c r="BE195" s="231">
        <f>IF(N195="základní",J195,0)</f>
        <v>0</v>
      </c>
      <c r="BF195" s="231">
        <f>IF(N195="snížená",J195,0)</f>
        <v>0</v>
      </c>
      <c r="BG195" s="231">
        <f>IF(N195="zákl. přenesená",J195,0)</f>
        <v>0</v>
      </c>
      <c r="BH195" s="231">
        <f>IF(N195="sníž. přenesená",J195,0)</f>
        <v>0</v>
      </c>
      <c r="BI195" s="231">
        <f>IF(N195="nulová",J195,0)</f>
        <v>0</v>
      </c>
      <c r="BJ195" s="16" t="s">
        <v>8</v>
      </c>
      <c r="BK195" s="231">
        <f>ROUND(I195*H195,0)</f>
        <v>0</v>
      </c>
      <c r="BL195" s="16" t="s">
        <v>163</v>
      </c>
      <c r="BM195" s="230" t="s">
        <v>268</v>
      </c>
    </row>
    <row r="196" s="13" customFormat="1">
      <c r="A196" s="13"/>
      <c r="B196" s="232"/>
      <c r="C196" s="233"/>
      <c r="D196" s="234" t="s">
        <v>165</v>
      </c>
      <c r="E196" s="235" t="s">
        <v>1</v>
      </c>
      <c r="F196" s="236" t="s">
        <v>269</v>
      </c>
      <c r="G196" s="233"/>
      <c r="H196" s="237">
        <v>29.628</v>
      </c>
      <c r="I196" s="238"/>
      <c r="J196" s="233"/>
      <c r="K196" s="233"/>
      <c r="L196" s="239"/>
      <c r="M196" s="240"/>
      <c r="N196" s="241"/>
      <c r="O196" s="241"/>
      <c r="P196" s="241"/>
      <c r="Q196" s="241"/>
      <c r="R196" s="241"/>
      <c r="S196" s="241"/>
      <c r="T196" s="242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T196" s="243" t="s">
        <v>165</v>
      </c>
      <c r="AU196" s="243" t="s">
        <v>86</v>
      </c>
      <c r="AV196" s="13" t="s">
        <v>86</v>
      </c>
      <c r="AW196" s="13" t="s">
        <v>32</v>
      </c>
      <c r="AX196" s="13" t="s">
        <v>77</v>
      </c>
      <c r="AY196" s="243" t="s">
        <v>157</v>
      </c>
    </row>
    <row r="197" s="13" customFormat="1">
      <c r="A197" s="13"/>
      <c r="B197" s="232"/>
      <c r="C197" s="233"/>
      <c r="D197" s="234" t="s">
        <v>165</v>
      </c>
      <c r="E197" s="235" t="s">
        <v>1</v>
      </c>
      <c r="F197" s="236" t="s">
        <v>270</v>
      </c>
      <c r="G197" s="233"/>
      <c r="H197" s="237">
        <v>50.558</v>
      </c>
      <c r="I197" s="238"/>
      <c r="J197" s="233"/>
      <c r="K197" s="233"/>
      <c r="L197" s="239"/>
      <c r="M197" s="240"/>
      <c r="N197" s="241"/>
      <c r="O197" s="241"/>
      <c r="P197" s="241"/>
      <c r="Q197" s="241"/>
      <c r="R197" s="241"/>
      <c r="S197" s="241"/>
      <c r="T197" s="242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T197" s="243" t="s">
        <v>165</v>
      </c>
      <c r="AU197" s="243" t="s">
        <v>86</v>
      </c>
      <c r="AV197" s="13" t="s">
        <v>86</v>
      </c>
      <c r="AW197" s="13" t="s">
        <v>32</v>
      </c>
      <c r="AX197" s="13" t="s">
        <v>77</v>
      </c>
      <c r="AY197" s="243" t="s">
        <v>157</v>
      </c>
    </row>
    <row r="198" s="13" customFormat="1">
      <c r="A198" s="13"/>
      <c r="B198" s="232"/>
      <c r="C198" s="233"/>
      <c r="D198" s="234" t="s">
        <v>165</v>
      </c>
      <c r="E198" s="235" t="s">
        <v>1</v>
      </c>
      <c r="F198" s="236" t="s">
        <v>271</v>
      </c>
      <c r="G198" s="233"/>
      <c r="H198" s="237">
        <v>1.145</v>
      </c>
      <c r="I198" s="238"/>
      <c r="J198" s="233"/>
      <c r="K198" s="233"/>
      <c r="L198" s="239"/>
      <c r="M198" s="240"/>
      <c r="N198" s="241"/>
      <c r="O198" s="241"/>
      <c r="P198" s="241"/>
      <c r="Q198" s="241"/>
      <c r="R198" s="241"/>
      <c r="S198" s="241"/>
      <c r="T198" s="242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T198" s="243" t="s">
        <v>165</v>
      </c>
      <c r="AU198" s="243" t="s">
        <v>86</v>
      </c>
      <c r="AV198" s="13" t="s">
        <v>86</v>
      </c>
      <c r="AW198" s="13" t="s">
        <v>32</v>
      </c>
      <c r="AX198" s="13" t="s">
        <v>77</v>
      </c>
      <c r="AY198" s="243" t="s">
        <v>157</v>
      </c>
    </row>
    <row r="199" s="2" customFormat="1" ht="16.5" customHeight="1">
      <c r="A199" s="37"/>
      <c r="B199" s="38"/>
      <c r="C199" s="218" t="s">
        <v>7</v>
      </c>
      <c r="D199" s="218" t="s">
        <v>159</v>
      </c>
      <c r="E199" s="219" t="s">
        <v>272</v>
      </c>
      <c r="F199" s="220" t="s">
        <v>273</v>
      </c>
      <c r="G199" s="221" t="s">
        <v>209</v>
      </c>
      <c r="H199" s="222">
        <v>299.10599999999999</v>
      </c>
      <c r="I199" s="223"/>
      <c r="J199" s="224">
        <f>ROUND(I199*H199,0)</f>
        <v>0</v>
      </c>
      <c r="K199" s="225"/>
      <c r="L199" s="43"/>
      <c r="M199" s="226" t="s">
        <v>1</v>
      </c>
      <c r="N199" s="227" t="s">
        <v>42</v>
      </c>
      <c r="O199" s="90"/>
      <c r="P199" s="228">
        <f>O199*H199</f>
        <v>0</v>
      </c>
      <c r="Q199" s="228">
        <v>0.0026900000000000001</v>
      </c>
      <c r="R199" s="228">
        <f>Q199*H199</f>
        <v>0.80459513999999999</v>
      </c>
      <c r="S199" s="228">
        <v>0</v>
      </c>
      <c r="T199" s="229">
        <f>S199*H199</f>
        <v>0</v>
      </c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R199" s="230" t="s">
        <v>163</v>
      </c>
      <c r="AT199" s="230" t="s">
        <v>159</v>
      </c>
      <c r="AU199" s="230" t="s">
        <v>86</v>
      </c>
      <c r="AY199" s="16" t="s">
        <v>157</v>
      </c>
      <c r="BE199" s="231">
        <f>IF(N199="základní",J199,0)</f>
        <v>0</v>
      </c>
      <c r="BF199" s="231">
        <f>IF(N199="snížená",J199,0)</f>
        <v>0</v>
      </c>
      <c r="BG199" s="231">
        <f>IF(N199="zákl. přenesená",J199,0)</f>
        <v>0</v>
      </c>
      <c r="BH199" s="231">
        <f>IF(N199="sníž. přenesená",J199,0)</f>
        <v>0</v>
      </c>
      <c r="BI199" s="231">
        <f>IF(N199="nulová",J199,0)</f>
        <v>0</v>
      </c>
      <c r="BJ199" s="16" t="s">
        <v>8</v>
      </c>
      <c r="BK199" s="231">
        <f>ROUND(I199*H199,0)</f>
        <v>0</v>
      </c>
      <c r="BL199" s="16" t="s">
        <v>163</v>
      </c>
      <c r="BM199" s="230" t="s">
        <v>274</v>
      </c>
    </row>
    <row r="200" s="13" customFormat="1">
      <c r="A200" s="13"/>
      <c r="B200" s="232"/>
      <c r="C200" s="233"/>
      <c r="D200" s="234" t="s">
        <v>165</v>
      </c>
      <c r="E200" s="235" t="s">
        <v>1</v>
      </c>
      <c r="F200" s="236" t="s">
        <v>275</v>
      </c>
      <c r="G200" s="233"/>
      <c r="H200" s="237">
        <v>91.980000000000004</v>
      </c>
      <c r="I200" s="238"/>
      <c r="J200" s="233"/>
      <c r="K200" s="233"/>
      <c r="L200" s="239"/>
      <c r="M200" s="240"/>
      <c r="N200" s="241"/>
      <c r="O200" s="241"/>
      <c r="P200" s="241"/>
      <c r="Q200" s="241"/>
      <c r="R200" s="241"/>
      <c r="S200" s="241"/>
      <c r="T200" s="242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T200" s="243" t="s">
        <v>165</v>
      </c>
      <c r="AU200" s="243" t="s">
        <v>86</v>
      </c>
      <c r="AV200" s="13" t="s">
        <v>86</v>
      </c>
      <c r="AW200" s="13" t="s">
        <v>32</v>
      </c>
      <c r="AX200" s="13" t="s">
        <v>77</v>
      </c>
      <c r="AY200" s="243" t="s">
        <v>157</v>
      </c>
    </row>
    <row r="201" s="13" customFormat="1">
      <c r="A201" s="13"/>
      <c r="B201" s="232"/>
      <c r="C201" s="233"/>
      <c r="D201" s="234" t="s">
        <v>165</v>
      </c>
      <c r="E201" s="235" t="s">
        <v>1</v>
      </c>
      <c r="F201" s="236" t="s">
        <v>276</v>
      </c>
      <c r="G201" s="233"/>
      <c r="H201" s="237">
        <v>202.22999999999999</v>
      </c>
      <c r="I201" s="238"/>
      <c r="J201" s="233"/>
      <c r="K201" s="233"/>
      <c r="L201" s="239"/>
      <c r="M201" s="240"/>
      <c r="N201" s="241"/>
      <c r="O201" s="241"/>
      <c r="P201" s="241"/>
      <c r="Q201" s="241"/>
      <c r="R201" s="241"/>
      <c r="S201" s="241"/>
      <c r="T201" s="242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T201" s="243" t="s">
        <v>165</v>
      </c>
      <c r="AU201" s="243" t="s">
        <v>86</v>
      </c>
      <c r="AV201" s="13" t="s">
        <v>86</v>
      </c>
      <c r="AW201" s="13" t="s">
        <v>32</v>
      </c>
      <c r="AX201" s="13" t="s">
        <v>77</v>
      </c>
      <c r="AY201" s="243" t="s">
        <v>157</v>
      </c>
    </row>
    <row r="202" s="13" customFormat="1">
      <c r="A202" s="13"/>
      <c r="B202" s="232"/>
      <c r="C202" s="233"/>
      <c r="D202" s="234" t="s">
        <v>165</v>
      </c>
      <c r="E202" s="235" t="s">
        <v>1</v>
      </c>
      <c r="F202" s="236" t="s">
        <v>277</v>
      </c>
      <c r="G202" s="233"/>
      <c r="H202" s="237">
        <v>4.8959999999999999</v>
      </c>
      <c r="I202" s="238"/>
      <c r="J202" s="233"/>
      <c r="K202" s="233"/>
      <c r="L202" s="239"/>
      <c r="M202" s="240"/>
      <c r="N202" s="241"/>
      <c r="O202" s="241"/>
      <c r="P202" s="241"/>
      <c r="Q202" s="241"/>
      <c r="R202" s="241"/>
      <c r="S202" s="241"/>
      <c r="T202" s="242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T202" s="243" t="s">
        <v>165</v>
      </c>
      <c r="AU202" s="243" t="s">
        <v>86</v>
      </c>
      <c r="AV202" s="13" t="s">
        <v>86</v>
      </c>
      <c r="AW202" s="13" t="s">
        <v>32</v>
      </c>
      <c r="AX202" s="13" t="s">
        <v>77</v>
      </c>
      <c r="AY202" s="243" t="s">
        <v>157</v>
      </c>
    </row>
    <row r="203" s="2" customFormat="1" ht="16.5" customHeight="1">
      <c r="A203" s="37"/>
      <c r="B203" s="38"/>
      <c r="C203" s="218" t="s">
        <v>278</v>
      </c>
      <c r="D203" s="218" t="s">
        <v>159</v>
      </c>
      <c r="E203" s="219" t="s">
        <v>279</v>
      </c>
      <c r="F203" s="220" t="s">
        <v>280</v>
      </c>
      <c r="G203" s="221" t="s">
        <v>209</v>
      </c>
      <c r="H203" s="222">
        <v>299.10599999999999</v>
      </c>
      <c r="I203" s="223"/>
      <c r="J203" s="224">
        <f>ROUND(I203*H203,0)</f>
        <v>0</v>
      </c>
      <c r="K203" s="225"/>
      <c r="L203" s="43"/>
      <c r="M203" s="226" t="s">
        <v>1</v>
      </c>
      <c r="N203" s="227" t="s">
        <v>42</v>
      </c>
      <c r="O203" s="90"/>
      <c r="P203" s="228">
        <f>O203*H203</f>
        <v>0</v>
      </c>
      <c r="Q203" s="228">
        <v>0</v>
      </c>
      <c r="R203" s="228">
        <f>Q203*H203</f>
        <v>0</v>
      </c>
      <c r="S203" s="228">
        <v>0</v>
      </c>
      <c r="T203" s="229">
        <f>S203*H203</f>
        <v>0</v>
      </c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R203" s="230" t="s">
        <v>163</v>
      </c>
      <c r="AT203" s="230" t="s">
        <v>159</v>
      </c>
      <c r="AU203" s="230" t="s">
        <v>86</v>
      </c>
      <c r="AY203" s="16" t="s">
        <v>157</v>
      </c>
      <c r="BE203" s="231">
        <f>IF(N203="základní",J203,0)</f>
        <v>0</v>
      </c>
      <c r="BF203" s="231">
        <f>IF(N203="snížená",J203,0)</f>
        <v>0</v>
      </c>
      <c r="BG203" s="231">
        <f>IF(N203="zákl. přenesená",J203,0)</f>
        <v>0</v>
      </c>
      <c r="BH203" s="231">
        <f>IF(N203="sníž. přenesená",J203,0)</f>
        <v>0</v>
      </c>
      <c r="BI203" s="231">
        <f>IF(N203="nulová",J203,0)</f>
        <v>0</v>
      </c>
      <c r="BJ203" s="16" t="s">
        <v>8</v>
      </c>
      <c r="BK203" s="231">
        <f>ROUND(I203*H203,0)</f>
        <v>0</v>
      </c>
      <c r="BL203" s="16" t="s">
        <v>163</v>
      </c>
      <c r="BM203" s="230" t="s">
        <v>281</v>
      </c>
    </row>
    <row r="204" s="2" customFormat="1" ht="21.75" customHeight="1">
      <c r="A204" s="37"/>
      <c r="B204" s="38"/>
      <c r="C204" s="218" t="s">
        <v>282</v>
      </c>
      <c r="D204" s="218" t="s">
        <v>159</v>
      </c>
      <c r="E204" s="219" t="s">
        <v>283</v>
      </c>
      <c r="F204" s="220" t="s">
        <v>284</v>
      </c>
      <c r="G204" s="221" t="s">
        <v>193</v>
      </c>
      <c r="H204" s="222">
        <v>7.3200000000000003</v>
      </c>
      <c r="I204" s="223"/>
      <c r="J204" s="224">
        <f>ROUND(I204*H204,0)</f>
        <v>0</v>
      </c>
      <c r="K204" s="225"/>
      <c r="L204" s="43"/>
      <c r="M204" s="226" t="s">
        <v>1</v>
      </c>
      <c r="N204" s="227" t="s">
        <v>42</v>
      </c>
      <c r="O204" s="90"/>
      <c r="P204" s="228">
        <f>O204*H204</f>
        <v>0</v>
      </c>
      <c r="Q204" s="228">
        <v>1.0606199999999999</v>
      </c>
      <c r="R204" s="228">
        <f>Q204*H204</f>
        <v>7.7637383999999994</v>
      </c>
      <c r="S204" s="228">
        <v>0</v>
      </c>
      <c r="T204" s="229">
        <f>S204*H204</f>
        <v>0</v>
      </c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R204" s="230" t="s">
        <v>163</v>
      </c>
      <c r="AT204" s="230" t="s">
        <v>159</v>
      </c>
      <c r="AU204" s="230" t="s">
        <v>86</v>
      </c>
      <c r="AY204" s="16" t="s">
        <v>157</v>
      </c>
      <c r="BE204" s="231">
        <f>IF(N204="základní",J204,0)</f>
        <v>0</v>
      </c>
      <c r="BF204" s="231">
        <f>IF(N204="snížená",J204,0)</f>
        <v>0</v>
      </c>
      <c r="BG204" s="231">
        <f>IF(N204="zákl. přenesená",J204,0)</f>
        <v>0</v>
      </c>
      <c r="BH204" s="231">
        <f>IF(N204="sníž. přenesená",J204,0)</f>
        <v>0</v>
      </c>
      <c r="BI204" s="231">
        <f>IF(N204="nulová",J204,0)</f>
        <v>0</v>
      </c>
      <c r="BJ204" s="16" t="s">
        <v>8</v>
      </c>
      <c r="BK204" s="231">
        <f>ROUND(I204*H204,0)</f>
        <v>0</v>
      </c>
      <c r="BL204" s="16" t="s">
        <v>163</v>
      </c>
      <c r="BM204" s="230" t="s">
        <v>285</v>
      </c>
    </row>
    <row r="205" s="13" customFormat="1">
      <c r="A205" s="13"/>
      <c r="B205" s="232"/>
      <c r="C205" s="233"/>
      <c r="D205" s="234" t="s">
        <v>165</v>
      </c>
      <c r="E205" s="235" t="s">
        <v>1</v>
      </c>
      <c r="F205" s="236" t="s">
        <v>286</v>
      </c>
      <c r="G205" s="233"/>
      <c r="H205" s="237">
        <v>7.3200000000000003</v>
      </c>
      <c r="I205" s="238"/>
      <c r="J205" s="233"/>
      <c r="K205" s="233"/>
      <c r="L205" s="239"/>
      <c r="M205" s="240"/>
      <c r="N205" s="241"/>
      <c r="O205" s="241"/>
      <c r="P205" s="241"/>
      <c r="Q205" s="241"/>
      <c r="R205" s="241"/>
      <c r="S205" s="241"/>
      <c r="T205" s="242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T205" s="243" t="s">
        <v>165</v>
      </c>
      <c r="AU205" s="243" t="s">
        <v>86</v>
      </c>
      <c r="AV205" s="13" t="s">
        <v>86</v>
      </c>
      <c r="AW205" s="13" t="s">
        <v>32</v>
      </c>
      <c r="AX205" s="13" t="s">
        <v>77</v>
      </c>
      <c r="AY205" s="243" t="s">
        <v>157</v>
      </c>
    </row>
    <row r="206" s="12" customFormat="1" ht="22.8" customHeight="1">
      <c r="A206" s="12"/>
      <c r="B206" s="202"/>
      <c r="C206" s="203"/>
      <c r="D206" s="204" t="s">
        <v>76</v>
      </c>
      <c r="E206" s="216" t="s">
        <v>176</v>
      </c>
      <c r="F206" s="216" t="s">
        <v>287</v>
      </c>
      <c r="G206" s="203"/>
      <c r="H206" s="203"/>
      <c r="I206" s="206"/>
      <c r="J206" s="217">
        <f>BK206</f>
        <v>0</v>
      </c>
      <c r="K206" s="203"/>
      <c r="L206" s="208"/>
      <c r="M206" s="209"/>
      <c r="N206" s="210"/>
      <c r="O206" s="210"/>
      <c r="P206" s="211">
        <f>SUM(P207:P235)</f>
        <v>0</v>
      </c>
      <c r="Q206" s="210"/>
      <c r="R206" s="211">
        <f>SUM(R207:R235)</f>
        <v>324.57880615999994</v>
      </c>
      <c r="S206" s="210"/>
      <c r="T206" s="212">
        <f>SUM(T207:T235)</f>
        <v>0</v>
      </c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R206" s="213" t="s">
        <v>8</v>
      </c>
      <c r="AT206" s="214" t="s">
        <v>76</v>
      </c>
      <c r="AU206" s="214" t="s">
        <v>8</v>
      </c>
      <c r="AY206" s="213" t="s">
        <v>157</v>
      </c>
      <c r="BK206" s="215">
        <f>SUM(BK207:BK235)</f>
        <v>0</v>
      </c>
    </row>
    <row r="207" s="2" customFormat="1" ht="37.8" customHeight="1">
      <c r="A207" s="37"/>
      <c r="B207" s="38"/>
      <c r="C207" s="218" t="s">
        <v>288</v>
      </c>
      <c r="D207" s="218" t="s">
        <v>159</v>
      </c>
      <c r="E207" s="219" t="s">
        <v>289</v>
      </c>
      <c r="F207" s="220" t="s">
        <v>290</v>
      </c>
      <c r="G207" s="221" t="s">
        <v>209</v>
      </c>
      <c r="H207" s="222">
        <v>58.098999999999997</v>
      </c>
      <c r="I207" s="223"/>
      <c r="J207" s="224">
        <f>ROUND(I207*H207,0)</f>
        <v>0</v>
      </c>
      <c r="K207" s="225"/>
      <c r="L207" s="43"/>
      <c r="M207" s="226" t="s">
        <v>1</v>
      </c>
      <c r="N207" s="227" t="s">
        <v>42</v>
      </c>
      <c r="O207" s="90"/>
      <c r="P207" s="228">
        <f>O207*H207</f>
        <v>0</v>
      </c>
      <c r="Q207" s="228">
        <v>0.37678</v>
      </c>
      <c r="R207" s="228">
        <f>Q207*H207</f>
        <v>21.890541219999999</v>
      </c>
      <c r="S207" s="228">
        <v>0</v>
      </c>
      <c r="T207" s="229">
        <f>S207*H207</f>
        <v>0</v>
      </c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R207" s="230" t="s">
        <v>163</v>
      </c>
      <c r="AT207" s="230" t="s">
        <v>159</v>
      </c>
      <c r="AU207" s="230" t="s">
        <v>86</v>
      </c>
      <c r="AY207" s="16" t="s">
        <v>157</v>
      </c>
      <c r="BE207" s="231">
        <f>IF(N207="základní",J207,0)</f>
        <v>0</v>
      </c>
      <c r="BF207" s="231">
        <f>IF(N207="snížená",J207,0)</f>
        <v>0</v>
      </c>
      <c r="BG207" s="231">
        <f>IF(N207="zákl. přenesená",J207,0)</f>
        <v>0</v>
      </c>
      <c r="BH207" s="231">
        <f>IF(N207="sníž. přenesená",J207,0)</f>
        <v>0</v>
      </c>
      <c r="BI207" s="231">
        <f>IF(N207="nulová",J207,0)</f>
        <v>0</v>
      </c>
      <c r="BJ207" s="16" t="s">
        <v>8</v>
      </c>
      <c r="BK207" s="231">
        <f>ROUND(I207*H207,0)</f>
        <v>0</v>
      </c>
      <c r="BL207" s="16" t="s">
        <v>163</v>
      </c>
      <c r="BM207" s="230" t="s">
        <v>291</v>
      </c>
    </row>
    <row r="208" s="13" customFormat="1">
      <c r="A208" s="13"/>
      <c r="B208" s="232"/>
      <c r="C208" s="233"/>
      <c r="D208" s="234" t="s">
        <v>165</v>
      </c>
      <c r="E208" s="235" t="s">
        <v>1</v>
      </c>
      <c r="F208" s="236" t="s">
        <v>292</v>
      </c>
      <c r="G208" s="233"/>
      <c r="H208" s="237">
        <v>58.098999999999997</v>
      </c>
      <c r="I208" s="238"/>
      <c r="J208" s="233"/>
      <c r="K208" s="233"/>
      <c r="L208" s="239"/>
      <c r="M208" s="240"/>
      <c r="N208" s="241"/>
      <c r="O208" s="241"/>
      <c r="P208" s="241"/>
      <c r="Q208" s="241"/>
      <c r="R208" s="241"/>
      <c r="S208" s="241"/>
      <c r="T208" s="242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T208" s="243" t="s">
        <v>165</v>
      </c>
      <c r="AU208" s="243" t="s">
        <v>86</v>
      </c>
      <c r="AV208" s="13" t="s">
        <v>86</v>
      </c>
      <c r="AW208" s="13" t="s">
        <v>32</v>
      </c>
      <c r="AX208" s="13" t="s">
        <v>77</v>
      </c>
      <c r="AY208" s="243" t="s">
        <v>157</v>
      </c>
    </row>
    <row r="209" s="2" customFormat="1" ht="37.8" customHeight="1">
      <c r="A209" s="37"/>
      <c r="B209" s="38"/>
      <c r="C209" s="218" t="s">
        <v>293</v>
      </c>
      <c r="D209" s="218" t="s">
        <v>159</v>
      </c>
      <c r="E209" s="219" t="s">
        <v>294</v>
      </c>
      <c r="F209" s="220" t="s">
        <v>295</v>
      </c>
      <c r="G209" s="221" t="s">
        <v>209</v>
      </c>
      <c r="H209" s="222">
        <v>30.962</v>
      </c>
      <c r="I209" s="223"/>
      <c r="J209" s="224">
        <f>ROUND(I209*H209,0)</f>
        <v>0</v>
      </c>
      <c r="K209" s="225"/>
      <c r="L209" s="43"/>
      <c r="M209" s="226" t="s">
        <v>1</v>
      </c>
      <c r="N209" s="227" t="s">
        <v>42</v>
      </c>
      <c r="O209" s="90"/>
      <c r="P209" s="228">
        <f>O209*H209</f>
        <v>0</v>
      </c>
      <c r="Q209" s="228">
        <v>0.50100999999999996</v>
      </c>
      <c r="R209" s="228">
        <f>Q209*H209</f>
        <v>15.512271619999998</v>
      </c>
      <c r="S209" s="228">
        <v>0</v>
      </c>
      <c r="T209" s="229">
        <f>S209*H209</f>
        <v>0</v>
      </c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R209" s="230" t="s">
        <v>163</v>
      </c>
      <c r="AT209" s="230" t="s">
        <v>159</v>
      </c>
      <c r="AU209" s="230" t="s">
        <v>86</v>
      </c>
      <c r="AY209" s="16" t="s">
        <v>157</v>
      </c>
      <c r="BE209" s="231">
        <f>IF(N209="základní",J209,0)</f>
        <v>0</v>
      </c>
      <c r="BF209" s="231">
        <f>IF(N209="snížená",J209,0)</f>
        <v>0</v>
      </c>
      <c r="BG209" s="231">
        <f>IF(N209="zákl. přenesená",J209,0)</f>
        <v>0</v>
      </c>
      <c r="BH209" s="231">
        <f>IF(N209="sníž. přenesená",J209,0)</f>
        <v>0</v>
      </c>
      <c r="BI209" s="231">
        <f>IF(N209="nulová",J209,0)</f>
        <v>0</v>
      </c>
      <c r="BJ209" s="16" t="s">
        <v>8</v>
      </c>
      <c r="BK209" s="231">
        <f>ROUND(I209*H209,0)</f>
        <v>0</v>
      </c>
      <c r="BL209" s="16" t="s">
        <v>163</v>
      </c>
      <c r="BM209" s="230" t="s">
        <v>296</v>
      </c>
    </row>
    <row r="210" s="13" customFormat="1">
      <c r="A210" s="13"/>
      <c r="B210" s="232"/>
      <c r="C210" s="233"/>
      <c r="D210" s="234" t="s">
        <v>165</v>
      </c>
      <c r="E210" s="235" t="s">
        <v>1</v>
      </c>
      <c r="F210" s="236" t="s">
        <v>297</v>
      </c>
      <c r="G210" s="233"/>
      <c r="H210" s="237">
        <v>30.962</v>
      </c>
      <c r="I210" s="238"/>
      <c r="J210" s="233"/>
      <c r="K210" s="233"/>
      <c r="L210" s="239"/>
      <c r="M210" s="240"/>
      <c r="N210" s="241"/>
      <c r="O210" s="241"/>
      <c r="P210" s="241"/>
      <c r="Q210" s="241"/>
      <c r="R210" s="241"/>
      <c r="S210" s="241"/>
      <c r="T210" s="242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T210" s="243" t="s">
        <v>165</v>
      </c>
      <c r="AU210" s="243" t="s">
        <v>86</v>
      </c>
      <c r="AV210" s="13" t="s">
        <v>86</v>
      </c>
      <c r="AW210" s="13" t="s">
        <v>32</v>
      </c>
      <c r="AX210" s="13" t="s">
        <v>77</v>
      </c>
      <c r="AY210" s="243" t="s">
        <v>157</v>
      </c>
    </row>
    <row r="211" s="2" customFormat="1" ht="16.5" customHeight="1">
      <c r="A211" s="37"/>
      <c r="B211" s="38"/>
      <c r="C211" s="218" t="s">
        <v>298</v>
      </c>
      <c r="D211" s="218" t="s">
        <v>159</v>
      </c>
      <c r="E211" s="219" t="s">
        <v>299</v>
      </c>
      <c r="F211" s="220" t="s">
        <v>300</v>
      </c>
      <c r="G211" s="221" t="s">
        <v>162</v>
      </c>
      <c r="H211" s="222">
        <v>34.701999999999998</v>
      </c>
      <c r="I211" s="223"/>
      <c r="J211" s="224">
        <f>ROUND(I211*H211,0)</f>
        <v>0</v>
      </c>
      <c r="K211" s="225"/>
      <c r="L211" s="43"/>
      <c r="M211" s="226" t="s">
        <v>1</v>
      </c>
      <c r="N211" s="227" t="s">
        <v>42</v>
      </c>
      <c r="O211" s="90"/>
      <c r="P211" s="228">
        <f>O211*H211</f>
        <v>0</v>
      </c>
      <c r="Q211" s="228">
        <v>2.5018699999999998</v>
      </c>
      <c r="R211" s="228">
        <f>Q211*H211</f>
        <v>86.819892739999986</v>
      </c>
      <c r="S211" s="228">
        <v>0</v>
      </c>
      <c r="T211" s="229">
        <f>S211*H211</f>
        <v>0</v>
      </c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R211" s="230" t="s">
        <v>163</v>
      </c>
      <c r="AT211" s="230" t="s">
        <v>159</v>
      </c>
      <c r="AU211" s="230" t="s">
        <v>86</v>
      </c>
      <c r="AY211" s="16" t="s">
        <v>157</v>
      </c>
      <c r="BE211" s="231">
        <f>IF(N211="základní",J211,0)</f>
        <v>0</v>
      </c>
      <c r="BF211" s="231">
        <f>IF(N211="snížená",J211,0)</f>
        <v>0</v>
      </c>
      <c r="BG211" s="231">
        <f>IF(N211="zákl. přenesená",J211,0)</f>
        <v>0</v>
      </c>
      <c r="BH211" s="231">
        <f>IF(N211="sníž. přenesená",J211,0)</f>
        <v>0</v>
      </c>
      <c r="BI211" s="231">
        <f>IF(N211="nulová",J211,0)</f>
        <v>0</v>
      </c>
      <c r="BJ211" s="16" t="s">
        <v>8</v>
      </c>
      <c r="BK211" s="231">
        <f>ROUND(I211*H211,0)</f>
        <v>0</v>
      </c>
      <c r="BL211" s="16" t="s">
        <v>163</v>
      </c>
      <c r="BM211" s="230" t="s">
        <v>301</v>
      </c>
    </row>
    <row r="212" s="13" customFormat="1">
      <c r="A212" s="13"/>
      <c r="B212" s="232"/>
      <c r="C212" s="233"/>
      <c r="D212" s="234" t="s">
        <v>165</v>
      </c>
      <c r="E212" s="235" t="s">
        <v>1</v>
      </c>
      <c r="F212" s="236" t="s">
        <v>302</v>
      </c>
      <c r="G212" s="233"/>
      <c r="H212" s="237">
        <v>12.916</v>
      </c>
      <c r="I212" s="238"/>
      <c r="J212" s="233"/>
      <c r="K212" s="233"/>
      <c r="L212" s="239"/>
      <c r="M212" s="240"/>
      <c r="N212" s="241"/>
      <c r="O212" s="241"/>
      <c r="P212" s="241"/>
      <c r="Q212" s="241"/>
      <c r="R212" s="241"/>
      <c r="S212" s="241"/>
      <c r="T212" s="242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T212" s="243" t="s">
        <v>165</v>
      </c>
      <c r="AU212" s="243" t="s">
        <v>86</v>
      </c>
      <c r="AV212" s="13" t="s">
        <v>86</v>
      </c>
      <c r="AW212" s="13" t="s">
        <v>32</v>
      </c>
      <c r="AX212" s="13" t="s">
        <v>77</v>
      </c>
      <c r="AY212" s="243" t="s">
        <v>157</v>
      </c>
    </row>
    <row r="213" s="13" customFormat="1">
      <c r="A213" s="13"/>
      <c r="B213" s="232"/>
      <c r="C213" s="233"/>
      <c r="D213" s="234" t="s">
        <v>165</v>
      </c>
      <c r="E213" s="235" t="s">
        <v>1</v>
      </c>
      <c r="F213" s="236" t="s">
        <v>303</v>
      </c>
      <c r="G213" s="233"/>
      <c r="H213" s="237">
        <v>21.786000000000001</v>
      </c>
      <c r="I213" s="238"/>
      <c r="J213" s="233"/>
      <c r="K213" s="233"/>
      <c r="L213" s="239"/>
      <c r="M213" s="240"/>
      <c r="N213" s="241"/>
      <c r="O213" s="241"/>
      <c r="P213" s="241"/>
      <c r="Q213" s="241"/>
      <c r="R213" s="241"/>
      <c r="S213" s="241"/>
      <c r="T213" s="242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T213" s="243" t="s">
        <v>165</v>
      </c>
      <c r="AU213" s="243" t="s">
        <v>86</v>
      </c>
      <c r="AV213" s="13" t="s">
        <v>86</v>
      </c>
      <c r="AW213" s="13" t="s">
        <v>32</v>
      </c>
      <c r="AX213" s="13" t="s">
        <v>77</v>
      </c>
      <c r="AY213" s="243" t="s">
        <v>157</v>
      </c>
    </row>
    <row r="214" s="2" customFormat="1" ht="24.15" customHeight="1">
      <c r="A214" s="37"/>
      <c r="B214" s="38"/>
      <c r="C214" s="218" t="s">
        <v>304</v>
      </c>
      <c r="D214" s="218" t="s">
        <v>159</v>
      </c>
      <c r="E214" s="219" t="s">
        <v>305</v>
      </c>
      <c r="F214" s="220" t="s">
        <v>306</v>
      </c>
      <c r="G214" s="221" t="s">
        <v>209</v>
      </c>
      <c r="H214" s="222">
        <v>347.02499999999998</v>
      </c>
      <c r="I214" s="223"/>
      <c r="J214" s="224">
        <f>ROUND(I214*H214,0)</f>
        <v>0</v>
      </c>
      <c r="K214" s="225"/>
      <c r="L214" s="43"/>
      <c r="M214" s="226" t="s">
        <v>1</v>
      </c>
      <c r="N214" s="227" t="s">
        <v>42</v>
      </c>
      <c r="O214" s="90"/>
      <c r="P214" s="228">
        <f>O214*H214</f>
        <v>0</v>
      </c>
      <c r="Q214" s="228">
        <v>0.0027499999999999998</v>
      </c>
      <c r="R214" s="228">
        <f>Q214*H214</f>
        <v>0.95431874999999988</v>
      </c>
      <c r="S214" s="228">
        <v>0</v>
      </c>
      <c r="T214" s="229">
        <f>S214*H214</f>
        <v>0</v>
      </c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R214" s="230" t="s">
        <v>163</v>
      </c>
      <c r="AT214" s="230" t="s">
        <v>159</v>
      </c>
      <c r="AU214" s="230" t="s">
        <v>86</v>
      </c>
      <c r="AY214" s="16" t="s">
        <v>157</v>
      </c>
      <c r="BE214" s="231">
        <f>IF(N214="základní",J214,0)</f>
        <v>0</v>
      </c>
      <c r="BF214" s="231">
        <f>IF(N214="snížená",J214,0)</f>
        <v>0</v>
      </c>
      <c r="BG214" s="231">
        <f>IF(N214="zákl. přenesená",J214,0)</f>
        <v>0</v>
      </c>
      <c r="BH214" s="231">
        <f>IF(N214="sníž. přenesená",J214,0)</f>
        <v>0</v>
      </c>
      <c r="BI214" s="231">
        <f>IF(N214="nulová",J214,0)</f>
        <v>0</v>
      </c>
      <c r="BJ214" s="16" t="s">
        <v>8</v>
      </c>
      <c r="BK214" s="231">
        <f>ROUND(I214*H214,0)</f>
        <v>0</v>
      </c>
      <c r="BL214" s="16" t="s">
        <v>163</v>
      </c>
      <c r="BM214" s="230" t="s">
        <v>307</v>
      </c>
    </row>
    <row r="215" s="13" customFormat="1">
      <c r="A215" s="13"/>
      <c r="B215" s="232"/>
      <c r="C215" s="233"/>
      <c r="D215" s="234" t="s">
        <v>165</v>
      </c>
      <c r="E215" s="235" t="s">
        <v>1</v>
      </c>
      <c r="F215" s="236" t="s">
        <v>308</v>
      </c>
      <c r="G215" s="233"/>
      <c r="H215" s="237">
        <v>129.16399999999999</v>
      </c>
      <c r="I215" s="238"/>
      <c r="J215" s="233"/>
      <c r="K215" s="233"/>
      <c r="L215" s="239"/>
      <c r="M215" s="240"/>
      <c r="N215" s="241"/>
      <c r="O215" s="241"/>
      <c r="P215" s="241"/>
      <c r="Q215" s="241"/>
      <c r="R215" s="241"/>
      <c r="S215" s="241"/>
      <c r="T215" s="242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T215" s="243" t="s">
        <v>165</v>
      </c>
      <c r="AU215" s="243" t="s">
        <v>86</v>
      </c>
      <c r="AV215" s="13" t="s">
        <v>86</v>
      </c>
      <c r="AW215" s="13" t="s">
        <v>32</v>
      </c>
      <c r="AX215" s="13" t="s">
        <v>77</v>
      </c>
      <c r="AY215" s="243" t="s">
        <v>157</v>
      </c>
    </row>
    <row r="216" s="13" customFormat="1">
      <c r="A216" s="13"/>
      <c r="B216" s="232"/>
      <c r="C216" s="233"/>
      <c r="D216" s="234" t="s">
        <v>165</v>
      </c>
      <c r="E216" s="235" t="s">
        <v>1</v>
      </c>
      <c r="F216" s="236" t="s">
        <v>309</v>
      </c>
      <c r="G216" s="233"/>
      <c r="H216" s="237">
        <v>217.86099999999999</v>
      </c>
      <c r="I216" s="238"/>
      <c r="J216" s="233"/>
      <c r="K216" s="233"/>
      <c r="L216" s="239"/>
      <c r="M216" s="240"/>
      <c r="N216" s="241"/>
      <c r="O216" s="241"/>
      <c r="P216" s="241"/>
      <c r="Q216" s="241"/>
      <c r="R216" s="241"/>
      <c r="S216" s="241"/>
      <c r="T216" s="242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T216" s="243" t="s">
        <v>165</v>
      </c>
      <c r="AU216" s="243" t="s">
        <v>86</v>
      </c>
      <c r="AV216" s="13" t="s">
        <v>86</v>
      </c>
      <c r="AW216" s="13" t="s">
        <v>32</v>
      </c>
      <c r="AX216" s="13" t="s">
        <v>77</v>
      </c>
      <c r="AY216" s="243" t="s">
        <v>157</v>
      </c>
    </row>
    <row r="217" s="2" customFormat="1" ht="24.15" customHeight="1">
      <c r="A217" s="37"/>
      <c r="B217" s="38"/>
      <c r="C217" s="218" t="s">
        <v>310</v>
      </c>
      <c r="D217" s="218" t="s">
        <v>159</v>
      </c>
      <c r="E217" s="219" t="s">
        <v>311</v>
      </c>
      <c r="F217" s="220" t="s">
        <v>312</v>
      </c>
      <c r="G217" s="221" t="s">
        <v>209</v>
      </c>
      <c r="H217" s="222">
        <v>347.02499999999998</v>
      </c>
      <c r="I217" s="223"/>
      <c r="J217" s="224">
        <f>ROUND(I217*H217,0)</f>
        <v>0</v>
      </c>
      <c r="K217" s="225"/>
      <c r="L217" s="43"/>
      <c r="M217" s="226" t="s">
        <v>1</v>
      </c>
      <c r="N217" s="227" t="s">
        <v>42</v>
      </c>
      <c r="O217" s="90"/>
      <c r="P217" s="228">
        <f>O217*H217</f>
        <v>0</v>
      </c>
      <c r="Q217" s="228">
        <v>0</v>
      </c>
      <c r="R217" s="228">
        <f>Q217*H217</f>
        <v>0</v>
      </c>
      <c r="S217" s="228">
        <v>0</v>
      </c>
      <c r="T217" s="229">
        <f>S217*H217</f>
        <v>0</v>
      </c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R217" s="230" t="s">
        <v>163</v>
      </c>
      <c r="AT217" s="230" t="s">
        <v>159</v>
      </c>
      <c r="AU217" s="230" t="s">
        <v>86</v>
      </c>
      <c r="AY217" s="16" t="s">
        <v>157</v>
      </c>
      <c r="BE217" s="231">
        <f>IF(N217="základní",J217,0)</f>
        <v>0</v>
      </c>
      <c r="BF217" s="231">
        <f>IF(N217="snížená",J217,0)</f>
        <v>0</v>
      </c>
      <c r="BG217" s="231">
        <f>IF(N217="zákl. přenesená",J217,0)</f>
        <v>0</v>
      </c>
      <c r="BH217" s="231">
        <f>IF(N217="sníž. přenesená",J217,0)</f>
        <v>0</v>
      </c>
      <c r="BI217" s="231">
        <f>IF(N217="nulová",J217,0)</f>
        <v>0</v>
      </c>
      <c r="BJ217" s="16" t="s">
        <v>8</v>
      </c>
      <c r="BK217" s="231">
        <f>ROUND(I217*H217,0)</f>
        <v>0</v>
      </c>
      <c r="BL217" s="16" t="s">
        <v>163</v>
      </c>
      <c r="BM217" s="230" t="s">
        <v>313</v>
      </c>
    </row>
    <row r="218" s="2" customFormat="1" ht="16.5" customHeight="1">
      <c r="A218" s="37"/>
      <c r="B218" s="38"/>
      <c r="C218" s="218" t="s">
        <v>314</v>
      </c>
      <c r="D218" s="218" t="s">
        <v>159</v>
      </c>
      <c r="E218" s="219" t="s">
        <v>315</v>
      </c>
      <c r="F218" s="220" t="s">
        <v>316</v>
      </c>
      <c r="G218" s="221" t="s">
        <v>193</v>
      </c>
      <c r="H218" s="222">
        <v>5.9530000000000003</v>
      </c>
      <c r="I218" s="223"/>
      <c r="J218" s="224">
        <f>ROUND(I218*H218,0)</f>
        <v>0</v>
      </c>
      <c r="K218" s="225"/>
      <c r="L218" s="43"/>
      <c r="M218" s="226" t="s">
        <v>1</v>
      </c>
      <c r="N218" s="227" t="s">
        <v>42</v>
      </c>
      <c r="O218" s="90"/>
      <c r="P218" s="228">
        <f>O218*H218</f>
        <v>0</v>
      </c>
      <c r="Q218" s="228">
        <v>1.04922</v>
      </c>
      <c r="R218" s="228">
        <f>Q218*H218</f>
        <v>6.2460066600000008</v>
      </c>
      <c r="S218" s="228">
        <v>0</v>
      </c>
      <c r="T218" s="229">
        <f>S218*H218</f>
        <v>0</v>
      </c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R218" s="230" t="s">
        <v>163</v>
      </c>
      <c r="AT218" s="230" t="s">
        <v>159</v>
      </c>
      <c r="AU218" s="230" t="s">
        <v>86</v>
      </c>
      <c r="AY218" s="16" t="s">
        <v>157</v>
      </c>
      <c r="BE218" s="231">
        <f>IF(N218="základní",J218,0)</f>
        <v>0</v>
      </c>
      <c r="BF218" s="231">
        <f>IF(N218="snížená",J218,0)</f>
        <v>0</v>
      </c>
      <c r="BG218" s="231">
        <f>IF(N218="zákl. přenesená",J218,0)</f>
        <v>0</v>
      </c>
      <c r="BH218" s="231">
        <f>IF(N218="sníž. přenesená",J218,0)</f>
        <v>0</v>
      </c>
      <c r="BI218" s="231">
        <f>IF(N218="nulová",J218,0)</f>
        <v>0</v>
      </c>
      <c r="BJ218" s="16" t="s">
        <v>8</v>
      </c>
      <c r="BK218" s="231">
        <f>ROUND(I218*H218,0)</f>
        <v>0</v>
      </c>
      <c r="BL218" s="16" t="s">
        <v>163</v>
      </c>
      <c r="BM218" s="230" t="s">
        <v>317</v>
      </c>
    </row>
    <row r="219" s="13" customFormat="1">
      <c r="A219" s="13"/>
      <c r="B219" s="232"/>
      <c r="C219" s="233"/>
      <c r="D219" s="234" t="s">
        <v>165</v>
      </c>
      <c r="E219" s="235" t="s">
        <v>1</v>
      </c>
      <c r="F219" s="236" t="s">
        <v>318</v>
      </c>
      <c r="G219" s="233"/>
      <c r="H219" s="237">
        <v>5.9530000000000003</v>
      </c>
      <c r="I219" s="238"/>
      <c r="J219" s="233"/>
      <c r="K219" s="233"/>
      <c r="L219" s="239"/>
      <c r="M219" s="240"/>
      <c r="N219" s="241"/>
      <c r="O219" s="241"/>
      <c r="P219" s="241"/>
      <c r="Q219" s="241"/>
      <c r="R219" s="241"/>
      <c r="S219" s="241"/>
      <c r="T219" s="242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T219" s="243" t="s">
        <v>165</v>
      </c>
      <c r="AU219" s="243" t="s">
        <v>86</v>
      </c>
      <c r="AV219" s="13" t="s">
        <v>86</v>
      </c>
      <c r="AW219" s="13" t="s">
        <v>32</v>
      </c>
      <c r="AX219" s="13" t="s">
        <v>77</v>
      </c>
      <c r="AY219" s="243" t="s">
        <v>157</v>
      </c>
    </row>
    <row r="220" s="2" customFormat="1" ht="21.75" customHeight="1">
      <c r="A220" s="37"/>
      <c r="B220" s="38"/>
      <c r="C220" s="218" t="s">
        <v>319</v>
      </c>
      <c r="D220" s="218" t="s">
        <v>159</v>
      </c>
      <c r="E220" s="219" t="s">
        <v>320</v>
      </c>
      <c r="F220" s="220" t="s">
        <v>321</v>
      </c>
      <c r="G220" s="221" t="s">
        <v>193</v>
      </c>
      <c r="H220" s="222">
        <v>92.579999999999998</v>
      </c>
      <c r="I220" s="223"/>
      <c r="J220" s="224">
        <f>ROUND(I220*H220,0)</f>
        <v>0</v>
      </c>
      <c r="K220" s="225"/>
      <c r="L220" s="43"/>
      <c r="M220" s="226" t="s">
        <v>1</v>
      </c>
      <c r="N220" s="227" t="s">
        <v>42</v>
      </c>
      <c r="O220" s="90"/>
      <c r="P220" s="228">
        <f>O220*H220</f>
        <v>0</v>
      </c>
      <c r="Q220" s="228">
        <v>0</v>
      </c>
      <c r="R220" s="228">
        <f>Q220*H220</f>
        <v>0</v>
      </c>
      <c r="S220" s="228">
        <v>0</v>
      </c>
      <c r="T220" s="229">
        <f>S220*H220</f>
        <v>0</v>
      </c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R220" s="230" t="s">
        <v>163</v>
      </c>
      <c r="AT220" s="230" t="s">
        <v>159</v>
      </c>
      <c r="AU220" s="230" t="s">
        <v>86</v>
      </c>
      <c r="AY220" s="16" t="s">
        <v>157</v>
      </c>
      <c r="BE220" s="231">
        <f>IF(N220="základní",J220,0)</f>
        <v>0</v>
      </c>
      <c r="BF220" s="231">
        <f>IF(N220="snížená",J220,0)</f>
        <v>0</v>
      </c>
      <c r="BG220" s="231">
        <f>IF(N220="zákl. přenesená",J220,0)</f>
        <v>0</v>
      </c>
      <c r="BH220" s="231">
        <f>IF(N220="sníž. přenesená",J220,0)</f>
        <v>0</v>
      </c>
      <c r="BI220" s="231">
        <f>IF(N220="nulová",J220,0)</f>
        <v>0</v>
      </c>
      <c r="BJ220" s="16" t="s">
        <v>8</v>
      </c>
      <c r="BK220" s="231">
        <f>ROUND(I220*H220,0)</f>
        <v>0</v>
      </c>
      <c r="BL220" s="16" t="s">
        <v>163</v>
      </c>
      <c r="BM220" s="230" t="s">
        <v>322</v>
      </c>
    </row>
    <row r="221" s="13" customFormat="1">
      <c r="A221" s="13"/>
      <c r="B221" s="232"/>
      <c r="C221" s="233"/>
      <c r="D221" s="234" t="s">
        <v>165</v>
      </c>
      <c r="E221" s="235" t="s">
        <v>1</v>
      </c>
      <c r="F221" s="236" t="s">
        <v>323</v>
      </c>
      <c r="G221" s="233"/>
      <c r="H221" s="237">
        <v>91.673000000000002</v>
      </c>
      <c r="I221" s="238"/>
      <c r="J221" s="233"/>
      <c r="K221" s="233"/>
      <c r="L221" s="239"/>
      <c r="M221" s="240"/>
      <c r="N221" s="241"/>
      <c r="O221" s="241"/>
      <c r="P221" s="241"/>
      <c r="Q221" s="241"/>
      <c r="R221" s="241"/>
      <c r="S221" s="241"/>
      <c r="T221" s="242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T221" s="243" t="s">
        <v>165</v>
      </c>
      <c r="AU221" s="243" t="s">
        <v>86</v>
      </c>
      <c r="AV221" s="13" t="s">
        <v>86</v>
      </c>
      <c r="AW221" s="13" t="s">
        <v>32</v>
      </c>
      <c r="AX221" s="13" t="s">
        <v>77</v>
      </c>
      <c r="AY221" s="243" t="s">
        <v>157</v>
      </c>
    </row>
    <row r="222" s="13" customFormat="1">
      <c r="A222" s="13"/>
      <c r="B222" s="232"/>
      <c r="C222" s="233"/>
      <c r="D222" s="234" t="s">
        <v>165</v>
      </c>
      <c r="E222" s="235" t="s">
        <v>1</v>
      </c>
      <c r="F222" s="236" t="s">
        <v>324</v>
      </c>
      <c r="G222" s="233"/>
      <c r="H222" s="237">
        <v>0.90700000000000003</v>
      </c>
      <c r="I222" s="238"/>
      <c r="J222" s="233"/>
      <c r="K222" s="233"/>
      <c r="L222" s="239"/>
      <c r="M222" s="240"/>
      <c r="N222" s="241"/>
      <c r="O222" s="241"/>
      <c r="P222" s="241"/>
      <c r="Q222" s="241"/>
      <c r="R222" s="241"/>
      <c r="S222" s="241"/>
      <c r="T222" s="242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T222" s="243" t="s">
        <v>165</v>
      </c>
      <c r="AU222" s="243" t="s">
        <v>86</v>
      </c>
      <c r="AV222" s="13" t="s">
        <v>86</v>
      </c>
      <c r="AW222" s="13" t="s">
        <v>32</v>
      </c>
      <c r="AX222" s="13" t="s">
        <v>77</v>
      </c>
      <c r="AY222" s="243" t="s">
        <v>157</v>
      </c>
    </row>
    <row r="223" s="2" customFormat="1" ht="24.15" customHeight="1">
      <c r="A223" s="37"/>
      <c r="B223" s="38"/>
      <c r="C223" s="254" t="s">
        <v>325</v>
      </c>
      <c r="D223" s="254" t="s">
        <v>229</v>
      </c>
      <c r="E223" s="255" t="s">
        <v>326</v>
      </c>
      <c r="F223" s="256" t="s">
        <v>327</v>
      </c>
      <c r="G223" s="257" t="s">
        <v>193</v>
      </c>
      <c r="H223" s="258">
        <v>92.579999999999998</v>
      </c>
      <c r="I223" s="259"/>
      <c r="J223" s="260">
        <f>ROUND(I223*H223,0)</f>
        <v>0</v>
      </c>
      <c r="K223" s="261"/>
      <c r="L223" s="262"/>
      <c r="M223" s="263" t="s">
        <v>1</v>
      </c>
      <c r="N223" s="264" t="s">
        <v>42</v>
      </c>
      <c r="O223" s="90"/>
      <c r="P223" s="228">
        <f>O223*H223</f>
        <v>0</v>
      </c>
      <c r="Q223" s="228">
        <v>1</v>
      </c>
      <c r="R223" s="228">
        <f>Q223*H223</f>
        <v>92.579999999999998</v>
      </c>
      <c r="S223" s="228">
        <v>0</v>
      </c>
      <c r="T223" s="229">
        <f>S223*H223</f>
        <v>0</v>
      </c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R223" s="230" t="s">
        <v>200</v>
      </c>
      <c r="AT223" s="230" t="s">
        <v>229</v>
      </c>
      <c r="AU223" s="230" t="s">
        <v>86</v>
      </c>
      <c r="AY223" s="16" t="s">
        <v>157</v>
      </c>
      <c r="BE223" s="231">
        <f>IF(N223="základní",J223,0)</f>
        <v>0</v>
      </c>
      <c r="BF223" s="231">
        <f>IF(N223="snížená",J223,0)</f>
        <v>0</v>
      </c>
      <c r="BG223" s="231">
        <f>IF(N223="zákl. přenesená",J223,0)</f>
        <v>0</v>
      </c>
      <c r="BH223" s="231">
        <f>IF(N223="sníž. přenesená",J223,0)</f>
        <v>0</v>
      </c>
      <c r="BI223" s="231">
        <f>IF(N223="nulová",J223,0)</f>
        <v>0</v>
      </c>
      <c r="BJ223" s="16" t="s">
        <v>8</v>
      </c>
      <c r="BK223" s="231">
        <f>ROUND(I223*H223,0)</f>
        <v>0</v>
      </c>
      <c r="BL223" s="16" t="s">
        <v>163</v>
      </c>
      <c r="BM223" s="230" t="s">
        <v>328</v>
      </c>
    </row>
    <row r="224" s="13" customFormat="1">
      <c r="A224" s="13"/>
      <c r="B224" s="232"/>
      <c r="C224" s="233"/>
      <c r="D224" s="234" t="s">
        <v>165</v>
      </c>
      <c r="E224" s="235" t="s">
        <v>1</v>
      </c>
      <c r="F224" s="236" t="s">
        <v>323</v>
      </c>
      <c r="G224" s="233"/>
      <c r="H224" s="237">
        <v>91.673000000000002</v>
      </c>
      <c r="I224" s="238"/>
      <c r="J224" s="233"/>
      <c r="K224" s="233"/>
      <c r="L224" s="239"/>
      <c r="M224" s="240"/>
      <c r="N224" s="241"/>
      <c r="O224" s="241"/>
      <c r="P224" s="241"/>
      <c r="Q224" s="241"/>
      <c r="R224" s="241"/>
      <c r="S224" s="241"/>
      <c r="T224" s="242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T224" s="243" t="s">
        <v>165</v>
      </c>
      <c r="AU224" s="243" t="s">
        <v>86</v>
      </c>
      <c r="AV224" s="13" t="s">
        <v>86</v>
      </c>
      <c r="AW224" s="13" t="s">
        <v>32</v>
      </c>
      <c r="AX224" s="13" t="s">
        <v>77</v>
      </c>
      <c r="AY224" s="243" t="s">
        <v>157</v>
      </c>
    </row>
    <row r="225" s="13" customFormat="1">
      <c r="A225" s="13"/>
      <c r="B225" s="232"/>
      <c r="C225" s="233"/>
      <c r="D225" s="234" t="s">
        <v>165</v>
      </c>
      <c r="E225" s="235" t="s">
        <v>1</v>
      </c>
      <c r="F225" s="236" t="s">
        <v>324</v>
      </c>
      <c r="G225" s="233"/>
      <c r="H225" s="237">
        <v>0.90700000000000003</v>
      </c>
      <c r="I225" s="238"/>
      <c r="J225" s="233"/>
      <c r="K225" s="233"/>
      <c r="L225" s="239"/>
      <c r="M225" s="240"/>
      <c r="N225" s="241"/>
      <c r="O225" s="241"/>
      <c r="P225" s="241"/>
      <c r="Q225" s="241"/>
      <c r="R225" s="241"/>
      <c r="S225" s="241"/>
      <c r="T225" s="242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T225" s="243" t="s">
        <v>165</v>
      </c>
      <c r="AU225" s="243" t="s">
        <v>86</v>
      </c>
      <c r="AV225" s="13" t="s">
        <v>86</v>
      </c>
      <c r="AW225" s="13" t="s">
        <v>32</v>
      </c>
      <c r="AX225" s="13" t="s">
        <v>77</v>
      </c>
      <c r="AY225" s="243" t="s">
        <v>157</v>
      </c>
    </row>
    <row r="226" s="2" customFormat="1" ht="37.8" customHeight="1">
      <c r="A226" s="37"/>
      <c r="B226" s="38"/>
      <c r="C226" s="218" t="s">
        <v>329</v>
      </c>
      <c r="D226" s="218" t="s">
        <v>159</v>
      </c>
      <c r="E226" s="219" t="s">
        <v>330</v>
      </c>
      <c r="F226" s="220" t="s">
        <v>331</v>
      </c>
      <c r="G226" s="221" t="s">
        <v>162</v>
      </c>
      <c r="H226" s="222">
        <v>37.256</v>
      </c>
      <c r="I226" s="223"/>
      <c r="J226" s="224">
        <f>ROUND(I226*H226,0)</f>
        <v>0</v>
      </c>
      <c r="K226" s="225"/>
      <c r="L226" s="43"/>
      <c r="M226" s="226" t="s">
        <v>1</v>
      </c>
      <c r="N226" s="227" t="s">
        <v>42</v>
      </c>
      <c r="O226" s="90"/>
      <c r="P226" s="228">
        <f>O226*H226</f>
        <v>0</v>
      </c>
      <c r="Q226" s="228">
        <v>2.5360200000000002</v>
      </c>
      <c r="R226" s="228">
        <f>Q226*H226</f>
        <v>94.481961120000008</v>
      </c>
      <c r="S226" s="228">
        <v>0</v>
      </c>
      <c r="T226" s="229">
        <f>S226*H226</f>
        <v>0</v>
      </c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R226" s="230" t="s">
        <v>163</v>
      </c>
      <c r="AT226" s="230" t="s">
        <v>159</v>
      </c>
      <c r="AU226" s="230" t="s">
        <v>86</v>
      </c>
      <c r="AY226" s="16" t="s">
        <v>157</v>
      </c>
      <c r="BE226" s="231">
        <f>IF(N226="základní",J226,0)</f>
        <v>0</v>
      </c>
      <c r="BF226" s="231">
        <f>IF(N226="snížená",J226,0)</f>
        <v>0</v>
      </c>
      <c r="BG226" s="231">
        <f>IF(N226="zákl. přenesená",J226,0)</f>
        <v>0</v>
      </c>
      <c r="BH226" s="231">
        <f>IF(N226="sníž. přenesená",J226,0)</f>
        <v>0</v>
      </c>
      <c r="BI226" s="231">
        <f>IF(N226="nulová",J226,0)</f>
        <v>0</v>
      </c>
      <c r="BJ226" s="16" t="s">
        <v>8</v>
      </c>
      <c r="BK226" s="231">
        <f>ROUND(I226*H226,0)</f>
        <v>0</v>
      </c>
      <c r="BL226" s="16" t="s">
        <v>163</v>
      </c>
      <c r="BM226" s="230" t="s">
        <v>332</v>
      </c>
    </row>
    <row r="227" s="13" customFormat="1">
      <c r="A227" s="13"/>
      <c r="B227" s="232"/>
      <c r="C227" s="233"/>
      <c r="D227" s="234" t="s">
        <v>165</v>
      </c>
      <c r="E227" s="235" t="s">
        <v>1</v>
      </c>
      <c r="F227" s="236" t="s">
        <v>333</v>
      </c>
      <c r="G227" s="233"/>
      <c r="H227" s="237">
        <v>35.281999999999996</v>
      </c>
      <c r="I227" s="238"/>
      <c r="J227" s="233"/>
      <c r="K227" s="233"/>
      <c r="L227" s="239"/>
      <c r="M227" s="240"/>
      <c r="N227" s="241"/>
      <c r="O227" s="241"/>
      <c r="P227" s="241"/>
      <c r="Q227" s="241"/>
      <c r="R227" s="241"/>
      <c r="S227" s="241"/>
      <c r="T227" s="242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T227" s="243" t="s">
        <v>165</v>
      </c>
      <c r="AU227" s="243" t="s">
        <v>86</v>
      </c>
      <c r="AV227" s="13" t="s">
        <v>86</v>
      </c>
      <c r="AW227" s="13" t="s">
        <v>32</v>
      </c>
      <c r="AX227" s="13" t="s">
        <v>77</v>
      </c>
      <c r="AY227" s="243" t="s">
        <v>157</v>
      </c>
    </row>
    <row r="228" s="13" customFormat="1">
      <c r="A228" s="13"/>
      <c r="B228" s="232"/>
      <c r="C228" s="233"/>
      <c r="D228" s="234" t="s">
        <v>165</v>
      </c>
      <c r="E228" s="235" t="s">
        <v>1</v>
      </c>
      <c r="F228" s="236" t="s">
        <v>334</v>
      </c>
      <c r="G228" s="233"/>
      <c r="H228" s="237">
        <v>1.974</v>
      </c>
      <c r="I228" s="238"/>
      <c r="J228" s="233"/>
      <c r="K228" s="233"/>
      <c r="L228" s="239"/>
      <c r="M228" s="240"/>
      <c r="N228" s="241"/>
      <c r="O228" s="241"/>
      <c r="P228" s="241"/>
      <c r="Q228" s="241"/>
      <c r="R228" s="241"/>
      <c r="S228" s="241"/>
      <c r="T228" s="242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T228" s="243" t="s">
        <v>165</v>
      </c>
      <c r="AU228" s="243" t="s">
        <v>86</v>
      </c>
      <c r="AV228" s="13" t="s">
        <v>86</v>
      </c>
      <c r="AW228" s="13" t="s">
        <v>32</v>
      </c>
      <c r="AX228" s="13" t="s">
        <v>77</v>
      </c>
      <c r="AY228" s="243" t="s">
        <v>157</v>
      </c>
    </row>
    <row r="229" s="2" customFormat="1" ht="24.15" customHeight="1">
      <c r="A229" s="37"/>
      <c r="B229" s="38"/>
      <c r="C229" s="218" t="s">
        <v>335</v>
      </c>
      <c r="D229" s="218" t="s">
        <v>159</v>
      </c>
      <c r="E229" s="219" t="s">
        <v>336</v>
      </c>
      <c r="F229" s="220" t="s">
        <v>337</v>
      </c>
      <c r="G229" s="221" t="s">
        <v>209</v>
      </c>
      <c r="H229" s="222">
        <v>262.76900000000001</v>
      </c>
      <c r="I229" s="223"/>
      <c r="J229" s="224">
        <f>ROUND(I229*H229,0)</f>
        <v>0</v>
      </c>
      <c r="K229" s="225"/>
      <c r="L229" s="43"/>
      <c r="M229" s="226" t="s">
        <v>1</v>
      </c>
      <c r="N229" s="227" t="s">
        <v>42</v>
      </c>
      <c r="O229" s="90"/>
      <c r="P229" s="228">
        <f>O229*H229</f>
        <v>0</v>
      </c>
      <c r="Q229" s="228">
        <v>0.0043200000000000001</v>
      </c>
      <c r="R229" s="228">
        <f>Q229*H229</f>
        <v>1.13516208</v>
      </c>
      <c r="S229" s="228">
        <v>0</v>
      </c>
      <c r="T229" s="229">
        <f>S229*H229</f>
        <v>0</v>
      </c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R229" s="230" t="s">
        <v>163</v>
      </c>
      <c r="AT229" s="230" t="s">
        <v>159</v>
      </c>
      <c r="AU229" s="230" t="s">
        <v>86</v>
      </c>
      <c r="AY229" s="16" t="s">
        <v>157</v>
      </c>
      <c r="BE229" s="231">
        <f>IF(N229="základní",J229,0)</f>
        <v>0</v>
      </c>
      <c r="BF229" s="231">
        <f>IF(N229="snížená",J229,0)</f>
        <v>0</v>
      </c>
      <c r="BG229" s="231">
        <f>IF(N229="zákl. přenesená",J229,0)</f>
        <v>0</v>
      </c>
      <c r="BH229" s="231">
        <f>IF(N229="sníž. přenesená",J229,0)</f>
        <v>0</v>
      </c>
      <c r="BI229" s="231">
        <f>IF(N229="nulová",J229,0)</f>
        <v>0</v>
      </c>
      <c r="BJ229" s="16" t="s">
        <v>8</v>
      </c>
      <c r="BK229" s="231">
        <f>ROUND(I229*H229,0)</f>
        <v>0</v>
      </c>
      <c r="BL229" s="16" t="s">
        <v>163</v>
      </c>
      <c r="BM229" s="230" t="s">
        <v>338</v>
      </c>
    </row>
    <row r="230" s="13" customFormat="1">
      <c r="A230" s="13"/>
      <c r="B230" s="232"/>
      <c r="C230" s="233"/>
      <c r="D230" s="234" t="s">
        <v>165</v>
      </c>
      <c r="E230" s="235" t="s">
        <v>1</v>
      </c>
      <c r="F230" s="236" t="s">
        <v>339</v>
      </c>
      <c r="G230" s="233"/>
      <c r="H230" s="237">
        <v>235.88900000000001</v>
      </c>
      <c r="I230" s="238"/>
      <c r="J230" s="233"/>
      <c r="K230" s="233"/>
      <c r="L230" s="239"/>
      <c r="M230" s="240"/>
      <c r="N230" s="241"/>
      <c r="O230" s="241"/>
      <c r="P230" s="241"/>
      <c r="Q230" s="241"/>
      <c r="R230" s="241"/>
      <c r="S230" s="241"/>
      <c r="T230" s="242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T230" s="243" t="s">
        <v>165</v>
      </c>
      <c r="AU230" s="243" t="s">
        <v>86</v>
      </c>
      <c r="AV230" s="13" t="s">
        <v>86</v>
      </c>
      <c r="AW230" s="13" t="s">
        <v>32</v>
      </c>
      <c r="AX230" s="13" t="s">
        <v>77</v>
      </c>
      <c r="AY230" s="243" t="s">
        <v>157</v>
      </c>
    </row>
    <row r="231" s="13" customFormat="1">
      <c r="A231" s="13"/>
      <c r="B231" s="232"/>
      <c r="C231" s="233"/>
      <c r="D231" s="234" t="s">
        <v>165</v>
      </c>
      <c r="E231" s="235" t="s">
        <v>1</v>
      </c>
      <c r="F231" s="236" t="s">
        <v>340</v>
      </c>
      <c r="G231" s="233"/>
      <c r="H231" s="237">
        <v>26.879999999999999</v>
      </c>
      <c r="I231" s="238"/>
      <c r="J231" s="233"/>
      <c r="K231" s="233"/>
      <c r="L231" s="239"/>
      <c r="M231" s="240"/>
      <c r="N231" s="241"/>
      <c r="O231" s="241"/>
      <c r="P231" s="241"/>
      <c r="Q231" s="241"/>
      <c r="R231" s="241"/>
      <c r="S231" s="241"/>
      <c r="T231" s="242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T231" s="243" t="s">
        <v>165</v>
      </c>
      <c r="AU231" s="243" t="s">
        <v>86</v>
      </c>
      <c r="AV231" s="13" t="s">
        <v>86</v>
      </c>
      <c r="AW231" s="13" t="s">
        <v>32</v>
      </c>
      <c r="AX231" s="13" t="s">
        <v>77</v>
      </c>
      <c r="AY231" s="243" t="s">
        <v>157</v>
      </c>
    </row>
    <row r="232" s="2" customFormat="1" ht="33" customHeight="1">
      <c r="A232" s="37"/>
      <c r="B232" s="38"/>
      <c r="C232" s="218" t="s">
        <v>341</v>
      </c>
      <c r="D232" s="218" t="s">
        <v>159</v>
      </c>
      <c r="E232" s="219" t="s">
        <v>342</v>
      </c>
      <c r="F232" s="220" t="s">
        <v>343</v>
      </c>
      <c r="G232" s="221" t="s">
        <v>209</v>
      </c>
      <c r="H232" s="222">
        <v>262.76900000000001</v>
      </c>
      <c r="I232" s="223"/>
      <c r="J232" s="224">
        <f>ROUND(I232*H232,0)</f>
        <v>0</v>
      </c>
      <c r="K232" s="225"/>
      <c r="L232" s="43"/>
      <c r="M232" s="226" t="s">
        <v>1</v>
      </c>
      <c r="N232" s="227" t="s">
        <v>42</v>
      </c>
      <c r="O232" s="90"/>
      <c r="P232" s="228">
        <f>O232*H232</f>
        <v>0</v>
      </c>
      <c r="Q232" s="228">
        <v>0</v>
      </c>
      <c r="R232" s="228">
        <f>Q232*H232</f>
        <v>0</v>
      </c>
      <c r="S232" s="228">
        <v>0</v>
      </c>
      <c r="T232" s="229">
        <f>S232*H232</f>
        <v>0</v>
      </c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R232" s="230" t="s">
        <v>163</v>
      </c>
      <c r="AT232" s="230" t="s">
        <v>159</v>
      </c>
      <c r="AU232" s="230" t="s">
        <v>86</v>
      </c>
      <c r="AY232" s="16" t="s">
        <v>157</v>
      </c>
      <c r="BE232" s="231">
        <f>IF(N232="základní",J232,0)</f>
        <v>0</v>
      </c>
      <c r="BF232" s="231">
        <f>IF(N232="snížená",J232,0)</f>
        <v>0</v>
      </c>
      <c r="BG232" s="231">
        <f>IF(N232="zákl. přenesená",J232,0)</f>
        <v>0</v>
      </c>
      <c r="BH232" s="231">
        <f>IF(N232="sníž. přenesená",J232,0)</f>
        <v>0</v>
      </c>
      <c r="BI232" s="231">
        <f>IF(N232="nulová",J232,0)</f>
        <v>0</v>
      </c>
      <c r="BJ232" s="16" t="s">
        <v>8</v>
      </c>
      <c r="BK232" s="231">
        <f>ROUND(I232*H232,0)</f>
        <v>0</v>
      </c>
      <c r="BL232" s="16" t="s">
        <v>163</v>
      </c>
      <c r="BM232" s="230" t="s">
        <v>344</v>
      </c>
    </row>
    <row r="233" s="2" customFormat="1" ht="24.15" customHeight="1">
      <c r="A233" s="37"/>
      <c r="B233" s="38"/>
      <c r="C233" s="218" t="s">
        <v>345</v>
      </c>
      <c r="D233" s="218" t="s">
        <v>159</v>
      </c>
      <c r="E233" s="219" t="s">
        <v>346</v>
      </c>
      <c r="F233" s="220" t="s">
        <v>347</v>
      </c>
      <c r="G233" s="221" t="s">
        <v>193</v>
      </c>
      <c r="H233" s="222">
        <v>4.4710000000000001</v>
      </c>
      <c r="I233" s="223"/>
      <c r="J233" s="224">
        <f>ROUND(I233*H233,0)</f>
        <v>0</v>
      </c>
      <c r="K233" s="225"/>
      <c r="L233" s="43"/>
      <c r="M233" s="226" t="s">
        <v>1</v>
      </c>
      <c r="N233" s="227" t="s">
        <v>42</v>
      </c>
      <c r="O233" s="90"/>
      <c r="P233" s="228">
        <f>O233*H233</f>
        <v>0</v>
      </c>
      <c r="Q233" s="228">
        <v>1.10907</v>
      </c>
      <c r="R233" s="228">
        <f>Q233*H233</f>
        <v>4.95865197</v>
      </c>
      <c r="S233" s="228">
        <v>0</v>
      </c>
      <c r="T233" s="229">
        <f>S233*H233</f>
        <v>0</v>
      </c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R233" s="230" t="s">
        <v>163</v>
      </c>
      <c r="AT233" s="230" t="s">
        <v>159</v>
      </c>
      <c r="AU233" s="230" t="s">
        <v>86</v>
      </c>
      <c r="AY233" s="16" t="s">
        <v>157</v>
      </c>
      <c r="BE233" s="231">
        <f>IF(N233="základní",J233,0)</f>
        <v>0</v>
      </c>
      <c r="BF233" s="231">
        <f>IF(N233="snížená",J233,0)</f>
        <v>0</v>
      </c>
      <c r="BG233" s="231">
        <f>IF(N233="zákl. přenesená",J233,0)</f>
        <v>0</v>
      </c>
      <c r="BH233" s="231">
        <f>IF(N233="sníž. přenesená",J233,0)</f>
        <v>0</v>
      </c>
      <c r="BI233" s="231">
        <f>IF(N233="nulová",J233,0)</f>
        <v>0</v>
      </c>
      <c r="BJ233" s="16" t="s">
        <v>8</v>
      </c>
      <c r="BK233" s="231">
        <f>ROUND(I233*H233,0)</f>
        <v>0</v>
      </c>
      <c r="BL233" s="16" t="s">
        <v>163</v>
      </c>
      <c r="BM233" s="230" t="s">
        <v>348</v>
      </c>
    </row>
    <row r="234" s="13" customFormat="1">
      <c r="A234" s="13"/>
      <c r="B234" s="232"/>
      <c r="C234" s="233"/>
      <c r="D234" s="234" t="s">
        <v>165</v>
      </c>
      <c r="E234" s="235" t="s">
        <v>1</v>
      </c>
      <c r="F234" s="236" t="s">
        <v>349</v>
      </c>
      <c r="G234" s="233"/>
      <c r="H234" s="237">
        <v>4.4710000000000001</v>
      </c>
      <c r="I234" s="238"/>
      <c r="J234" s="233"/>
      <c r="K234" s="233"/>
      <c r="L234" s="239"/>
      <c r="M234" s="240"/>
      <c r="N234" s="241"/>
      <c r="O234" s="241"/>
      <c r="P234" s="241"/>
      <c r="Q234" s="241"/>
      <c r="R234" s="241"/>
      <c r="S234" s="241"/>
      <c r="T234" s="242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T234" s="243" t="s">
        <v>165</v>
      </c>
      <c r="AU234" s="243" t="s">
        <v>86</v>
      </c>
      <c r="AV234" s="13" t="s">
        <v>86</v>
      </c>
      <c r="AW234" s="13" t="s">
        <v>32</v>
      </c>
      <c r="AX234" s="13" t="s">
        <v>77</v>
      </c>
      <c r="AY234" s="243" t="s">
        <v>157</v>
      </c>
    </row>
    <row r="235" s="2" customFormat="1" ht="24.15" customHeight="1">
      <c r="A235" s="37"/>
      <c r="B235" s="38"/>
      <c r="C235" s="218" t="s">
        <v>350</v>
      </c>
      <c r="D235" s="218" t="s">
        <v>159</v>
      </c>
      <c r="E235" s="219" t="s">
        <v>351</v>
      </c>
      <c r="F235" s="220" t="s">
        <v>352</v>
      </c>
      <c r="G235" s="221" t="s">
        <v>353</v>
      </c>
      <c r="H235" s="222">
        <v>2</v>
      </c>
      <c r="I235" s="223"/>
      <c r="J235" s="224">
        <f>ROUND(I235*H235,0)</f>
        <v>0</v>
      </c>
      <c r="K235" s="225"/>
      <c r="L235" s="43"/>
      <c r="M235" s="226" t="s">
        <v>1</v>
      </c>
      <c r="N235" s="227" t="s">
        <v>42</v>
      </c>
      <c r="O235" s="90"/>
      <c r="P235" s="228">
        <f>O235*H235</f>
        <v>0</v>
      </c>
      <c r="Q235" s="228">
        <v>0</v>
      </c>
      <c r="R235" s="228">
        <f>Q235*H235</f>
        <v>0</v>
      </c>
      <c r="S235" s="228">
        <v>0</v>
      </c>
      <c r="T235" s="229">
        <f>S235*H235</f>
        <v>0</v>
      </c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R235" s="230" t="s">
        <v>163</v>
      </c>
      <c r="AT235" s="230" t="s">
        <v>159</v>
      </c>
      <c r="AU235" s="230" t="s">
        <v>86</v>
      </c>
      <c r="AY235" s="16" t="s">
        <v>157</v>
      </c>
      <c r="BE235" s="231">
        <f>IF(N235="základní",J235,0)</f>
        <v>0</v>
      </c>
      <c r="BF235" s="231">
        <f>IF(N235="snížená",J235,0)</f>
        <v>0</v>
      </c>
      <c r="BG235" s="231">
        <f>IF(N235="zákl. přenesená",J235,0)</f>
        <v>0</v>
      </c>
      <c r="BH235" s="231">
        <f>IF(N235="sníž. přenesená",J235,0)</f>
        <v>0</v>
      </c>
      <c r="BI235" s="231">
        <f>IF(N235="nulová",J235,0)</f>
        <v>0</v>
      </c>
      <c r="BJ235" s="16" t="s">
        <v>8</v>
      </c>
      <c r="BK235" s="231">
        <f>ROUND(I235*H235,0)</f>
        <v>0</v>
      </c>
      <c r="BL235" s="16" t="s">
        <v>163</v>
      </c>
      <c r="BM235" s="230" t="s">
        <v>354</v>
      </c>
    </row>
    <row r="236" s="12" customFormat="1" ht="22.8" customHeight="1">
      <c r="A236" s="12"/>
      <c r="B236" s="202"/>
      <c r="C236" s="203"/>
      <c r="D236" s="204" t="s">
        <v>76</v>
      </c>
      <c r="E236" s="216" t="s">
        <v>163</v>
      </c>
      <c r="F236" s="216" t="s">
        <v>355</v>
      </c>
      <c r="G236" s="203"/>
      <c r="H236" s="203"/>
      <c r="I236" s="206"/>
      <c r="J236" s="217">
        <f>BK236</f>
        <v>0</v>
      </c>
      <c r="K236" s="203"/>
      <c r="L236" s="208"/>
      <c r="M236" s="209"/>
      <c r="N236" s="210"/>
      <c r="O236" s="210"/>
      <c r="P236" s="211">
        <f>SUM(P237:P270)</f>
        <v>0</v>
      </c>
      <c r="Q236" s="210"/>
      <c r="R236" s="211">
        <f>SUM(R237:R270)</f>
        <v>349.93234143999996</v>
      </c>
      <c r="S236" s="210"/>
      <c r="T236" s="212">
        <f>SUM(T237:T270)</f>
        <v>0</v>
      </c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R236" s="213" t="s">
        <v>8</v>
      </c>
      <c r="AT236" s="214" t="s">
        <v>76</v>
      </c>
      <c r="AU236" s="214" t="s">
        <v>8</v>
      </c>
      <c r="AY236" s="213" t="s">
        <v>157</v>
      </c>
      <c r="BK236" s="215">
        <f>SUM(BK237:BK270)</f>
        <v>0</v>
      </c>
    </row>
    <row r="237" s="2" customFormat="1" ht="16.5" customHeight="1">
      <c r="A237" s="37"/>
      <c r="B237" s="38"/>
      <c r="C237" s="218" t="s">
        <v>356</v>
      </c>
      <c r="D237" s="218" t="s">
        <v>159</v>
      </c>
      <c r="E237" s="219" t="s">
        <v>357</v>
      </c>
      <c r="F237" s="220" t="s">
        <v>358</v>
      </c>
      <c r="G237" s="221" t="s">
        <v>162</v>
      </c>
      <c r="H237" s="222">
        <v>125.559</v>
      </c>
      <c r="I237" s="223"/>
      <c r="J237" s="224">
        <f>ROUND(I237*H237,0)</f>
        <v>0</v>
      </c>
      <c r="K237" s="225"/>
      <c r="L237" s="43"/>
      <c r="M237" s="226" t="s">
        <v>1</v>
      </c>
      <c r="N237" s="227" t="s">
        <v>42</v>
      </c>
      <c r="O237" s="90"/>
      <c r="P237" s="228">
        <f>O237*H237</f>
        <v>0</v>
      </c>
      <c r="Q237" s="228">
        <v>2.5020099999999998</v>
      </c>
      <c r="R237" s="228">
        <f>Q237*H237</f>
        <v>314.14987358999997</v>
      </c>
      <c r="S237" s="228">
        <v>0</v>
      </c>
      <c r="T237" s="229">
        <f>S237*H237</f>
        <v>0</v>
      </c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R237" s="230" t="s">
        <v>163</v>
      </c>
      <c r="AT237" s="230" t="s">
        <v>159</v>
      </c>
      <c r="AU237" s="230" t="s">
        <v>86</v>
      </c>
      <c r="AY237" s="16" t="s">
        <v>157</v>
      </c>
      <c r="BE237" s="231">
        <f>IF(N237="základní",J237,0)</f>
        <v>0</v>
      </c>
      <c r="BF237" s="231">
        <f>IF(N237="snížená",J237,0)</f>
        <v>0</v>
      </c>
      <c r="BG237" s="231">
        <f>IF(N237="zákl. přenesená",J237,0)</f>
        <v>0</v>
      </c>
      <c r="BH237" s="231">
        <f>IF(N237="sníž. přenesená",J237,0)</f>
        <v>0</v>
      </c>
      <c r="BI237" s="231">
        <f>IF(N237="nulová",J237,0)</f>
        <v>0</v>
      </c>
      <c r="BJ237" s="16" t="s">
        <v>8</v>
      </c>
      <c r="BK237" s="231">
        <f>ROUND(I237*H237,0)</f>
        <v>0</v>
      </c>
      <c r="BL237" s="16" t="s">
        <v>163</v>
      </c>
      <c r="BM237" s="230" t="s">
        <v>359</v>
      </c>
    </row>
    <row r="238" s="13" customFormat="1">
      <c r="A238" s="13"/>
      <c r="B238" s="232"/>
      <c r="C238" s="233"/>
      <c r="D238" s="234" t="s">
        <v>165</v>
      </c>
      <c r="E238" s="235" t="s">
        <v>1</v>
      </c>
      <c r="F238" s="236" t="s">
        <v>360</v>
      </c>
      <c r="G238" s="233"/>
      <c r="H238" s="237">
        <v>51.878</v>
      </c>
      <c r="I238" s="238"/>
      <c r="J238" s="233"/>
      <c r="K238" s="233"/>
      <c r="L238" s="239"/>
      <c r="M238" s="240"/>
      <c r="N238" s="241"/>
      <c r="O238" s="241"/>
      <c r="P238" s="241"/>
      <c r="Q238" s="241"/>
      <c r="R238" s="241"/>
      <c r="S238" s="241"/>
      <c r="T238" s="242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T238" s="243" t="s">
        <v>165</v>
      </c>
      <c r="AU238" s="243" t="s">
        <v>86</v>
      </c>
      <c r="AV238" s="13" t="s">
        <v>86</v>
      </c>
      <c r="AW238" s="13" t="s">
        <v>32</v>
      </c>
      <c r="AX238" s="13" t="s">
        <v>77</v>
      </c>
      <c r="AY238" s="243" t="s">
        <v>157</v>
      </c>
    </row>
    <row r="239" s="13" customFormat="1">
      <c r="A239" s="13"/>
      <c r="B239" s="232"/>
      <c r="C239" s="233"/>
      <c r="D239" s="234" t="s">
        <v>165</v>
      </c>
      <c r="E239" s="235" t="s">
        <v>1</v>
      </c>
      <c r="F239" s="236" t="s">
        <v>361</v>
      </c>
      <c r="G239" s="233"/>
      <c r="H239" s="237">
        <v>47.505000000000003</v>
      </c>
      <c r="I239" s="238"/>
      <c r="J239" s="233"/>
      <c r="K239" s="233"/>
      <c r="L239" s="239"/>
      <c r="M239" s="240"/>
      <c r="N239" s="241"/>
      <c r="O239" s="241"/>
      <c r="P239" s="241"/>
      <c r="Q239" s="241"/>
      <c r="R239" s="241"/>
      <c r="S239" s="241"/>
      <c r="T239" s="242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T239" s="243" t="s">
        <v>165</v>
      </c>
      <c r="AU239" s="243" t="s">
        <v>86</v>
      </c>
      <c r="AV239" s="13" t="s">
        <v>86</v>
      </c>
      <c r="AW239" s="13" t="s">
        <v>32</v>
      </c>
      <c r="AX239" s="13" t="s">
        <v>77</v>
      </c>
      <c r="AY239" s="243" t="s">
        <v>157</v>
      </c>
    </row>
    <row r="240" s="13" customFormat="1">
      <c r="A240" s="13"/>
      <c r="B240" s="232"/>
      <c r="C240" s="233"/>
      <c r="D240" s="234" t="s">
        <v>165</v>
      </c>
      <c r="E240" s="235" t="s">
        <v>1</v>
      </c>
      <c r="F240" s="236" t="s">
        <v>362</v>
      </c>
      <c r="G240" s="233"/>
      <c r="H240" s="237">
        <v>25.452999999999999</v>
      </c>
      <c r="I240" s="238"/>
      <c r="J240" s="233"/>
      <c r="K240" s="233"/>
      <c r="L240" s="239"/>
      <c r="M240" s="240"/>
      <c r="N240" s="241"/>
      <c r="O240" s="241"/>
      <c r="P240" s="241"/>
      <c r="Q240" s="241"/>
      <c r="R240" s="241"/>
      <c r="S240" s="241"/>
      <c r="T240" s="242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T240" s="243" t="s">
        <v>165</v>
      </c>
      <c r="AU240" s="243" t="s">
        <v>86</v>
      </c>
      <c r="AV240" s="13" t="s">
        <v>86</v>
      </c>
      <c r="AW240" s="13" t="s">
        <v>32</v>
      </c>
      <c r="AX240" s="13" t="s">
        <v>77</v>
      </c>
      <c r="AY240" s="243" t="s">
        <v>157</v>
      </c>
    </row>
    <row r="241" s="13" customFormat="1">
      <c r="A241" s="13"/>
      <c r="B241" s="232"/>
      <c r="C241" s="233"/>
      <c r="D241" s="234" t="s">
        <v>165</v>
      </c>
      <c r="E241" s="235" t="s">
        <v>1</v>
      </c>
      <c r="F241" s="236" t="s">
        <v>363</v>
      </c>
      <c r="G241" s="233"/>
      <c r="H241" s="237">
        <v>0.72299999999999998</v>
      </c>
      <c r="I241" s="238"/>
      <c r="J241" s="233"/>
      <c r="K241" s="233"/>
      <c r="L241" s="239"/>
      <c r="M241" s="240"/>
      <c r="N241" s="241"/>
      <c r="O241" s="241"/>
      <c r="P241" s="241"/>
      <c r="Q241" s="241"/>
      <c r="R241" s="241"/>
      <c r="S241" s="241"/>
      <c r="T241" s="242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T241" s="243" t="s">
        <v>165</v>
      </c>
      <c r="AU241" s="243" t="s">
        <v>86</v>
      </c>
      <c r="AV241" s="13" t="s">
        <v>86</v>
      </c>
      <c r="AW241" s="13" t="s">
        <v>32</v>
      </c>
      <c r="AX241" s="13" t="s">
        <v>77</v>
      </c>
      <c r="AY241" s="243" t="s">
        <v>157</v>
      </c>
    </row>
    <row r="242" s="2" customFormat="1" ht="24.15" customHeight="1">
      <c r="A242" s="37"/>
      <c r="B242" s="38"/>
      <c r="C242" s="218" t="s">
        <v>364</v>
      </c>
      <c r="D242" s="218" t="s">
        <v>159</v>
      </c>
      <c r="E242" s="219" t="s">
        <v>365</v>
      </c>
      <c r="F242" s="220" t="s">
        <v>366</v>
      </c>
      <c r="G242" s="221" t="s">
        <v>209</v>
      </c>
      <c r="H242" s="222">
        <v>120.494</v>
      </c>
      <c r="I242" s="223"/>
      <c r="J242" s="224">
        <f>ROUND(I242*H242,0)</f>
        <v>0</v>
      </c>
      <c r="K242" s="225"/>
      <c r="L242" s="43"/>
      <c r="M242" s="226" t="s">
        <v>1</v>
      </c>
      <c r="N242" s="227" t="s">
        <v>42</v>
      </c>
      <c r="O242" s="90"/>
      <c r="P242" s="228">
        <f>O242*H242</f>
        <v>0</v>
      </c>
      <c r="Q242" s="228">
        <v>0.0053299999999999997</v>
      </c>
      <c r="R242" s="228">
        <f>Q242*H242</f>
        <v>0.64223301999999993</v>
      </c>
      <c r="S242" s="228">
        <v>0</v>
      </c>
      <c r="T242" s="229">
        <f>S242*H242</f>
        <v>0</v>
      </c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R242" s="230" t="s">
        <v>163</v>
      </c>
      <c r="AT242" s="230" t="s">
        <v>159</v>
      </c>
      <c r="AU242" s="230" t="s">
        <v>86</v>
      </c>
      <c r="AY242" s="16" t="s">
        <v>157</v>
      </c>
      <c r="BE242" s="231">
        <f>IF(N242="základní",J242,0)</f>
        <v>0</v>
      </c>
      <c r="BF242" s="231">
        <f>IF(N242="snížená",J242,0)</f>
        <v>0</v>
      </c>
      <c r="BG242" s="231">
        <f>IF(N242="zákl. přenesená",J242,0)</f>
        <v>0</v>
      </c>
      <c r="BH242" s="231">
        <f>IF(N242="sníž. přenesená",J242,0)</f>
        <v>0</v>
      </c>
      <c r="BI242" s="231">
        <f>IF(N242="nulová",J242,0)</f>
        <v>0</v>
      </c>
      <c r="BJ242" s="16" t="s">
        <v>8</v>
      </c>
      <c r="BK242" s="231">
        <f>ROUND(I242*H242,0)</f>
        <v>0</v>
      </c>
      <c r="BL242" s="16" t="s">
        <v>163</v>
      </c>
      <c r="BM242" s="230" t="s">
        <v>367</v>
      </c>
    </row>
    <row r="243" s="13" customFormat="1">
      <c r="A243" s="13"/>
      <c r="B243" s="232"/>
      <c r="C243" s="233"/>
      <c r="D243" s="234" t="s">
        <v>165</v>
      </c>
      <c r="E243" s="235" t="s">
        <v>1</v>
      </c>
      <c r="F243" s="236" t="s">
        <v>368</v>
      </c>
      <c r="G243" s="233"/>
      <c r="H243" s="237">
        <v>101.813</v>
      </c>
      <c r="I243" s="238"/>
      <c r="J243" s="233"/>
      <c r="K243" s="233"/>
      <c r="L243" s="239"/>
      <c r="M243" s="240"/>
      <c r="N243" s="241"/>
      <c r="O243" s="241"/>
      <c r="P243" s="241"/>
      <c r="Q243" s="241"/>
      <c r="R243" s="241"/>
      <c r="S243" s="241"/>
      <c r="T243" s="242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T243" s="243" t="s">
        <v>165</v>
      </c>
      <c r="AU243" s="243" t="s">
        <v>86</v>
      </c>
      <c r="AV243" s="13" t="s">
        <v>86</v>
      </c>
      <c r="AW243" s="13" t="s">
        <v>32</v>
      </c>
      <c r="AX243" s="13" t="s">
        <v>77</v>
      </c>
      <c r="AY243" s="243" t="s">
        <v>157</v>
      </c>
    </row>
    <row r="244" s="13" customFormat="1">
      <c r="A244" s="13"/>
      <c r="B244" s="232"/>
      <c r="C244" s="233"/>
      <c r="D244" s="234" t="s">
        <v>165</v>
      </c>
      <c r="E244" s="235" t="s">
        <v>1</v>
      </c>
      <c r="F244" s="236" t="s">
        <v>369</v>
      </c>
      <c r="G244" s="233"/>
      <c r="H244" s="237">
        <v>14.142</v>
      </c>
      <c r="I244" s="238"/>
      <c r="J244" s="233"/>
      <c r="K244" s="233"/>
      <c r="L244" s="239"/>
      <c r="M244" s="240"/>
      <c r="N244" s="241"/>
      <c r="O244" s="241"/>
      <c r="P244" s="241"/>
      <c r="Q244" s="241"/>
      <c r="R244" s="241"/>
      <c r="S244" s="241"/>
      <c r="T244" s="242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T244" s="243" t="s">
        <v>165</v>
      </c>
      <c r="AU244" s="243" t="s">
        <v>86</v>
      </c>
      <c r="AV244" s="13" t="s">
        <v>86</v>
      </c>
      <c r="AW244" s="13" t="s">
        <v>32</v>
      </c>
      <c r="AX244" s="13" t="s">
        <v>77</v>
      </c>
      <c r="AY244" s="243" t="s">
        <v>157</v>
      </c>
    </row>
    <row r="245" s="13" customFormat="1">
      <c r="A245" s="13"/>
      <c r="B245" s="232"/>
      <c r="C245" s="233"/>
      <c r="D245" s="234" t="s">
        <v>165</v>
      </c>
      <c r="E245" s="235" t="s">
        <v>1</v>
      </c>
      <c r="F245" s="236" t="s">
        <v>370</v>
      </c>
      <c r="G245" s="233"/>
      <c r="H245" s="237">
        <v>4.5389999999999997</v>
      </c>
      <c r="I245" s="238"/>
      <c r="J245" s="233"/>
      <c r="K245" s="233"/>
      <c r="L245" s="239"/>
      <c r="M245" s="240"/>
      <c r="N245" s="241"/>
      <c r="O245" s="241"/>
      <c r="P245" s="241"/>
      <c r="Q245" s="241"/>
      <c r="R245" s="241"/>
      <c r="S245" s="241"/>
      <c r="T245" s="242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T245" s="243" t="s">
        <v>165</v>
      </c>
      <c r="AU245" s="243" t="s">
        <v>86</v>
      </c>
      <c r="AV245" s="13" t="s">
        <v>86</v>
      </c>
      <c r="AW245" s="13" t="s">
        <v>32</v>
      </c>
      <c r="AX245" s="13" t="s">
        <v>77</v>
      </c>
      <c r="AY245" s="243" t="s">
        <v>157</v>
      </c>
    </row>
    <row r="246" s="2" customFormat="1" ht="24.15" customHeight="1">
      <c r="A246" s="37"/>
      <c r="B246" s="38"/>
      <c r="C246" s="218" t="s">
        <v>371</v>
      </c>
      <c r="D246" s="218" t="s">
        <v>159</v>
      </c>
      <c r="E246" s="219" t="s">
        <v>372</v>
      </c>
      <c r="F246" s="220" t="s">
        <v>373</v>
      </c>
      <c r="G246" s="221" t="s">
        <v>209</v>
      </c>
      <c r="H246" s="222">
        <v>115.955</v>
      </c>
      <c r="I246" s="223"/>
      <c r="J246" s="224">
        <f>ROUND(I246*H246,0)</f>
        <v>0</v>
      </c>
      <c r="K246" s="225"/>
      <c r="L246" s="43"/>
      <c r="M246" s="226" t="s">
        <v>1</v>
      </c>
      <c r="N246" s="227" t="s">
        <v>42</v>
      </c>
      <c r="O246" s="90"/>
      <c r="P246" s="228">
        <f>O246*H246</f>
        <v>0</v>
      </c>
      <c r="Q246" s="228">
        <v>0</v>
      </c>
      <c r="R246" s="228">
        <f>Q246*H246</f>
        <v>0</v>
      </c>
      <c r="S246" s="228">
        <v>0</v>
      </c>
      <c r="T246" s="229">
        <f>S246*H246</f>
        <v>0</v>
      </c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R246" s="230" t="s">
        <v>163</v>
      </c>
      <c r="AT246" s="230" t="s">
        <v>159</v>
      </c>
      <c r="AU246" s="230" t="s">
        <v>86</v>
      </c>
      <c r="AY246" s="16" t="s">
        <v>157</v>
      </c>
      <c r="BE246" s="231">
        <f>IF(N246="základní",J246,0)</f>
        <v>0</v>
      </c>
      <c r="BF246" s="231">
        <f>IF(N246="snížená",J246,0)</f>
        <v>0</v>
      </c>
      <c r="BG246" s="231">
        <f>IF(N246="zákl. přenesená",J246,0)</f>
        <v>0</v>
      </c>
      <c r="BH246" s="231">
        <f>IF(N246="sníž. přenesená",J246,0)</f>
        <v>0</v>
      </c>
      <c r="BI246" s="231">
        <f>IF(N246="nulová",J246,0)</f>
        <v>0</v>
      </c>
      <c r="BJ246" s="16" t="s">
        <v>8</v>
      </c>
      <c r="BK246" s="231">
        <f>ROUND(I246*H246,0)</f>
        <v>0</v>
      </c>
      <c r="BL246" s="16" t="s">
        <v>163</v>
      </c>
      <c r="BM246" s="230" t="s">
        <v>374</v>
      </c>
    </row>
    <row r="247" s="2" customFormat="1" ht="24.15" customHeight="1">
      <c r="A247" s="37"/>
      <c r="B247" s="38"/>
      <c r="C247" s="218" t="s">
        <v>375</v>
      </c>
      <c r="D247" s="218" t="s">
        <v>159</v>
      </c>
      <c r="E247" s="219" t="s">
        <v>376</v>
      </c>
      <c r="F247" s="220" t="s">
        <v>377</v>
      </c>
      <c r="G247" s="221" t="s">
        <v>209</v>
      </c>
      <c r="H247" s="222">
        <v>1325.0999999999999</v>
      </c>
      <c r="I247" s="223"/>
      <c r="J247" s="224">
        <f>ROUND(I247*H247,0)</f>
        <v>0</v>
      </c>
      <c r="K247" s="225"/>
      <c r="L247" s="43"/>
      <c r="M247" s="226" t="s">
        <v>1</v>
      </c>
      <c r="N247" s="227" t="s">
        <v>42</v>
      </c>
      <c r="O247" s="90"/>
      <c r="P247" s="228">
        <f>O247*H247</f>
        <v>0</v>
      </c>
      <c r="Q247" s="228">
        <v>0.010529999999999999</v>
      </c>
      <c r="R247" s="228">
        <f>Q247*H247</f>
        <v>13.953302999999998</v>
      </c>
      <c r="S247" s="228">
        <v>0</v>
      </c>
      <c r="T247" s="229">
        <f>S247*H247</f>
        <v>0</v>
      </c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R247" s="230" t="s">
        <v>163</v>
      </c>
      <c r="AT247" s="230" t="s">
        <v>159</v>
      </c>
      <c r="AU247" s="230" t="s">
        <v>86</v>
      </c>
      <c r="AY247" s="16" t="s">
        <v>157</v>
      </c>
      <c r="BE247" s="231">
        <f>IF(N247="základní",J247,0)</f>
        <v>0</v>
      </c>
      <c r="BF247" s="231">
        <f>IF(N247="snížená",J247,0)</f>
        <v>0</v>
      </c>
      <c r="BG247" s="231">
        <f>IF(N247="zákl. přenesená",J247,0)</f>
        <v>0</v>
      </c>
      <c r="BH247" s="231">
        <f>IF(N247="sníž. přenesená",J247,0)</f>
        <v>0</v>
      </c>
      <c r="BI247" s="231">
        <f>IF(N247="nulová",J247,0)</f>
        <v>0</v>
      </c>
      <c r="BJ247" s="16" t="s">
        <v>8</v>
      </c>
      <c r="BK247" s="231">
        <f>ROUND(I247*H247,0)</f>
        <v>0</v>
      </c>
      <c r="BL247" s="16" t="s">
        <v>163</v>
      </c>
      <c r="BM247" s="230" t="s">
        <v>378</v>
      </c>
    </row>
    <row r="248" s="13" customFormat="1">
      <c r="A248" s="13"/>
      <c r="B248" s="232"/>
      <c r="C248" s="233"/>
      <c r="D248" s="234" t="s">
        <v>165</v>
      </c>
      <c r="E248" s="235" t="s">
        <v>1</v>
      </c>
      <c r="F248" s="236" t="s">
        <v>379</v>
      </c>
      <c r="G248" s="233"/>
      <c r="H248" s="237">
        <v>633.39999999999998</v>
      </c>
      <c r="I248" s="238"/>
      <c r="J248" s="233"/>
      <c r="K248" s="233"/>
      <c r="L248" s="239"/>
      <c r="M248" s="240"/>
      <c r="N248" s="241"/>
      <c r="O248" s="241"/>
      <c r="P248" s="241"/>
      <c r="Q248" s="241"/>
      <c r="R248" s="241"/>
      <c r="S248" s="241"/>
      <c r="T248" s="242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T248" s="243" t="s">
        <v>165</v>
      </c>
      <c r="AU248" s="243" t="s">
        <v>86</v>
      </c>
      <c r="AV248" s="13" t="s">
        <v>86</v>
      </c>
      <c r="AW248" s="13" t="s">
        <v>32</v>
      </c>
      <c r="AX248" s="13" t="s">
        <v>77</v>
      </c>
      <c r="AY248" s="243" t="s">
        <v>157</v>
      </c>
    </row>
    <row r="249" s="13" customFormat="1">
      <c r="A249" s="13"/>
      <c r="B249" s="232"/>
      <c r="C249" s="233"/>
      <c r="D249" s="234" t="s">
        <v>165</v>
      </c>
      <c r="E249" s="235" t="s">
        <v>1</v>
      </c>
      <c r="F249" s="236" t="s">
        <v>380</v>
      </c>
      <c r="G249" s="233"/>
      <c r="H249" s="237">
        <v>691.70000000000005</v>
      </c>
      <c r="I249" s="238"/>
      <c r="J249" s="233"/>
      <c r="K249" s="233"/>
      <c r="L249" s="239"/>
      <c r="M249" s="240"/>
      <c r="N249" s="241"/>
      <c r="O249" s="241"/>
      <c r="P249" s="241"/>
      <c r="Q249" s="241"/>
      <c r="R249" s="241"/>
      <c r="S249" s="241"/>
      <c r="T249" s="242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T249" s="243" t="s">
        <v>165</v>
      </c>
      <c r="AU249" s="243" t="s">
        <v>86</v>
      </c>
      <c r="AV249" s="13" t="s">
        <v>86</v>
      </c>
      <c r="AW249" s="13" t="s">
        <v>32</v>
      </c>
      <c r="AX249" s="13" t="s">
        <v>77</v>
      </c>
      <c r="AY249" s="243" t="s">
        <v>157</v>
      </c>
    </row>
    <row r="250" s="2" customFormat="1" ht="24.15" customHeight="1">
      <c r="A250" s="37"/>
      <c r="B250" s="38"/>
      <c r="C250" s="218" t="s">
        <v>381</v>
      </c>
      <c r="D250" s="218" t="s">
        <v>159</v>
      </c>
      <c r="E250" s="219" t="s">
        <v>382</v>
      </c>
      <c r="F250" s="220" t="s">
        <v>383</v>
      </c>
      <c r="G250" s="221" t="s">
        <v>209</v>
      </c>
      <c r="H250" s="222">
        <v>105.029</v>
      </c>
      <c r="I250" s="223"/>
      <c r="J250" s="224">
        <f>ROUND(I250*H250,0)</f>
        <v>0</v>
      </c>
      <c r="K250" s="225"/>
      <c r="L250" s="43"/>
      <c r="M250" s="226" t="s">
        <v>1</v>
      </c>
      <c r="N250" s="227" t="s">
        <v>42</v>
      </c>
      <c r="O250" s="90"/>
      <c r="P250" s="228">
        <f>O250*H250</f>
        <v>0</v>
      </c>
      <c r="Q250" s="228">
        <v>0.00088000000000000003</v>
      </c>
      <c r="R250" s="228">
        <f>Q250*H250</f>
        <v>0.092425519999999997</v>
      </c>
      <c r="S250" s="228">
        <v>0</v>
      </c>
      <c r="T250" s="229">
        <f>S250*H250</f>
        <v>0</v>
      </c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R250" s="230" t="s">
        <v>163</v>
      </c>
      <c r="AT250" s="230" t="s">
        <v>159</v>
      </c>
      <c r="AU250" s="230" t="s">
        <v>86</v>
      </c>
      <c r="AY250" s="16" t="s">
        <v>157</v>
      </c>
      <c r="BE250" s="231">
        <f>IF(N250="základní",J250,0)</f>
        <v>0</v>
      </c>
      <c r="BF250" s="231">
        <f>IF(N250="snížená",J250,0)</f>
        <v>0</v>
      </c>
      <c r="BG250" s="231">
        <f>IF(N250="zákl. přenesená",J250,0)</f>
        <v>0</v>
      </c>
      <c r="BH250" s="231">
        <f>IF(N250="sníž. přenesená",J250,0)</f>
        <v>0</v>
      </c>
      <c r="BI250" s="231">
        <f>IF(N250="nulová",J250,0)</f>
        <v>0</v>
      </c>
      <c r="BJ250" s="16" t="s">
        <v>8</v>
      </c>
      <c r="BK250" s="231">
        <f>ROUND(I250*H250,0)</f>
        <v>0</v>
      </c>
      <c r="BL250" s="16" t="s">
        <v>163</v>
      </c>
      <c r="BM250" s="230" t="s">
        <v>384</v>
      </c>
    </row>
    <row r="251" s="13" customFormat="1">
      <c r="A251" s="13"/>
      <c r="B251" s="232"/>
      <c r="C251" s="233"/>
      <c r="D251" s="234" t="s">
        <v>165</v>
      </c>
      <c r="E251" s="235" t="s">
        <v>1</v>
      </c>
      <c r="F251" s="236" t="s">
        <v>368</v>
      </c>
      <c r="G251" s="233"/>
      <c r="H251" s="237">
        <v>101.813</v>
      </c>
      <c r="I251" s="238"/>
      <c r="J251" s="233"/>
      <c r="K251" s="233"/>
      <c r="L251" s="239"/>
      <c r="M251" s="240"/>
      <c r="N251" s="241"/>
      <c r="O251" s="241"/>
      <c r="P251" s="241"/>
      <c r="Q251" s="241"/>
      <c r="R251" s="241"/>
      <c r="S251" s="241"/>
      <c r="T251" s="242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T251" s="243" t="s">
        <v>165</v>
      </c>
      <c r="AU251" s="243" t="s">
        <v>86</v>
      </c>
      <c r="AV251" s="13" t="s">
        <v>86</v>
      </c>
      <c r="AW251" s="13" t="s">
        <v>32</v>
      </c>
      <c r="AX251" s="13" t="s">
        <v>77</v>
      </c>
      <c r="AY251" s="243" t="s">
        <v>157</v>
      </c>
    </row>
    <row r="252" s="13" customFormat="1">
      <c r="A252" s="13"/>
      <c r="B252" s="232"/>
      <c r="C252" s="233"/>
      <c r="D252" s="234" t="s">
        <v>165</v>
      </c>
      <c r="E252" s="235" t="s">
        <v>1</v>
      </c>
      <c r="F252" s="236" t="s">
        <v>385</v>
      </c>
      <c r="G252" s="233"/>
      <c r="H252" s="237">
        <v>3.2160000000000002</v>
      </c>
      <c r="I252" s="238"/>
      <c r="J252" s="233"/>
      <c r="K252" s="233"/>
      <c r="L252" s="239"/>
      <c r="M252" s="240"/>
      <c r="N252" s="241"/>
      <c r="O252" s="241"/>
      <c r="P252" s="241"/>
      <c r="Q252" s="241"/>
      <c r="R252" s="241"/>
      <c r="S252" s="241"/>
      <c r="T252" s="242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T252" s="243" t="s">
        <v>165</v>
      </c>
      <c r="AU252" s="243" t="s">
        <v>86</v>
      </c>
      <c r="AV252" s="13" t="s">
        <v>86</v>
      </c>
      <c r="AW252" s="13" t="s">
        <v>32</v>
      </c>
      <c r="AX252" s="13" t="s">
        <v>77</v>
      </c>
      <c r="AY252" s="243" t="s">
        <v>157</v>
      </c>
    </row>
    <row r="253" s="2" customFormat="1" ht="24.15" customHeight="1">
      <c r="A253" s="37"/>
      <c r="B253" s="38"/>
      <c r="C253" s="218" t="s">
        <v>386</v>
      </c>
      <c r="D253" s="218" t="s">
        <v>159</v>
      </c>
      <c r="E253" s="219" t="s">
        <v>387</v>
      </c>
      <c r="F253" s="220" t="s">
        <v>388</v>
      </c>
      <c r="G253" s="221" t="s">
        <v>209</v>
      </c>
      <c r="H253" s="222">
        <v>105.029</v>
      </c>
      <c r="I253" s="223"/>
      <c r="J253" s="224">
        <f>ROUND(I253*H253,0)</f>
        <v>0</v>
      </c>
      <c r="K253" s="225"/>
      <c r="L253" s="43"/>
      <c r="M253" s="226" t="s">
        <v>1</v>
      </c>
      <c r="N253" s="227" t="s">
        <v>42</v>
      </c>
      <c r="O253" s="90"/>
      <c r="P253" s="228">
        <f>O253*H253</f>
        <v>0</v>
      </c>
      <c r="Q253" s="228">
        <v>0</v>
      </c>
      <c r="R253" s="228">
        <f>Q253*H253</f>
        <v>0</v>
      </c>
      <c r="S253" s="228">
        <v>0</v>
      </c>
      <c r="T253" s="229">
        <f>S253*H253</f>
        <v>0</v>
      </c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R253" s="230" t="s">
        <v>163</v>
      </c>
      <c r="AT253" s="230" t="s">
        <v>159</v>
      </c>
      <c r="AU253" s="230" t="s">
        <v>86</v>
      </c>
      <c r="AY253" s="16" t="s">
        <v>157</v>
      </c>
      <c r="BE253" s="231">
        <f>IF(N253="základní",J253,0)</f>
        <v>0</v>
      </c>
      <c r="BF253" s="231">
        <f>IF(N253="snížená",J253,0)</f>
        <v>0</v>
      </c>
      <c r="BG253" s="231">
        <f>IF(N253="zákl. přenesená",J253,0)</f>
        <v>0</v>
      </c>
      <c r="BH253" s="231">
        <f>IF(N253="sníž. přenesená",J253,0)</f>
        <v>0</v>
      </c>
      <c r="BI253" s="231">
        <f>IF(N253="nulová",J253,0)</f>
        <v>0</v>
      </c>
      <c r="BJ253" s="16" t="s">
        <v>8</v>
      </c>
      <c r="BK253" s="231">
        <f>ROUND(I253*H253,0)</f>
        <v>0</v>
      </c>
      <c r="BL253" s="16" t="s">
        <v>163</v>
      </c>
      <c r="BM253" s="230" t="s">
        <v>389</v>
      </c>
    </row>
    <row r="254" s="2" customFormat="1" ht="16.5" customHeight="1">
      <c r="A254" s="37"/>
      <c r="B254" s="38"/>
      <c r="C254" s="218" t="s">
        <v>390</v>
      </c>
      <c r="D254" s="218" t="s">
        <v>159</v>
      </c>
      <c r="E254" s="219" t="s">
        <v>391</v>
      </c>
      <c r="F254" s="220" t="s">
        <v>392</v>
      </c>
      <c r="G254" s="221" t="s">
        <v>193</v>
      </c>
      <c r="H254" s="222">
        <v>11.788</v>
      </c>
      <c r="I254" s="223"/>
      <c r="J254" s="224">
        <f>ROUND(I254*H254,0)</f>
        <v>0</v>
      </c>
      <c r="K254" s="225"/>
      <c r="L254" s="43"/>
      <c r="M254" s="226" t="s">
        <v>1</v>
      </c>
      <c r="N254" s="227" t="s">
        <v>42</v>
      </c>
      <c r="O254" s="90"/>
      <c r="P254" s="228">
        <f>O254*H254</f>
        <v>0</v>
      </c>
      <c r="Q254" s="228">
        <v>1.05555</v>
      </c>
      <c r="R254" s="228">
        <f>Q254*H254</f>
        <v>12.4428234</v>
      </c>
      <c r="S254" s="228">
        <v>0</v>
      </c>
      <c r="T254" s="229">
        <f>S254*H254</f>
        <v>0</v>
      </c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R254" s="230" t="s">
        <v>163</v>
      </c>
      <c r="AT254" s="230" t="s">
        <v>159</v>
      </c>
      <c r="AU254" s="230" t="s">
        <v>86</v>
      </c>
      <c r="AY254" s="16" t="s">
        <v>157</v>
      </c>
      <c r="BE254" s="231">
        <f>IF(N254="základní",J254,0)</f>
        <v>0</v>
      </c>
      <c r="BF254" s="231">
        <f>IF(N254="snížená",J254,0)</f>
        <v>0</v>
      </c>
      <c r="BG254" s="231">
        <f>IF(N254="zákl. přenesená",J254,0)</f>
        <v>0</v>
      </c>
      <c r="BH254" s="231">
        <f>IF(N254="sníž. přenesená",J254,0)</f>
        <v>0</v>
      </c>
      <c r="BI254" s="231">
        <f>IF(N254="nulová",J254,0)</f>
        <v>0</v>
      </c>
      <c r="BJ254" s="16" t="s">
        <v>8</v>
      </c>
      <c r="BK254" s="231">
        <f>ROUND(I254*H254,0)</f>
        <v>0</v>
      </c>
      <c r="BL254" s="16" t="s">
        <v>163</v>
      </c>
      <c r="BM254" s="230" t="s">
        <v>393</v>
      </c>
    </row>
    <row r="255" s="13" customFormat="1">
      <c r="A255" s="13"/>
      <c r="B255" s="232"/>
      <c r="C255" s="233"/>
      <c r="D255" s="234" t="s">
        <v>165</v>
      </c>
      <c r="E255" s="235" t="s">
        <v>1</v>
      </c>
      <c r="F255" s="236" t="s">
        <v>394</v>
      </c>
      <c r="G255" s="233"/>
      <c r="H255" s="237">
        <v>4.1040000000000001</v>
      </c>
      <c r="I255" s="238"/>
      <c r="J255" s="233"/>
      <c r="K255" s="233"/>
      <c r="L255" s="239"/>
      <c r="M255" s="240"/>
      <c r="N255" s="241"/>
      <c r="O255" s="241"/>
      <c r="P255" s="241"/>
      <c r="Q255" s="241"/>
      <c r="R255" s="241"/>
      <c r="S255" s="241"/>
      <c r="T255" s="242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T255" s="243" t="s">
        <v>165</v>
      </c>
      <c r="AU255" s="243" t="s">
        <v>86</v>
      </c>
      <c r="AV255" s="13" t="s">
        <v>86</v>
      </c>
      <c r="AW255" s="13" t="s">
        <v>32</v>
      </c>
      <c r="AX255" s="13" t="s">
        <v>77</v>
      </c>
      <c r="AY255" s="243" t="s">
        <v>157</v>
      </c>
    </row>
    <row r="256" s="13" customFormat="1">
      <c r="A256" s="13"/>
      <c r="B256" s="232"/>
      <c r="C256" s="233"/>
      <c r="D256" s="234" t="s">
        <v>165</v>
      </c>
      <c r="E256" s="235" t="s">
        <v>1</v>
      </c>
      <c r="F256" s="236" t="s">
        <v>395</v>
      </c>
      <c r="G256" s="233"/>
      <c r="H256" s="237">
        <v>3.758</v>
      </c>
      <c r="I256" s="238"/>
      <c r="J256" s="233"/>
      <c r="K256" s="233"/>
      <c r="L256" s="239"/>
      <c r="M256" s="240"/>
      <c r="N256" s="241"/>
      <c r="O256" s="241"/>
      <c r="P256" s="241"/>
      <c r="Q256" s="241"/>
      <c r="R256" s="241"/>
      <c r="S256" s="241"/>
      <c r="T256" s="242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T256" s="243" t="s">
        <v>165</v>
      </c>
      <c r="AU256" s="243" t="s">
        <v>86</v>
      </c>
      <c r="AV256" s="13" t="s">
        <v>86</v>
      </c>
      <c r="AW256" s="13" t="s">
        <v>32</v>
      </c>
      <c r="AX256" s="13" t="s">
        <v>77</v>
      </c>
      <c r="AY256" s="243" t="s">
        <v>157</v>
      </c>
    </row>
    <row r="257" s="13" customFormat="1">
      <c r="A257" s="13"/>
      <c r="B257" s="232"/>
      <c r="C257" s="233"/>
      <c r="D257" s="234" t="s">
        <v>165</v>
      </c>
      <c r="E257" s="235" t="s">
        <v>1</v>
      </c>
      <c r="F257" s="236" t="s">
        <v>396</v>
      </c>
      <c r="G257" s="233"/>
      <c r="H257" s="237">
        <v>3.8180000000000001</v>
      </c>
      <c r="I257" s="238"/>
      <c r="J257" s="233"/>
      <c r="K257" s="233"/>
      <c r="L257" s="239"/>
      <c r="M257" s="240"/>
      <c r="N257" s="241"/>
      <c r="O257" s="241"/>
      <c r="P257" s="241"/>
      <c r="Q257" s="241"/>
      <c r="R257" s="241"/>
      <c r="S257" s="241"/>
      <c r="T257" s="242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T257" s="243" t="s">
        <v>165</v>
      </c>
      <c r="AU257" s="243" t="s">
        <v>86</v>
      </c>
      <c r="AV257" s="13" t="s">
        <v>86</v>
      </c>
      <c r="AW257" s="13" t="s">
        <v>32</v>
      </c>
      <c r="AX257" s="13" t="s">
        <v>77</v>
      </c>
      <c r="AY257" s="243" t="s">
        <v>157</v>
      </c>
    </row>
    <row r="258" s="13" customFormat="1">
      <c r="A258" s="13"/>
      <c r="B258" s="232"/>
      <c r="C258" s="233"/>
      <c r="D258" s="234" t="s">
        <v>165</v>
      </c>
      <c r="E258" s="235" t="s">
        <v>1</v>
      </c>
      <c r="F258" s="236" t="s">
        <v>397</v>
      </c>
      <c r="G258" s="233"/>
      <c r="H258" s="237">
        <v>0.108</v>
      </c>
      <c r="I258" s="238"/>
      <c r="J258" s="233"/>
      <c r="K258" s="233"/>
      <c r="L258" s="239"/>
      <c r="M258" s="240"/>
      <c r="N258" s="241"/>
      <c r="O258" s="241"/>
      <c r="P258" s="241"/>
      <c r="Q258" s="241"/>
      <c r="R258" s="241"/>
      <c r="S258" s="241"/>
      <c r="T258" s="242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T258" s="243" t="s">
        <v>165</v>
      </c>
      <c r="AU258" s="243" t="s">
        <v>86</v>
      </c>
      <c r="AV258" s="13" t="s">
        <v>86</v>
      </c>
      <c r="AW258" s="13" t="s">
        <v>32</v>
      </c>
      <c r="AX258" s="13" t="s">
        <v>77</v>
      </c>
      <c r="AY258" s="243" t="s">
        <v>157</v>
      </c>
    </row>
    <row r="259" s="2" customFormat="1" ht="16.5" customHeight="1">
      <c r="A259" s="37"/>
      <c r="B259" s="38"/>
      <c r="C259" s="218" t="s">
        <v>398</v>
      </c>
      <c r="D259" s="218" t="s">
        <v>159</v>
      </c>
      <c r="E259" s="219" t="s">
        <v>399</v>
      </c>
      <c r="F259" s="220" t="s">
        <v>400</v>
      </c>
      <c r="G259" s="221" t="s">
        <v>193</v>
      </c>
      <c r="H259" s="222">
        <v>7.8710000000000004</v>
      </c>
      <c r="I259" s="223"/>
      <c r="J259" s="224">
        <f>ROUND(I259*H259,0)</f>
        <v>0</v>
      </c>
      <c r="K259" s="225"/>
      <c r="L259" s="43"/>
      <c r="M259" s="226" t="s">
        <v>1</v>
      </c>
      <c r="N259" s="227" t="s">
        <v>42</v>
      </c>
      <c r="O259" s="90"/>
      <c r="P259" s="228">
        <f>O259*H259</f>
        <v>0</v>
      </c>
      <c r="Q259" s="228">
        <v>1.06277</v>
      </c>
      <c r="R259" s="228">
        <f>Q259*H259</f>
        <v>8.3650626700000004</v>
      </c>
      <c r="S259" s="228">
        <v>0</v>
      </c>
      <c r="T259" s="229">
        <f>S259*H259</f>
        <v>0</v>
      </c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R259" s="230" t="s">
        <v>163</v>
      </c>
      <c r="AT259" s="230" t="s">
        <v>159</v>
      </c>
      <c r="AU259" s="230" t="s">
        <v>86</v>
      </c>
      <c r="AY259" s="16" t="s">
        <v>157</v>
      </c>
      <c r="BE259" s="231">
        <f>IF(N259="základní",J259,0)</f>
        <v>0</v>
      </c>
      <c r="BF259" s="231">
        <f>IF(N259="snížená",J259,0)</f>
        <v>0</v>
      </c>
      <c r="BG259" s="231">
        <f>IF(N259="zákl. přenesená",J259,0)</f>
        <v>0</v>
      </c>
      <c r="BH259" s="231">
        <f>IF(N259="sníž. přenesená",J259,0)</f>
        <v>0</v>
      </c>
      <c r="BI259" s="231">
        <f>IF(N259="nulová",J259,0)</f>
        <v>0</v>
      </c>
      <c r="BJ259" s="16" t="s">
        <v>8</v>
      </c>
      <c r="BK259" s="231">
        <f>ROUND(I259*H259,0)</f>
        <v>0</v>
      </c>
      <c r="BL259" s="16" t="s">
        <v>163</v>
      </c>
      <c r="BM259" s="230" t="s">
        <v>401</v>
      </c>
    </row>
    <row r="260" s="13" customFormat="1">
      <c r="A260" s="13"/>
      <c r="B260" s="232"/>
      <c r="C260" s="233"/>
      <c r="D260" s="234" t="s">
        <v>165</v>
      </c>
      <c r="E260" s="235" t="s">
        <v>1</v>
      </c>
      <c r="F260" s="236" t="s">
        <v>402</v>
      </c>
      <c r="G260" s="233"/>
      <c r="H260" s="237">
        <v>4.109</v>
      </c>
      <c r="I260" s="238"/>
      <c r="J260" s="233"/>
      <c r="K260" s="233"/>
      <c r="L260" s="239"/>
      <c r="M260" s="240"/>
      <c r="N260" s="241"/>
      <c r="O260" s="241"/>
      <c r="P260" s="241"/>
      <c r="Q260" s="241"/>
      <c r="R260" s="241"/>
      <c r="S260" s="241"/>
      <c r="T260" s="242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T260" s="243" t="s">
        <v>165</v>
      </c>
      <c r="AU260" s="243" t="s">
        <v>86</v>
      </c>
      <c r="AV260" s="13" t="s">
        <v>86</v>
      </c>
      <c r="AW260" s="13" t="s">
        <v>32</v>
      </c>
      <c r="AX260" s="13" t="s">
        <v>77</v>
      </c>
      <c r="AY260" s="243" t="s">
        <v>157</v>
      </c>
    </row>
    <row r="261" s="13" customFormat="1">
      <c r="A261" s="13"/>
      <c r="B261" s="232"/>
      <c r="C261" s="233"/>
      <c r="D261" s="234" t="s">
        <v>165</v>
      </c>
      <c r="E261" s="235" t="s">
        <v>1</v>
      </c>
      <c r="F261" s="236" t="s">
        <v>403</v>
      </c>
      <c r="G261" s="233"/>
      <c r="H261" s="237">
        <v>3.762</v>
      </c>
      <c r="I261" s="238"/>
      <c r="J261" s="233"/>
      <c r="K261" s="233"/>
      <c r="L261" s="239"/>
      <c r="M261" s="240"/>
      <c r="N261" s="241"/>
      <c r="O261" s="241"/>
      <c r="P261" s="241"/>
      <c r="Q261" s="241"/>
      <c r="R261" s="241"/>
      <c r="S261" s="241"/>
      <c r="T261" s="242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T261" s="243" t="s">
        <v>165</v>
      </c>
      <c r="AU261" s="243" t="s">
        <v>86</v>
      </c>
      <c r="AV261" s="13" t="s">
        <v>86</v>
      </c>
      <c r="AW261" s="13" t="s">
        <v>32</v>
      </c>
      <c r="AX261" s="13" t="s">
        <v>77</v>
      </c>
      <c r="AY261" s="243" t="s">
        <v>157</v>
      </c>
    </row>
    <row r="262" s="2" customFormat="1" ht="37.8" customHeight="1">
      <c r="A262" s="37"/>
      <c r="B262" s="38"/>
      <c r="C262" s="218" t="s">
        <v>404</v>
      </c>
      <c r="D262" s="218" t="s">
        <v>159</v>
      </c>
      <c r="E262" s="219" t="s">
        <v>405</v>
      </c>
      <c r="F262" s="220" t="s">
        <v>406</v>
      </c>
      <c r="G262" s="221" t="s">
        <v>407</v>
      </c>
      <c r="H262" s="222">
        <v>1</v>
      </c>
      <c r="I262" s="223"/>
      <c r="J262" s="224">
        <f>ROUND(I262*H262,0)</f>
        <v>0</v>
      </c>
      <c r="K262" s="225"/>
      <c r="L262" s="43"/>
      <c r="M262" s="226" t="s">
        <v>1</v>
      </c>
      <c r="N262" s="227" t="s">
        <v>42</v>
      </c>
      <c r="O262" s="90"/>
      <c r="P262" s="228">
        <f>O262*H262</f>
        <v>0</v>
      </c>
      <c r="Q262" s="228">
        <v>0</v>
      </c>
      <c r="R262" s="228">
        <f>Q262*H262</f>
        <v>0</v>
      </c>
      <c r="S262" s="228">
        <v>0</v>
      </c>
      <c r="T262" s="229">
        <f>S262*H262</f>
        <v>0</v>
      </c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R262" s="230" t="s">
        <v>163</v>
      </c>
      <c r="AT262" s="230" t="s">
        <v>159</v>
      </c>
      <c r="AU262" s="230" t="s">
        <v>86</v>
      </c>
      <c r="AY262" s="16" t="s">
        <v>157</v>
      </c>
      <c r="BE262" s="231">
        <f>IF(N262="základní",J262,0)</f>
        <v>0</v>
      </c>
      <c r="BF262" s="231">
        <f>IF(N262="snížená",J262,0)</f>
        <v>0</v>
      </c>
      <c r="BG262" s="231">
        <f>IF(N262="zákl. přenesená",J262,0)</f>
        <v>0</v>
      </c>
      <c r="BH262" s="231">
        <f>IF(N262="sníž. přenesená",J262,0)</f>
        <v>0</v>
      </c>
      <c r="BI262" s="231">
        <f>IF(N262="nulová",J262,0)</f>
        <v>0</v>
      </c>
      <c r="BJ262" s="16" t="s">
        <v>8</v>
      </c>
      <c r="BK262" s="231">
        <f>ROUND(I262*H262,0)</f>
        <v>0</v>
      </c>
      <c r="BL262" s="16" t="s">
        <v>163</v>
      </c>
      <c r="BM262" s="230" t="s">
        <v>408</v>
      </c>
    </row>
    <row r="263" s="2" customFormat="1" ht="24.15" customHeight="1">
      <c r="A263" s="37"/>
      <c r="B263" s="38"/>
      <c r="C263" s="218" t="s">
        <v>409</v>
      </c>
      <c r="D263" s="218" t="s">
        <v>159</v>
      </c>
      <c r="E263" s="219" t="s">
        <v>410</v>
      </c>
      <c r="F263" s="220" t="s">
        <v>411</v>
      </c>
      <c r="G263" s="221" t="s">
        <v>216</v>
      </c>
      <c r="H263" s="222">
        <v>2.5</v>
      </c>
      <c r="I263" s="223"/>
      <c r="J263" s="224">
        <f>ROUND(I263*H263,0)</f>
        <v>0</v>
      </c>
      <c r="K263" s="225"/>
      <c r="L263" s="43"/>
      <c r="M263" s="226" t="s">
        <v>1</v>
      </c>
      <c r="N263" s="227" t="s">
        <v>42</v>
      </c>
      <c r="O263" s="90"/>
      <c r="P263" s="228">
        <f>O263*H263</f>
        <v>0</v>
      </c>
      <c r="Q263" s="228">
        <v>0.11046</v>
      </c>
      <c r="R263" s="228">
        <f>Q263*H263</f>
        <v>0.27615000000000001</v>
      </c>
      <c r="S263" s="228">
        <v>0</v>
      </c>
      <c r="T263" s="229">
        <f>S263*H263</f>
        <v>0</v>
      </c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R263" s="230" t="s">
        <v>163</v>
      </c>
      <c r="AT263" s="230" t="s">
        <v>159</v>
      </c>
      <c r="AU263" s="230" t="s">
        <v>86</v>
      </c>
      <c r="AY263" s="16" t="s">
        <v>157</v>
      </c>
      <c r="BE263" s="231">
        <f>IF(N263="základní",J263,0)</f>
        <v>0</v>
      </c>
      <c r="BF263" s="231">
        <f>IF(N263="snížená",J263,0)</f>
        <v>0</v>
      </c>
      <c r="BG263" s="231">
        <f>IF(N263="zákl. přenesená",J263,0)</f>
        <v>0</v>
      </c>
      <c r="BH263" s="231">
        <f>IF(N263="sníž. přenesená",J263,0)</f>
        <v>0</v>
      </c>
      <c r="BI263" s="231">
        <f>IF(N263="nulová",J263,0)</f>
        <v>0</v>
      </c>
      <c r="BJ263" s="16" t="s">
        <v>8</v>
      </c>
      <c r="BK263" s="231">
        <f>ROUND(I263*H263,0)</f>
        <v>0</v>
      </c>
      <c r="BL263" s="16" t="s">
        <v>163</v>
      </c>
      <c r="BM263" s="230" t="s">
        <v>412</v>
      </c>
    </row>
    <row r="264" s="13" customFormat="1">
      <c r="A264" s="13"/>
      <c r="B264" s="232"/>
      <c r="C264" s="233"/>
      <c r="D264" s="234" t="s">
        <v>165</v>
      </c>
      <c r="E264" s="235" t="s">
        <v>1</v>
      </c>
      <c r="F264" s="236" t="s">
        <v>413</v>
      </c>
      <c r="G264" s="233"/>
      <c r="H264" s="237">
        <v>2.5</v>
      </c>
      <c r="I264" s="238"/>
      <c r="J264" s="233"/>
      <c r="K264" s="233"/>
      <c r="L264" s="239"/>
      <c r="M264" s="240"/>
      <c r="N264" s="241"/>
      <c r="O264" s="241"/>
      <c r="P264" s="241"/>
      <c r="Q264" s="241"/>
      <c r="R264" s="241"/>
      <c r="S264" s="241"/>
      <c r="T264" s="242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T264" s="243" t="s">
        <v>165</v>
      </c>
      <c r="AU264" s="243" t="s">
        <v>86</v>
      </c>
      <c r="AV264" s="13" t="s">
        <v>86</v>
      </c>
      <c r="AW264" s="13" t="s">
        <v>32</v>
      </c>
      <c r="AX264" s="13" t="s">
        <v>77</v>
      </c>
      <c r="AY264" s="243" t="s">
        <v>157</v>
      </c>
    </row>
    <row r="265" s="2" customFormat="1" ht="16.5" customHeight="1">
      <c r="A265" s="37"/>
      <c r="B265" s="38"/>
      <c r="C265" s="218" t="s">
        <v>414</v>
      </c>
      <c r="D265" s="218" t="s">
        <v>159</v>
      </c>
      <c r="E265" s="219" t="s">
        <v>415</v>
      </c>
      <c r="F265" s="220" t="s">
        <v>416</v>
      </c>
      <c r="G265" s="221" t="s">
        <v>209</v>
      </c>
      <c r="H265" s="222">
        <v>1.3220000000000001</v>
      </c>
      <c r="I265" s="223"/>
      <c r="J265" s="224">
        <f>ROUND(I265*H265,0)</f>
        <v>0</v>
      </c>
      <c r="K265" s="225"/>
      <c r="L265" s="43"/>
      <c r="M265" s="226" t="s">
        <v>1</v>
      </c>
      <c r="N265" s="227" t="s">
        <v>42</v>
      </c>
      <c r="O265" s="90"/>
      <c r="P265" s="228">
        <f>O265*H265</f>
        <v>0</v>
      </c>
      <c r="Q265" s="228">
        <v>0.00792</v>
      </c>
      <c r="R265" s="228">
        <f>Q265*H265</f>
        <v>0.01047024</v>
      </c>
      <c r="S265" s="228">
        <v>0</v>
      </c>
      <c r="T265" s="229">
        <f>S265*H265</f>
        <v>0</v>
      </c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R265" s="230" t="s">
        <v>163</v>
      </c>
      <c r="AT265" s="230" t="s">
        <v>159</v>
      </c>
      <c r="AU265" s="230" t="s">
        <v>86</v>
      </c>
      <c r="AY265" s="16" t="s">
        <v>157</v>
      </c>
      <c r="BE265" s="231">
        <f>IF(N265="základní",J265,0)</f>
        <v>0</v>
      </c>
      <c r="BF265" s="231">
        <f>IF(N265="snížená",J265,0)</f>
        <v>0</v>
      </c>
      <c r="BG265" s="231">
        <f>IF(N265="zákl. přenesená",J265,0)</f>
        <v>0</v>
      </c>
      <c r="BH265" s="231">
        <f>IF(N265="sníž. přenesená",J265,0)</f>
        <v>0</v>
      </c>
      <c r="BI265" s="231">
        <f>IF(N265="nulová",J265,0)</f>
        <v>0</v>
      </c>
      <c r="BJ265" s="16" t="s">
        <v>8</v>
      </c>
      <c r="BK265" s="231">
        <f>ROUND(I265*H265,0)</f>
        <v>0</v>
      </c>
      <c r="BL265" s="16" t="s">
        <v>163</v>
      </c>
      <c r="BM265" s="230" t="s">
        <v>417</v>
      </c>
    </row>
    <row r="266" s="13" customFormat="1">
      <c r="A266" s="13"/>
      <c r="B266" s="232"/>
      <c r="C266" s="233"/>
      <c r="D266" s="234" t="s">
        <v>165</v>
      </c>
      <c r="E266" s="235" t="s">
        <v>1</v>
      </c>
      <c r="F266" s="236" t="s">
        <v>418</v>
      </c>
      <c r="G266" s="233"/>
      <c r="H266" s="237">
        <v>1.3220000000000001</v>
      </c>
      <c r="I266" s="238"/>
      <c r="J266" s="233"/>
      <c r="K266" s="233"/>
      <c r="L266" s="239"/>
      <c r="M266" s="240"/>
      <c r="N266" s="241"/>
      <c r="O266" s="241"/>
      <c r="P266" s="241"/>
      <c r="Q266" s="241"/>
      <c r="R266" s="241"/>
      <c r="S266" s="241"/>
      <c r="T266" s="242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T266" s="243" t="s">
        <v>165</v>
      </c>
      <c r="AU266" s="243" t="s">
        <v>86</v>
      </c>
      <c r="AV266" s="13" t="s">
        <v>86</v>
      </c>
      <c r="AW266" s="13" t="s">
        <v>32</v>
      </c>
      <c r="AX266" s="13" t="s">
        <v>77</v>
      </c>
      <c r="AY266" s="243" t="s">
        <v>157</v>
      </c>
    </row>
    <row r="267" s="2" customFormat="1" ht="16.5" customHeight="1">
      <c r="A267" s="37"/>
      <c r="B267" s="38"/>
      <c r="C267" s="218" t="s">
        <v>419</v>
      </c>
      <c r="D267" s="218" t="s">
        <v>159</v>
      </c>
      <c r="E267" s="219" t="s">
        <v>420</v>
      </c>
      <c r="F267" s="220" t="s">
        <v>421</v>
      </c>
      <c r="G267" s="221" t="s">
        <v>209</v>
      </c>
      <c r="H267" s="222">
        <v>1.3220000000000001</v>
      </c>
      <c r="I267" s="223"/>
      <c r="J267" s="224">
        <f>ROUND(I267*H267,0)</f>
        <v>0</v>
      </c>
      <c r="K267" s="225"/>
      <c r="L267" s="43"/>
      <c r="M267" s="226" t="s">
        <v>1</v>
      </c>
      <c r="N267" s="227" t="s">
        <v>42</v>
      </c>
      <c r="O267" s="90"/>
      <c r="P267" s="228">
        <f>O267*H267</f>
        <v>0</v>
      </c>
      <c r="Q267" s="228">
        <v>0</v>
      </c>
      <c r="R267" s="228">
        <f>Q267*H267</f>
        <v>0</v>
      </c>
      <c r="S267" s="228">
        <v>0</v>
      </c>
      <c r="T267" s="229">
        <f>S267*H267</f>
        <v>0</v>
      </c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R267" s="230" t="s">
        <v>163</v>
      </c>
      <c r="AT267" s="230" t="s">
        <v>159</v>
      </c>
      <c r="AU267" s="230" t="s">
        <v>86</v>
      </c>
      <c r="AY267" s="16" t="s">
        <v>157</v>
      </c>
      <c r="BE267" s="231">
        <f>IF(N267="základní",J267,0)</f>
        <v>0</v>
      </c>
      <c r="BF267" s="231">
        <f>IF(N267="snížená",J267,0)</f>
        <v>0</v>
      </c>
      <c r="BG267" s="231">
        <f>IF(N267="zákl. přenesená",J267,0)</f>
        <v>0</v>
      </c>
      <c r="BH267" s="231">
        <f>IF(N267="sníž. přenesená",J267,0)</f>
        <v>0</v>
      </c>
      <c r="BI267" s="231">
        <f>IF(N267="nulová",J267,0)</f>
        <v>0</v>
      </c>
      <c r="BJ267" s="16" t="s">
        <v>8</v>
      </c>
      <c r="BK267" s="231">
        <f>ROUND(I267*H267,0)</f>
        <v>0</v>
      </c>
      <c r="BL267" s="16" t="s">
        <v>163</v>
      </c>
      <c r="BM267" s="230" t="s">
        <v>422</v>
      </c>
    </row>
    <row r="268" s="2" customFormat="1" ht="33" customHeight="1">
      <c r="A268" s="37"/>
      <c r="B268" s="38"/>
      <c r="C268" s="218" t="s">
        <v>423</v>
      </c>
      <c r="D268" s="218" t="s">
        <v>159</v>
      </c>
      <c r="E268" s="219" t="s">
        <v>424</v>
      </c>
      <c r="F268" s="220" t="s">
        <v>425</v>
      </c>
      <c r="G268" s="221" t="s">
        <v>162</v>
      </c>
      <c r="H268" s="222">
        <v>902.39999999999998</v>
      </c>
      <c r="I268" s="223"/>
      <c r="J268" s="224">
        <f>ROUND(I268*H268,0)</f>
        <v>0</v>
      </c>
      <c r="K268" s="225"/>
      <c r="L268" s="43"/>
      <c r="M268" s="226" t="s">
        <v>1</v>
      </c>
      <c r="N268" s="227" t="s">
        <v>42</v>
      </c>
      <c r="O268" s="90"/>
      <c r="P268" s="228">
        <f>O268*H268</f>
        <v>0</v>
      </c>
      <c r="Q268" s="228">
        <v>0</v>
      </c>
      <c r="R268" s="228">
        <f>Q268*H268</f>
        <v>0</v>
      </c>
      <c r="S268" s="228">
        <v>0</v>
      </c>
      <c r="T268" s="229">
        <f>S268*H268</f>
        <v>0</v>
      </c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R268" s="230" t="s">
        <v>163</v>
      </c>
      <c r="AT268" s="230" t="s">
        <v>159</v>
      </c>
      <c r="AU268" s="230" t="s">
        <v>86</v>
      </c>
      <c r="AY268" s="16" t="s">
        <v>157</v>
      </c>
      <c r="BE268" s="231">
        <f>IF(N268="základní",J268,0)</f>
        <v>0</v>
      </c>
      <c r="BF268" s="231">
        <f>IF(N268="snížená",J268,0)</f>
        <v>0</v>
      </c>
      <c r="BG268" s="231">
        <f>IF(N268="zákl. přenesená",J268,0)</f>
        <v>0</v>
      </c>
      <c r="BH268" s="231">
        <f>IF(N268="sníž. přenesená",J268,0)</f>
        <v>0</v>
      </c>
      <c r="BI268" s="231">
        <f>IF(N268="nulová",J268,0)</f>
        <v>0</v>
      </c>
      <c r="BJ268" s="16" t="s">
        <v>8</v>
      </c>
      <c r="BK268" s="231">
        <f>ROUND(I268*H268,0)</f>
        <v>0</v>
      </c>
      <c r="BL268" s="16" t="s">
        <v>163</v>
      </c>
      <c r="BM268" s="230" t="s">
        <v>426</v>
      </c>
    </row>
    <row r="269" s="13" customFormat="1">
      <c r="A269" s="13"/>
      <c r="B269" s="232"/>
      <c r="C269" s="233"/>
      <c r="D269" s="234" t="s">
        <v>165</v>
      </c>
      <c r="E269" s="235" t="s">
        <v>1</v>
      </c>
      <c r="F269" s="236" t="s">
        <v>427</v>
      </c>
      <c r="G269" s="233"/>
      <c r="H269" s="237">
        <v>902.39999999999998</v>
      </c>
      <c r="I269" s="238"/>
      <c r="J269" s="233"/>
      <c r="K269" s="233"/>
      <c r="L269" s="239"/>
      <c r="M269" s="240"/>
      <c r="N269" s="241"/>
      <c r="O269" s="241"/>
      <c r="P269" s="241"/>
      <c r="Q269" s="241"/>
      <c r="R269" s="241"/>
      <c r="S269" s="241"/>
      <c r="T269" s="242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T269" s="243" t="s">
        <v>165</v>
      </c>
      <c r="AU269" s="243" t="s">
        <v>86</v>
      </c>
      <c r="AV269" s="13" t="s">
        <v>86</v>
      </c>
      <c r="AW269" s="13" t="s">
        <v>32</v>
      </c>
      <c r="AX269" s="13" t="s">
        <v>77</v>
      </c>
      <c r="AY269" s="243" t="s">
        <v>157</v>
      </c>
    </row>
    <row r="270" s="2" customFormat="1" ht="33" customHeight="1">
      <c r="A270" s="37"/>
      <c r="B270" s="38"/>
      <c r="C270" s="218" t="s">
        <v>428</v>
      </c>
      <c r="D270" s="218" t="s">
        <v>159</v>
      </c>
      <c r="E270" s="219" t="s">
        <v>429</v>
      </c>
      <c r="F270" s="220" t="s">
        <v>430</v>
      </c>
      <c r="G270" s="221" t="s">
        <v>407</v>
      </c>
      <c r="H270" s="222">
        <v>1</v>
      </c>
      <c r="I270" s="223"/>
      <c r="J270" s="224">
        <f>ROUND(I270*H270,0)</f>
        <v>0</v>
      </c>
      <c r="K270" s="225"/>
      <c r="L270" s="43"/>
      <c r="M270" s="226" t="s">
        <v>1</v>
      </c>
      <c r="N270" s="227" t="s">
        <v>42</v>
      </c>
      <c r="O270" s="90"/>
      <c r="P270" s="228">
        <f>O270*H270</f>
        <v>0</v>
      </c>
      <c r="Q270" s="228">
        <v>0</v>
      </c>
      <c r="R270" s="228">
        <f>Q270*H270</f>
        <v>0</v>
      </c>
      <c r="S270" s="228">
        <v>0</v>
      </c>
      <c r="T270" s="229">
        <f>S270*H270</f>
        <v>0</v>
      </c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R270" s="230" t="s">
        <v>163</v>
      </c>
      <c r="AT270" s="230" t="s">
        <v>159</v>
      </c>
      <c r="AU270" s="230" t="s">
        <v>86</v>
      </c>
      <c r="AY270" s="16" t="s">
        <v>157</v>
      </c>
      <c r="BE270" s="231">
        <f>IF(N270="základní",J270,0)</f>
        <v>0</v>
      </c>
      <c r="BF270" s="231">
        <f>IF(N270="snížená",J270,0)</f>
        <v>0</v>
      </c>
      <c r="BG270" s="231">
        <f>IF(N270="zákl. přenesená",J270,0)</f>
        <v>0</v>
      </c>
      <c r="BH270" s="231">
        <f>IF(N270="sníž. přenesená",J270,0)</f>
        <v>0</v>
      </c>
      <c r="BI270" s="231">
        <f>IF(N270="nulová",J270,0)</f>
        <v>0</v>
      </c>
      <c r="BJ270" s="16" t="s">
        <v>8</v>
      </c>
      <c r="BK270" s="231">
        <f>ROUND(I270*H270,0)</f>
        <v>0</v>
      </c>
      <c r="BL270" s="16" t="s">
        <v>163</v>
      </c>
      <c r="BM270" s="230" t="s">
        <v>431</v>
      </c>
    </row>
    <row r="271" s="12" customFormat="1" ht="22.8" customHeight="1">
      <c r="A271" s="12"/>
      <c r="B271" s="202"/>
      <c r="C271" s="203"/>
      <c r="D271" s="204" t="s">
        <v>76</v>
      </c>
      <c r="E271" s="216" t="s">
        <v>185</v>
      </c>
      <c r="F271" s="216" t="s">
        <v>432</v>
      </c>
      <c r="G271" s="203"/>
      <c r="H271" s="203"/>
      <c r="I271" s="206"/>
      <c r="J271" s="217">
        <f>BK271</f>
        <v>0</v>
      </c>
      <c r="K271" s="203"/>
      <c r="L271" s="208"/>
      <c r="M271" s="209"/>
      <c r="N271" s="210"/>
      <c r="O271" s="210"/>
      <c r="P271" s="211">
        <f>SUM(P272:P273)</f>
        <v>0</v>
      </c>
      <c r="Q271" s="210"/>
      <c r="R271" s="211">
        <f>SUM(R272:R273)</f>
        <v>0</v>
      </c>
      <c r="S271" s="210"/>
      <c r="T271" s="212">
        <f>SUM(T272:T273)</f>
        <v>0</v>
      </c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R271" s="213" t="s">
        <v>8</v>
      </c>
      <c r="AT271" s="214" t="s">
        <v>76</v>
      </c>
      <c r="AU271" s="214" t="s">
        <v>8</v>
      </c>
      <c r="AY271" s="213" t="s">
        <v>157</v>
      </c>
      <c r="BK271" s="215">
        <f>SUM(BK272:BK273)</f>
        <v>0</v>
      </c>
    </row>
    <row r="272" s="2" customFormat="1" ht="24.15" customHeight="1">
      <c r="A272" s="37"/>
      <c r="B272" s="38"/>
      <c r="C272" s="218" t="s">
        <v>433</v>
      </c>
      <c r="D272" s="218" t="s">
        <v>159</v>
      </c>
      <c r="E272" s="219" t="s">
        <v>434</v>
      </c>
      <c r="F272" s="220" t="s">
        <v>435</v>
      </c>
      <c r="G272" s="221" t="s">
        <v>209</v>
      </c>
      <c r="H272" s="222">
        <v>1128</v>
      </c>
      <c r="I272" s="223"/>
      <c r="J272" s="224">
        <f>ROUND(I272*H272,0)</f>
        <v>0</v>
      </c>
      <c r="K272" s="225"/>
      <c r="L272" s="43"/>
      <c r="M272" s="226" t="s">
        <v>1</v>
      </c>
      <c r="N272" s="227" t="s">
        <v>42</v>
      </c>
      <c r="O272" s="90"/>
      <c r="P272" s="228">
        <f>O272*H272</f>
        <v>0</v>
      </c>
      <c r="Q272" s="228">
        <v>0</v>
      </c>
      <c r="R272" s="228">
        <f>Q272*H272</f>
        <v>0</v>
      </c>
      <c r="S272" s="228">
        <v>0</v>
      </c>
      <c r="T272" s="229">
        <f>S272*H272</f>
        <v>0</v>
      </c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R272" s="230" t="s">
        <v>163</v>
      </c>
      <c r="AT272" s="230" t="s">
        <v>159</v>
      </c>
      <c r="AU272" s="230" t="s">
        <v>86</v>
      </c>
      <c r="AY272" s="16" t="s">
        <v>157</v>
      </c>
      <c r="BE272" s="231">
        <f>IF(N272="základní",J272,0)</f>
        <v>0</v>
      </c>
      <c r="BF272" s="231">
        <f>IF(N272="snížená",J272,0)</f>
        <v>0</v>
      </c>
      <c r="BG272" s="231">
        <f>IF(N272="zákl. přenesená",J272,0)</f>
        <v>0</v>
      </c>
      <c r="BH272" s="231">
        <f>IF(N272="sníž. přenesená",J272,0)</f>
        <v>0</v>
      </c>
      <c r="BI272" s="231">
        <f>IF(N272="nulová",J272,0)</f>
        <v>0</v>
      </c>
      <c r="BJ272" s="16" t="s">
        <v>8</v>
      </c>
      <c r="BK272" s="231">
        <f>ROUND(I272*H272,0)</f>
        <v>0</v>
      </c>
      <c r="BL272" s="16" t="s">
        <v>163</v>
      </c>
      <c r="BM272" s="230" t="s">
        <v>436</v>
      </c>
    </row>
    <row r="273" s="13" customFormat="1">
      <c r="A273" s="13"/>
      <c r="B273" s="232"/>
      <c r="C273" s="233"/>
      <c r="D273" s="234" t="s">
        <v>165</v>
      </c>
      <c r="E273" s="235" t="s">
        <v>1</v>
      </c>
      <c r="F273" s="236" t="s">
        <v>211</v>
      </c>
      <c r="G273" s="233"/>
      <c r="H273" s="237">
        <v>1128</v>
      </c>
      <c r="I273" s="238"/>
      <c r="J273" s="233"/>
      <c r="K273" s="233"/>
      <c r="L273" s="239"/>
      <c r="M273" s="240"/>
      <c r="N273" s="241"/>
      <c r="O273" s="241"/>
      <c r="P273" s="241"/>
      <c r="Q273" s="241"/>
      <c r="R273" s="241"/>
      <c r="S273" s="241"/>
      <c r="T273" s="242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T273" s="243" t="s">
        <v>165</v>
      </c>
      <c r="AU273" s="243" t="s">
        <v>86</v>
      </c>
      <c r="AV273" s="13" t="s">
        <v>86</v>
      </c>
      <c r="AW273" s="13" t="s">
        <v>32</v>
      </c>
      <c r="AX273" s="13" t="s">
        <v>77</v>
      </c>
      <c r="AY273" s="243" t="s">
        <v>157</v>
      </c>
    </row>
    <row r="274" s="12" customFormat="1" ht="22.8" customHeight="1">
      <c r="A274" s="12"/>
      <c r="B274" s="202"/>
      <c r="C274" s="203"/>
      <c r="D274" s="204" t="s">
        <v>76</v>
      </c>
      <c r="E274" s="216" t="s">
        <v>190</v>
      </c>
      <c r="F274" s="216" t="s">
        <v>437</v>
      </c>
      <c r="G274" s="203"/>
      <c r="H274" s="203"/>
      <c r="I274" s="206"/>
      <c r="J274" s="217">
        <f>BK274</f>
        <v>0</v>
      </c>
      <c r="K274" s="203"/>
      <c r="L274" s="208"/>
      <c r="M274" s="209"/>
      <c r="N274" s="210"/>
      <c r="O274" s="210"/>
      <c r="P274" s="211">
        <f>SUM(P275:P353)</f>
        <v>0</v>
      </c>
      <c r="Q274" s="210"/>
      <c r="R274" s="211">
        <f>SUM(R275:R353)</f>
        <v>645.44886697999982</v>
      </c>
      <c r="S274" s="210"/>
      <c r="T274" s="212">
        <f>SUM(T275:T353)</f>
        <v>0</v>
      </c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R274" s="213" t="s">
        <v>8</v>
      </c>
      <c r="AT274" s="214" t="s">
        <v>76</v>
      </c>
      <c r="AU274" s="214" t="s">
        <v>8</v>
      </c>
      <c r="AY274" s="213" t="s">
        <v>157</v>
      </c>
      <c r="BK274" s="215">
        <f>SUM(BK275:BK353)</f>
        <v>0</v>
      </c>
    </row>
    <row r="275" s="2" customFormat="1" ht="21.75" customHeight="1">
      <c r="A275" s="37"/>
      <c r="B275" s="38"/>
      <c r="C275" s="218" t="s">
        <v>438</v>
      </c>
      <c r="D275" s="218" t="s">
        <v>159</v>
      </c>
      <c r="E275" s="219" t="s">
        <v>439</v>
      </c>
      <c r="F275" s="220" t="s">
        <v>440</v>
      </c>
      <c r="G275" s="221" t="s">
        <v>209</v>
      </c>
      <c r="H275" s="222">
        <v>405.95499999999998</v>
      </c>
      <c r="I275" s="223"/>
      <c r="J275" s="224">
        <f>ROUND(I275*H275,0)</f>
        <v>0</v>
      </c>
      <c r="K275" s="225"/>
      <c r="L275" s="43"/>
      <c r="M275" s="226" t="s">
        <v>1</v>
      </c>
      <c r="N275" s="227" t="s">
        <v>42</v>
      </c>
      <c r="O275" s="90"/>
      <c r="P275" s="228">
        <f>O275*H275</f>
        <v>0</v>
      </c>
      <c r="Q275" s="228">
        <v>0.0043800000000000002</v>
      </c>
      <c r="R275" s="228">
        <f>Q275*H275</f>
        <v>1.7780829</v>
      </c>
      <c r="S275" s="228">
        <v>0</v>
      </c>
      <c r="T275" s="229">
        <f>S275*H275</f>
        <v>0</v>
      </c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R275" s="230" t="s">
        <v>163</v>
      </c>
      <c r="AT275" s="230" t="s">
        <v>159</v>
      </c>
      <c r="AU275" s="230" t="s">
        <v>86</v>
      </c>
      <c r="AY275" s="16" t="s">
        <v>157</v>
      </c>
      <c r="BE275" s="231">
        <f>IF(N275="základní",J275,0)</f>
        <v>0</v>
      </c>
      <c r="BF275" s="231">
        <f>IF(N275="snížená",J275,0)</f>
        <v>0</v>
      </c>
      <c r="BG275" s="231">
        <f>IF(N275="zákl. přenesená",J275,0)</f>
        <v>0</v>
      </c>
      <c r="BH275" s="231">
        <f>IF(N275="sníž. přenesená",J275,0)</f>
        <v>0</v>
      </c>
      <c r="BI275" s="231">
        <f>IF(N275="nulová",J275,0)</f>
        <v>0</v>
      </c>
      <c r="BJ275" s="16" t="s">
        <v>8</v>
      </c>
      <c r="BK275" s="231">
        <f>ROUND(I275*H275,0)</f>
        <v>0</v>
      </c>
      <c r="BL275" s="16" t="s">
        <v>163</v>
      </c>
      <c r="BM275" s="230" t="s">
        <v>441</v>
      </c>
    </row>
    <row r="276" s="13" customFormat="1">
      <c r="A276" s="13"/>
      <c r="B276" s="232"/>
      <c r="C276" s="233"/>
      <c r="D276" s="234" t="s">
        <v>165</v>
      </c>
      <c r="E276" s="235" t="s">
        <v>1</v>
      </c>
      <c r="F276" s="236" t="s">
        <v>308</v>
      </c>
      <c r="G276" s="233"/>
      <c r="H276" s="237">
        <v>129.16399999999999</v>
      </c>
      <c r="I276" s="238"/>
      <c r="J276" s="233"/>
      <c r="K276" s="233"/>
      <c r="L276" s="239"/>
      <c r="M276" s="240"/>
      <c r="N276" s="241"/>
      <c r="O276" s="241"/>
      <c r="P276" s="241"/>
      <c r="Q276" s="241"/>
      <c r="R276" s="241"/>
      <c r="S276" s="241"/>
      <c r="T276" s="242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T276" s="243" t="s">
        <v>165</v>
      </c>
      <c r="AU276" s="243" t="s">
        <v>86</v>
      </c>
      <c r="AV276" s="13" t="s">
        <v>86</v>
      </c>
      <c r="AW276" s="13" t="s">
        <v>32</v>
      </c>
      <c r="AX276" s="13" t="s">
        <v>77</v>
      </c>
      <c r="AY276" s="243" t="s">
        <v>157</v>
      </c>
    </row>
    <row r="277" s="13" customFormat="1">
      <c r="A277" s="13"/>
      <c r="B277" s="232"/>
      <c r="C277" s="233"/>
      <c r="D277" s="234" t="s">
        <v>165</v>
      </c>
      <c r="E277" s="235" t="s">
        <v>1</v>
      </c>
      <c r="F277" s="236" t="s">
        <v>309</v>
      </c>
      <c r="G277" s="233"/>
      <c r="H277" s="237">
        <v>217.86099999999999</v>
      </c>
      <c r="I277" s="238"/>
      <c r="J277" s="233"/>
      <c r="K277" s="233"/>
      <c r="L277" s="239"/>
      <c r="M277" s="240"/>
      <c r="N277" s="241"/>
      <c r="O277" s="241"/>
      <c r="P277" s="241"/>
      <c r="Q277" s="241"/>
      <c r="R277" s="241"/>
      <c r="S277" s="241"/>
      <c r="T277" s="242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T277" s="243" t="s">
        <v>165</v>
      </c>
      <c r="AU277" s="243" t="s">
        <v>86</v>
      </c>
      <c r="AV277" s="13" t="s">
        <v>86</v>
      </c>
      <c r="AW277" s="13" t="s">
        <v>32</v>
      </c>
      <c r="AX277" s="13" t="s">
        <v>77</v>
      </c>
      <c r="AY277" s="243" t="s">
        <v>157</v>
      </c>
    </row>
    <row r="278" s="13" customFormat="1">
      <c r="A278" s="13"/>
      <c r="B278" s="232"/>
      <c r="C278" s="233"/>
      <c r="D278" s="234" t="s">
        <v>165</v>
      </c>
      <c r="E278" s="235" t="s">
        <v>1</v>
      </c>
      <c r="F278" s="236" t="s">
        <v>442</v>
      </c>
      <c r="G278" s="233"/>
      <c r="H278" s="237">
        <v>58.93</v>
      </c>
      <c r="I278" s="238"/>
      <c r="J278" s="233"/>
      <c r="K278" s="233"/>
      <c r="L278" s="239"/>
      <c r="M278" s="240"/>
      <c r="N278" s="241"/>
      <c r="O278" s="241"/>
      <c r="P278" s="241"/>
      <c r="Q278" s="241"/>
      <c r="R278" s="241"/>
      <c r="S278" s="241"/>
      <c r="T278" s="242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T278" s="243" t="s">
        <v>165</v>
      </c>
      <c r="AU278" s="243" t="s">
        <v>86</v>
      </c>
      <c r="AV278" s="13" t="s">
        <v>86</v>
      </c>
      <c r="AW278" s="13" t="s">
        <v>32</v>
      </c>
      <c r="AX278" s="13" t="s">
        <v>77</v>
      </c>
      <c r="AY278" s="243" t="s">
        <v>157</v>
      </c>
    </row>
    <row r="279" s="2" customFormat="1" ht="24.15" customHeight="1">
      <c r="A279" s="37"/>
      <c r="B279" s="38"/>
      <c r="C279" s="218" t="s">
        <v>443</v>
      </c>
      <c r="D279" s="218" t="s">
        <v>159</v>
      </c>
      <c r="E279" s="219" t="s">
        <v>444</v>
      </c>
      <c r="F279" s="220" t="s">
        <v>445</v>
      </c>
      <c r="G279" s="221" t="s">
        <v>209</v>
      </c>
      <c r="H279" s="222">
        <v>405.95499999999998</v>
      </c>
      <c r="I279" s="223"/>
      <c r="J279" s="224">
        <f>ROUND(I279*H279,0)</f>
        <v>0</v>
      </c>
      <c r="K279" s="225"/>
      <c r="L279" s="43"/>
      <c r="M279" s="226" t="s">
        <v>1</v>
      </c>
      <c r="N279" s="227" t="s">
        <v>42</v>
      </c>
      <c r="O279" s="90"/>
      <c r="P279" s="228">
        <f>O279*H279</f>
        <v>0</v>
      </c>
      <c r="Q279" s="228">
        <v>0.0065599999999999999</v>
      </c>
      <c r="R279" s="228">
        <f>Q279*H279</f>
        <v>2.6630647999999999</v>
      </c>
      <c r="S279" s="228">
        <v>0</v>
      </c>
      <c r="T279" s="229">
        <f>S279*H279</f>
        <v>0</v>
      </c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R279" s="230" t="s">
        <v>163</v>
      </c>
      <c r="AT279" s="230" t="s">
        <v>159</v>
      </c>
      <c r="AU279" s="230" t="s">
        <v>86</v>
      </c>
      <c r="AY279" s="16" t="s">
        <v>157</v>
      </c>
      <c r="BE279" s="231">
        <f>IF(N279="základní",J279,0)</f>
        <v>0</v>
      </c>
      <c r="BF279" s="231">
        <f>IF(N279="snížená",J279,0)</f>
        <v>0</v>
      </c>
      <c r="BG279" s="231">
        <f>IF(N279="zákl. přenesená",J279,0)</f>
        <v>0</v>
      </c>
      <c r="BH279" s="231">
        <f>IF(N279="sníž. přenesená",J279,0)</f>
        <v>0</v>
      </c>
      <c r="BI279" s="231">
        <f>IF(N279="nulová",J279,0)</f>
        <v>0</v>
      </c>
      <c r="BJ279" s="16" t="s">
        <v>8</v>
      </c>
      <c r="BK279" s="231">
        <f>ROUND(I279*H279,0)</f>
        <v>0</v>
      </c>
      <c r="BL279" s="16" t="s">
        <v>163</v>
      </c>
      <c r="BM279" s="230" t="s">
        <v>446</v>
      </c>
    </row>
    <row r="280" s="13" customFormat="1">
      <c r="A280" s="13"/>
      <c r="B280" s="232"/>
      <c r="C280" s="233"/>
      <c r="D280" s="234" t="s">
        <v>165</v>
      </c>
      <c r="E280" s="235" t="s">
        <v>1</v>
      </c>
      <c r="F280" s="236" t="s">
        <v>308</v>
      </c>
      <c r="G280" s="233"/>
      <c r="H280" s="237">
        <v>129.16399999999999</v>
      </c>
      <c r="I280" s="238"/>
      <c r="J280" s="233"/>
      <c r="K280" s="233"/>
      <c r="L280" s="239"/>
      <c r="M280" s="240"/>
      <c r="N280" s="241"/>
      <c r="O280" s="241"/>
      <c r="P280" s="241"/>
      <c r="Q280" s="241"/>
      <c r="R280" s="241"/>
      <c r="S280" s="241"/>
      <c r="T280" s="242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T280" s="243" t="s">
        <v>165</v>
      </c>
      <c r="AU280" s="243" t="s">
        <v>86</v>
      </c>
      <c r="AV280" s="13" t="s">
        <v>86</v>
      </c>
      <c r="AW280" s="13" t="s">
        <v>32</v>
      </c>
      <c r="AX280" s="13" t="s">
        <v>77</v>
      </c>
      <c r="AY280" s="243" t="s">
        <v>157</v>
      </c>
    </row>
    <row r="281" s="13" customFormat="1">
      <c r="A281" s="13"/>
      <c r="B281" s="232"/>
      <c r="C281" s="233"/>
      <c r="D281" s="234" t="s">
        <v>165</v>
      </c>
      <c r="E281" s="235" t="s">
        <v>1</v>
      </c>
      <c r="F281" s="236" t="s">
        <v>309</v>
      </c>
      <c r="G281" s="233"/>
      <c r="H281" s="237">
        <v>217.86099999999999</v>
      </c>
      <c r="I281" s="238"/>
      <c r="J281" s="233"/>
      <c r="K281" s="233"/>
      <c r="L281" s="239"/>
      <c r="M281" s="240"/>
      <c r="N281" s="241"/>
      <c r="O281" s="241"/>
      <c r="P281" s="241"/>
      <c r="Q281" s="241"/>
      <c r="R281" s="241"/>
      <c r="S281" s="241"/>
      <c r="T281" s="242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T281" s="243" t="s">
        <v>165</v>
      </c>
      <c r="AU281" s="243" t="s">
        <v>86</v>
      </c>
      <c r="AV281" s="13" t="s">
        <v>86</v>
      </c>
      <c r="AW281" s="13" t="s">
        <v>32</v>
      </c>
      <c r="AX281" s="13" t="s">
        <v>77</v>
      </c>
      <c r="AY281" s="243" t="s">
        <v>157</v>
      </c>
    </row>
    <row r="282" s="13" customFormat="1">
      <c r="A282" s="13"/>
      <c r="B282" s="232"/>
      <c r="C282" s="233"/>
      <c r="D282" s="234" t="s">
        <v>165</v>
      </c>
      <c r="E282" s="235" t="s">
        <v>1</v>
      </c>
      <c r="F282" s="236" t="s">
        <v>442</v>
      </c>
      <c r="G282" s="233"/>
      <c r="H282" s="237">
        <v>58.93</v>
      </c>
      <c r="I282" s="238"/>
      <c r="J282" s="233"/>
      <c r="K282" s="233"/>
      <c r="L282" s="239"/>
      <c r="M282" s="240"/>
      <c r="N282" s="241"/>
      <c r="O282" s="241"/>
      <c r="P282" s="241"/>
      <c r="Q282" s="241"/>
      <c r="R282" s="241"/>
      <c r="S282" s="241"/>
      <c r="T282" s="242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T282" s="243" t="s">
        <v>165</v>
      </c>
      <c r="AU282" s="243" t="s">
        <v>86</v>
      </c>
      <c r="AV282" s="13" t="s">
        <v>86</v>
      </c>
      <c r="AW282" s="13" t="s">
        <v>32</v>
      </c>
      <c r="AX282" s="13" t="s">
        <v>77</v>
      </c>
      <c r="AY282" s="243" t="s">
        <v>157</v>
      </c>
    </row>
    <row r="283" s="2" customFormat="1" ht="21.75" customHeight="1">
      <c r="A283" s="37"/>
      <c r="B283" s="38"/>
      <c r="C283" s="218" t="s">
        <v>447</v>
      </c>
      <c r="D283" s="218" t="s">
        <v>159</v>
      </c>
      <c r="E283" s="219" t="s">
        <v>448</v>
      </c>
      <c r="F283" s="220" t="s">
        <v>449</v>
      </c>
      <c r="G283" s="221" t="s">
        <v>209</v>
      </c>
      <c r="H283" s="222">
        <v>38.530000000000001</v>
      </c>
      <c r="I283" s="223"/>
      <c r="J283" s="224">
        <f>ROUND(I283*H283,0)</f>
        <v>0</v>
      </c>
      <c r="K283" s="225"/>
      <c r="L283" s="43"/>
      <c r="M283" s="226" t="s">
        <v>1</v>
      </c>
      <c r="N283" s="227" t="s">
        <v>42</v>
      </c>
      <c r="O283" s="90"/>
      <c r="P283" s="228">
        <f>O283*H283</f>
        <v>0</v>
      </c>
      <c r="Q283" s="228">
        <v>0.0025000000000000001</v>
      </c>
      <c r="R283" s="228">
        <f>Q283*H283</f>
        <v>0.096325000000000008</v>
      </c>
      <c r="S283" s="228">
        <v>0</v>
      </c>
      <c r="T283" s="229">
        <f>S283*H283</f>
        <v>0</v>
      </c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R283" s="230" t="s">
        <v>163</v>
      </c>
      <c r="AT283" s="230" t="s">
        <v>159</v>
      </c>
      <c r="AU283" s="230" t="s">
        <v>86</v>
      </c>
      <c r="AY283" s="16" t="s">
        <v>157</v>
      </c>
      <c r="BE283" s="231">
        <f>IF(N283="základní",J283,0)</f>
        <v>0</v>
      </c>
      <c r="BF283" s="231">
        <f>IF(N283="snížená",J283,0)</f>
        <v>0</v>
      </c>
      <c r="BG283" s="231">
        <f>IF(N283="zákl. přenesená",J283,0)</f>
        <v>0</v>
      </c>
      <c r="BH283" s="231">
        <f>IF(N283="sníž. přenesená",J283,0)</f>
        <v>0</v>
      </c>
      <c r="BI283" s="231">
        <f>IF(N283="nulová",J283,0)</f>
        <v>0</v>
      </c>
      <c r="BJ283" s="16" t="s">
        <v>8</v>
      </c>
      <c r="BK283" s="231">
        <f>ROUND(I283*H283,0)</f>
        <v>0</v>
      </c>
      <c r="BL283" s="16" t="s">
        <v>163</v>
      </c>
      <c r="BM283" s="230" t="s">
        <v>450</v>
      </c>
    </row>
    <row r="284" s="13" customFormat="1">
      <c r="A284" s="13"/>
      <c r="B284" s="232"/>
      <c r="C284" s="233"/>
      <c r="D284" s="234" t="s">
        <v>165</v>
      </c>
      <c r="E284" s="235" t="s">
        <v>1</v>
      </c>
      <c r="F284" s="236" t="s">
        <v>451</v>
      </c>
      <c r="G284" s="233"/>
      <c r="H284" s="237">
        <v>11.41</v>
      </c>
      <c r="I284" s="238"/>
      <c r="J284" s="233"/>
      <c r="K284" s="233"/>
      <c r="L284" s="239"/>
      <c r="M284" s="240"/>
      <c r="N284" s="241"/>
      <c r="O284" s="241"/>
      <c r="P284" s="241"/>
      <c r="Q284" s="241"/>
      <c r="R284" s="241"/>
      <c r="S284" s="241"/>
      <c r="T284" s="242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T284" s="243" t="s">
        <v>165</v>
      </c>
      <c r="AU284" s="243" t="s">
        <v>86</v>
      </c>
      <c r="AV284" s="13" t="s">
        <v>86</v>
      </c>
      <c r="AW284" s="13" t="s">
        <v>32</v>
      </c>
      <c r="AX284" s="13" t="s">
        <v>77</v>
      </c>
      <c r="AY284" s="243" t="s">
        <v>157</v>
      </c>
    </row>
    <row r="285" s="13" customFormat="1">
      <c r="A285" s="13"/>
      <c r="B285" s="232"/>
      <c r="C285" s="233"/>
      <c r="D285" s="234" t="s">
        <v>165</v>
      </c>
      <c r="E285" s="235" t="s">
        <v>1</v>
      </c>
      <c r="F285" s="236" t="s">
        <v>452</v>
      </c>
      <c r="G285" s="233"/>
      <c r="H285" s="237">
        <v>27.120000000000001</v>
      </c>
      <c r="I285" s="238"/>
      <c r="J285" s="233"/>
      <c r="K285" s="233"/>
      <c r="L285" s="239"/>
      <c r="M285" s="240"/>
      <c r="N285" s="241"/>
      <c r="O285" s="241"/>
      <c r="P285" s="241"/>
      <c r="Q285" s="241"/>
      <c r="R285" s="241"/>
      <c r="S285" s="241"/>
      <c r="T285" s="242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T285" s="243" t="s">
        <v>165</v>
      </c>
      <c r="AU285" s="243" t="s">
        <v>86</v>
      </c>
      <c r="AV285" s="13" t="s">
        <v>86</v>
      </c>
      <c r="AW285" s="13" t="s">
        <v>32</v>
      </c>
      <c r="AX285" s="13" t="s">
        <v>77</v>
      </c>
      <c r="AY285" s="243" t="s">
        <v>157</v>
      </c>
    </row>
    <row r="286" s="2" customFormat="1" ht="44.25" customHeight="1">
      <c r="A286" s="37"/>
      <c r="B286" s="38"/>
      <c r="C286" s="218" t="s">
        <v>453</v>
      </c>
      <c r="D286" s="218" t="s">
        <v>159</v>
      </c>
      <c r="E286" s="219" t="s">
        <v>454</v>
      </c>
      <c r="F286" s="220" t="s">
        <v>455</v>
      </c>
      <c r="G286" s="221" t="s">
        <v>209</v>
      </c>
      <c r="H286" s="222">
        <v>63.82</v>
      </c>
      <c r="I286" s="223"/>
      <c r="J286" s="224">
        <f>ROUND(I286*H286,0)</f>
        <v>0</v>
      </c>
      <c r="K286" s="225"/>
      <c r="L286" s="43"/>
      <c r="M286" s="226" t="s">
        <v>1</v>
      </c>
      <c r="N286" s="227" t="s">
        <v>42</v>
      </c>
      <c r="O286" s="90"/>
      <c r="P286" s="228">
        <f>O286*H286</f>
        <v>0</v>
      </c>
      <c r="Q286" s="228">
        <v>0.0086800000000000002</v>
      </c>
      <c r="R286" s="228">
        <f>Q286*H286</f>
        <v>0.55395760000000005</v>
      </c>
      <c r="S286" s="228">
        <v>0</v>
      </c>
      <c r="T286" s="229">
        <f>S286*H286</f>
        <v>0</v>
      </c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R286" s="230" t="s">
        <v>163</v>
      </c>
      <c r="AT286" s="230" t="s">
        <v>159</v>
      </c>
      <c r="AU286" s="230" t="s">
        <v>86</v>
      </c>
      <c r="AY286" s="16" t="s">
        <v>157</v>
      </c>
      <c r="BE286" s="231">
        <f>IF(N286="základní",J286,0)</f>
        <v>0</v>
      </c>
      <c r="BF286" s="231">
        <f>IF(N286="snížená",J286,0)</f>
        <v>0</v>
      </c>
      <c r="BG286" s="231">
        <f>IF(N286="zákl. přenesená",J286,0)</f>
        <v>0</v>
      </c>
      <c r="BH286" s="231">
        <f>IF(N286="sníž. přenesená",J286,0)</f>
        <v>0</v>
      </c>
      <c r="BI286" s="231">
        <f>IF(N286="nulová",J286,0)</f>
        <v>0</v>
      </c>
      <c r="BJ286" s="16" t="s">
        <v>8</v>
      </c>
      <c r="BK286" s="231">
        <f>ROUND(I286*H286,0)</f>
        <v>0</v>
      </c>
      <c r="BL286" s="16" t="s">
        <v>163</v>
      </c>
      <c r="BM286" s="230" t="s">
        <v>456</v>
      </c>
    </row>
    <row r="287" s="13" customFormat="1">
      <c r="A287" s="13"/>
      <c r="B287" s="232"/>
      <c r="C287" s="233"/>
      <c r="D287" s="234" t="s">
        <v>165</v>
      </c>
      <c r="E287" s="235" t="s">
        <v>1</v>
      </c>
      <c r="F287" s="236" t="s">
        <v>451</v>
      </c>
      <c r="G287" s="233"/>
      <c r="H287" s="237">
        <v>11.41</v>
      </c>
      <c r="I287" s="238"/>
      <c r="J287" s="233"/>
      <c r="K287" s="233"/>
      <c r="L287" s="239"/>
      <c r="M287" s="240"/>
      <c r="N287" s="241"/>
      <c r="O287" s="241"/>
      <c r="P287" s="241"/>
      <c r="Q287" s="241"/>
      <c r="R287" s="241"/>
      <c r="S287" s="241"/>
      <c r="T287" s="242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T287" s="243" t="s">
        <v>165</v>
      </c>
      <c r="AU287" s="243" t="s">
        <v>86</v>
      </c>
      <c r="AV287" s="13" t="s">
        <v>86</v>
      </c>
      <c r="AW287" s="13" t="s">
        <v>32</v>
      </c>
      <c r="AX287" s="13" t="s">
        <v>77</v>
      </c>
      <c r="AY287" s="243" t="s">
        <v>157</v>
      </c>
    </row>
    <row r="288" s="13" customFormat="1">
      <c r="A288" s="13"/>
      <c r="B288" s="232"/>
      <c r="C288" s="233"/>
      <c r="D288" s="234" t="s">
        <v>165</v>
      </c>
      <c r="E288" s="235" t="s">
        <v>1</v>
      </c>
      <c r="F288" s="236" t="s">
        <v>457</v>
      </c>
      <c r="G288" s="233"/>
      <c r="H288" s="237">
        <v>25.289999999999999</v>
      </c>
      <c r="I288" s="238"/>
      <c r="J288" s="233"/>
      <c r="K288" s="233"/>
      <c r="L288" s="239"/>
      <c r="M288" s="240"/>
      <c r="N288" s="241"/>
      <c r="O288" s="241"/>
      <c r="P288" s="241"/>
      <c r="Q288" s="241"/>
      <c r="R288" s="241"/>
      <c r="S288" s="241"/>
      <c r="T288" s="242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T288" s="243" t="s">
        <v>165</v>
      </c>
      <c r="AU288" s="243" t="s">
        <v>86</v>
      </c>
      <c r="AV288" s="13" t="s">
        <v>86</v>
      </c>
      <c r="AW288" s="13" t="s">
        <v>32</v>
      </c>
      <c r="AX288" s="13" t="s">
        <v>77</v>
      </c>
      <c r="AY288" s="243" t="s">
        <v>157</v>
      </c>
    </row>
    <row r="289" s="13" customFormat="1">
      <c r="A289" s="13"/>
      <c r="B289" s="232"/>
      <c r="C289" s="233"/>
      <c r="D289" s="234" t="s">
        <v>165</v>
      </c>
      <c r="E289" s="235" t="s">
        <v>1</v>
      </c>
      <c r="F289" s="236" t="s">
        <v>452</v>
      </c>
      <c r="G289" s="233"/>
      <c r="H289" s="237">
        <v>27.120000000000001</v>
      </c>
      <c r="I289" s="238"/>
      <c r="J289" s="233"/>
      <c r="K289" s="233"/>
      <c r="L289" s="239"/>
      <c r="M289" s="240"/>
      <c r="N289" s="241"/>
      <c r="O289" s="241"/>
      <c r="P289" s="241"/>
      <c r="Q289" s="241"/>
      <c r="R289" s="241"/>
      <c r="S289" s="241"/>
      <c r="T289" s="242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T289" s="243" t="s">
        <v>165</v>
      </c>
      <c r="AU289" s="243" t="s">
        <v>86</v>
      </c>
      <c r="AV289" s="13" t="s">
        <v>86</v>
      </c>
      <c r="AW289" s="13" t="s">
        <v>32</v>
      </c>
      <c r="AX289" s="13" t="s">
        <v>77</v>
      </c>
      <c r="AY289" s="243" t="s">
        <v>157</v>
      </c>
    </row>
    <row r="290" s="2" customFormat="1" ht="24.15" customHeight="1">
      <c r="A290" s="37"/>
      <c r="B290" s="38"/>
      <c r="C290" s="254" t="s">
        <v>458</v>
      </c>
      <c r="D290" s="254" t="s">
        <v>229</v>
      </c>
      <c r="E290" s="255" t="s">
        <v>459</v>
      </c>
      <c r="F290" s="256" t="s">
        <v>460</v>
      </c>
      <c r="G290" s="257" t="s">
        <v>209</v>
      </c>
      <c r="H290" s="258">
        <v>67.010999999999996</v>
      </c>
      <c r="I290" s="259"/>
      <c r="J290" s="260">
        <f>ROUND(I290*H290,0)</f>
        <v>0</v>
      </c>
      <c r="K290" s="261"/>
      <c r="L290" s="262"/>
      <c r="M290" s="263" t="s">
        <v>1</v>
      </c>
      <c r="N290" s="264" t="s">
        <v>42</v>
      </c>
      <c r="O290" s="90"/>
      <c r="P290" s="228">
        <f>O290*H290</f>
        <v>0</v>
      </c>
      <c r="Q290" s="228">
        <v>0.0060000000000000001</v>
      </c>
      <c r="R290" s="228">
        <f>Q290*H290</f>
        <v>0.40206599999999998</v>
      </c>
      <c r="S290" s="228">
        <v>0</v>
      </c>
      <c r="T290" s="229">
        <f>S290*H290</f>
        <v>0</v>
      </c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R290" s="230" t="s">
        <v>200</v>
      </c>
      <c r="AT290" s="230" t="s">
        <v>229</v>
      </c>
      <c r="AU290" s="230" t="s">
        <v>86</v>
      </c>
      <c r="AY290" s="16" t="s">
        <v>157</v>
      </c>
      <c r="BE290" s="231">
        <f>IF(N290="základní",J290,0)</f>
        <v>0</v>
      </c>
      <c r="BF290" s="231">
        <f>IF(N290="snížená",J290,0)</f>
        <v>0</v>
      </c>
      <c r="BG290" s="231">
        <f>IF(N290="zákl. přenesená",J290,0)</f>
        <v>0</v>
      </c>
      <c r="BH290" s="231">
        <f>IF(N290="sníž. přenesená",J290,0)</f>
        <v>0</v>
      </c>
      <c r="BI290" s="231">
        <f>IF(N290="nulová",J290,0)</f>
        <v>0</v>
      </c>
      <c r="BJ290" s="16" t="s">
        <v>8</v>
      </c>
      <c r="BK290" s="231">
        <f>ROUND(I290*H290,0)</f>
        <v>0</v>
      </c>
      <c r="BL290" s="16" t="s">
        <v>163</v>
      </c>
      <c r="BM290" s="230" t="s">
        <v>461</v>
      </c>
    </row>
    <row r="291" s="13" customFormat="1">
      <c r="A291" s="13"/>
      <c r="B291" s="232"/>
      <c r="C291" s="233"/>
      <c r="D291" s="234" t="s">
        <v>165</v>
      </c>
      <c r="E291" s="235" t="s">
        <v>1</v>
      </c>
      <c r="F291" s="236" t="s">
        <v>462</v>
      </c>
      <c r="G291" s="233"/>
      <c r="H291" s="237">
        <v>63.82</v>
      </c>
      <c r="I291" s="238"/>
      <c r="J291" s="233"/>
      <c r="K291" s="233"/>
      <c r="L291" s="239"/>
      <c r="M291" s="240"/>
      <c r="N291" s="241"/>
      <c r="O291" s="241"/>
      <c r="P291" s="241"/>
      <c r="Q291" s="241"/>
      <c r="R291" s="241"/>
      <c r="S291" s="241"/>
      <c r="T291" s="242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T291" s="243" t="s">
        <v>165</v>
      </c>
      <c r="AU291" s="243" t="s">
        <v>86</v>
      </c>
      <c r="AV291" s="13" t="s">
        <v>86</v>
      </c>
      <c r="AW291" s="13" t="s">
        <v>32</v>
      </c>
      <c r="AX291" s="13" t="s">
        <v>8</v>
      </c>
      <c r="AY291" s="243" t="s">
        <v>157</v>
      </c>
    </row>
    <row r="292" s="13" customFormat="1">
      <c r="A292" s="13"/>
      <c r="B292" s="232"/>
      <c r="C292" s="233"/>
      <c r="D292" s="234" t="s">
        <v>165</v>
      </c>
      <c r="E292" s="233"/>
      <c r="F292" s="236" t="s">
        <v>463</v>
      </c>
      <c r="G292" s="233"/>
      <c r="H292" s="237">
        <v>67.010999999999996</v>
      </c>
      <c r="I292" s="238"/>
      <c r="J292" s="233"/>
      <c r="K292" s="233"/>
      <c r="L292" s="239"/>
      <c r="M292" s="240"/>
      <c r="N292" s="241"/>
      <c r="O292" s="241"/>
      <c r="P292" s="241"/>
      <c r="Q292" s="241"/>
      <c r="R292" s="241"/>
      <c r="S292" s="241"/>
      <c r="T292" s="242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T292" s="243" t="s">
        <v>165</v>
      </c>
      <c r="AU292" s="243" t="s">
        <v>86</v>
      </c>
      <c r="AV292" s="13" t="s">
        <v>86</v>
      </c>
      <c r="AW292" s="13" t="s">
        <v>4</v>
      </c>
      <c r="AX292" s="13" t="s">
        <v>8</v>
      </c>
      <c r="AY292" s="243" t="s">
        <v>157</v>
      </c>
    </row>
    <row r="293" s="2" customFormat="1" ht="24.15" customHeight="1">
      <c r="A293" s="37"/>
      <c r="B293" s="38"/>
      <c r="C293" s="218" t="s">
        <v>464</v>
      </c>
      <c r="D293" s="218" t="s">
        <v>159</v>
      </c>
      <c r="E293" s="219" t="s">
        <v>465</v>
      </c>
      <c r="F293" s="220" t="s">
        <v>466</v>
      </c>
      <c r="G293" s="221" t="s">
        <v>209</v>
      </c>
      <c r="H293" s="222">
        <v>58.93</v>
      </c>
      <c r="I293" s="223"/>
      <c r="J293" s="224">
        <f>ROUND(I293*H293,0)</f>
        <v>0</v>
      </c>
      <c r="K293" s="225"/>
      <c r="L293" s="43"/>
      <c r="M293" s="226" t="s">
        <v>1</v>
      </c>
      <c r="N293" s="227" t="s">
        <v>42</v>
      </c>
      <c r="O293" s="90"/>
      <c r="P293" s="228">
        <f>O293*H293</f>
        <v>0</v>
      </c>
      <c r="Q293" s="228">
        <v>0.00022000000000000001</v>
      </c>
      <c r="R293" s="228">
        <f>Q293*H293</f>
        <v>0.0129646</v>
      </c>
      <c r="S293" s="228">
        <v>0</v>
      </c>
      <c r="T293" s="229">
        <f>S293*H293</f>
        <v>0</v>
      </c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R293" s="230" t="s">
        <v>163</v>
      </c>
      <c r="AT293" s="230" t="s">
        <v>159</v>
      </c>
      <c r="AU293" s="230" t="s">
        <v>86</v>
      </c>
      <c r="AY293" s="16" t="s">
        <v>157</v>
      </c>
      <c r="BE293" s="231">
        <f>IF(N293="základní",J293,0)</f>
        <v>0</v>
      </c>
      <c r="BF293" s="231">
        <f>IF(N293="snížená",J293,0)</f>
        <v>0</v>
      </c>
      <c r="BG293" s="231">
        <f>IF(N293="zákl. přenesená",J293,0)</f>
        <v>0</v>
      </c>
      <c r="BH293" s="231">
        <f>IF(N293="sníž. přenesená",J293,0)</f>
        <v>0</v>
      </c>
      <c r="BI293" s="231">
        <f>IF(N293="nulová",J293,0)</f>
        <v>0</v>
      </c>
      <c r="BJ293" s="16" t="s">
        <v>8</v>
      </c>
      <c r="BK293" s="231">
        <f>ROUND(I293*H293,0)</f>
        <v>0</v>
      </c>
      <c r="BL293" s="16" t="s">
        <v>163</v>
      </c>
      <c r="BM293" s="230" t="s">
        <v>467</v>
      </c>
    </row>
    <row r="294" s="13" customFormat="1">
      <c r="A294" s="13"/>
      <c r="B294" s="232"/>
      <c r="C294" s="233"/>
      <c r="D294" s="234" t="s">
        <v>165</v>
      </c>
      <c r="E294" s="235" t="s">
        <v>1</v>
      </c>
      <c r="F294" s="236" t="s">
        <v>442</v>
      </c>
      <c r="G294" s="233"/>
      <c r="H294" s="237">
        <v>58.93</v>
      </c>
      <c r="I294" s="238"/>
      <c r="J294" s="233"/>
      <c r="K294" s="233"/>
      <c r="L294" s="239"/>
      <c r="M294" s="240"/>
      <c r="N294" s="241"/>
      <c r="O294" s="241"/>
      <c r="P294" s="241"/>
      <c r="Q294" s="241"/>
      <c r="R294" s="241"/>
      <c r="S294" s="241"/>
      <c r="T294" s="242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T294" s="243" t="s">
        <v>165</v>
      </c>
      <c r="AU294" s="243" t="s">
        <v>86</v>
      </c>
      <c r="AV294" s="13" t="s">
        <v>86</v>
      </c>
      <c r="AW294" s="13" t="s">
        <v>32</v>
      </c>
      <c r="AX294" s="13" t="s">
        <v>77</v>
      </c>
      <c r="AY294" s="243" t="s">
        <v>157</v>
      </c>
    </row>
    <row r="295" s="2" customFormat="1" ht="44.25" customHeight="1">
      <c r="A295" s="37"/>
      <c r="B295" s="38"/>
      <c r="C295" s="218" t="s">
        <v>468</v>
      </c>
      <c r="D295" s="218" t="s">
        <v>159</v>
      </c>
      <c r="E295" s="219" t="s">
        <v>469</v>
      </c>
      <c r="F295" s="220" t="s">
        <v>470</v>
      </c>
      <c r="G295" s="221" t="s">
        <v>209</v>
      </c>
      <c r="H295" s="222">
        <v>58.93</v>
      </c>
      <c r="I295" s="223"/>
      <c r="J295" s="224">
        <f>ROUND(I295*H295,0)</f>
        <v>0</v>
      </c>
      <c r="K295" s="225"/>
      <c r="L295" s="43"/>
      <c r="M295" s="226" t="s">
        <v>1</v>
      </c>
      <c r="N295" s="227" t="s">
        <v>42</v>
      </c>
      <c r="O295" s="90"/>
      <c r="P295" s="228">
        <f>O295*H295</f>
        <v>0</v>
      </c>
      <c r="Q295" s="228">
        <v>0.0087600000000000004</v>
      </c>
      <c r="R295" s="228">
        <f>Q295*H295</f>
        <v>0.51622679999999999</v>
      </c>
      <c r="S295" s="228">
        <v>0</v>
      </c>
      <c r="T295" s="229">
        <f>S295*H295</f>
        <v>0</v>
      </c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R295" s="230" t="s">
        <v>163</v>
      </c>
      <c r="AT295" s="230" t="s">
        <v>159</v>
      </c>
      <c r="AU295" s="230" t="s">
        <v>86</v>
      </c>
      <c r="AY295" s="16" t="s">
        <v>157</v>
      </c>
      <c r="BE295" s="231">
        <f>IF(N295="základní",J295,0)</f>
        <v>0</v>
      </c>
      <c r="BF295" s="231">
        <f>IF(N295="snížená",J295,0)</f>
        <v>0</v>
      </c>
      <c r="BG295" s="231">
        <f>IF(N295="zákl. přenesená",J295,0)</f>
        <v>0</v>
      </c>
      <c r="BH295" s="231">
        <f>IF(N295="sníž. přenesená",J295,0)</f>
        <v>0</v>
      </c>
      <c r="BI295" s="231">
        <f>IF(N295="nulová",J295,0)</f>
        <v>0</v>
      </c>
      <c r="BJ295" s="16" t="s">
        <v>8</v>
      </c>
      <c r="BK295" s="231">
        <f>ROUND(I295*H295,0)</f>
        <v>0</v>
      </c>
      <c r="BL295" s="16" t="s">
        <v>163</v>
      </c>
      <c r="BM295" s="230" t="s">
        <v>471</v>
      </c>
    </row>
    <row r="296" s="13" customFormat="1">
      <c r="A296" s="13"/>
      <c r="B296" s="232"/>
      <c r="C296" s="233"/>
      <c r="D296" s="234" t="s">
        <v>165</v>
      </c>
      <c r="E296" s="235" t="s">
        <v>1</v>
      </c>
      <c r="F296" s="236" t="s">
        <v>442</v>
      </c>
      <c r="G296" s="233"/>
      <c r="H296" s="237">
        <v>58.93</v>
      </c>
      <c r="I296" s="238"/>
      <c r="J296" s="233"/>
      <c r="K296" s="233"/>
      <c r="L296" s="239"/>
      <c r="M296" s="240"/>
      <c r="N296" s="241"/>
      <c r="O296" s="241"/>
      <c r="P296" s="241"/>
      <c r="Q296" s="241"/>
      <c r="R296" s="241"/>
      <c r="S296" s="241"/>
      <c r="T296" s="242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T296" s="243" t="s">
        <v>165</v>
      </c>
      <c r="AU296" s="243" t="s">
        <v>86</v>
      </c>
      <c r="AV296" s="13" t="s">
        <v>86</v>
      </c>
      <c r="AW296" s="13" t="s">
        <v>32</v>
      </c>
      <c r="AX296" s="13" t="s">
        <v>77</v>
      </c>
      <c r="AY296" s="243" t="s">
        <v>157</v>
      </c>
    </row>
    <row r="297" s="2" customFormat="1" ht="16.5" customHeight="1">
      <c r="A297" s="37"/>
      <c r="B297" s="38"/>
      <c r="C297" s="254" t="s">
        <v>472</v>
      </c>
      <c r="D297" s="254" t="s">
        <v>229</v>
      </c>
      <c r="E297" s="255" t="s">
        <v>473</v>
      </c>
      <c r="F297" s="256" t="s">
        <v>474</v>
      </c>
      <c r="G297" s="257" t="s">
        <v>209</v>
      </c>
      <c r="H297" s="258">
        <v>61.877000000000002</v>
      </c>
      <c r="I297" s="259"/>
      <c r="J297" s="260">
        <f>ROUND(I297*H297,0)</f>
        <v>0</v>
      </c>
      <c r="K297" s="261"/>
      <c r="L297" s="262"/>
      <c r="M297" s="263" t="s">
        <v>1</v>
      </c>
      <c r="N297" s="264" t="s">
        <v>42</v>
      </c>
      <c r="O297" s="90"/>
      <c r="P297" s="228">
        <f>O297*H297</f>
        <v>0</v>
      </c>
      <c r="Q297" s="228">
        <v>0.0033600000000000001</v>
      </c>
      <c r="R297" s="228">
        <f>Q297*H297</f>
        <v>0.20790672000000002</v>
      </c>
      <c r="S297" s="228">
        <v>0</v>
      </c>
      <c r="T297" s="229">
        <f>S297*H297</f>
        <v>0</v>
      </c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R297" s="230" t="s">
        <v>200</v>
      </c>
      <c r="AT297" s="230" t="s">
        <v>229</v>
      </c>
      <c r="AU297" s="230" t="s">
        <v>86</v>
      </c>
      <c r="AY297" s="16" t="s">
        <v>157</v>
      </c>
      <c r="BE297" s="231">
        <f>IF(N297="základní",J297,0)</f>
        <v>0</v>
      </c>
      <c r="BF297" s="231">
        <f>IF(N297="snížená",J297,0)</f>
        <v>0</v>
      </c>
      <c r="BG297" s="231">
        <f>IF(N297="zákl. přenesená",J297,0)</f>
        <v>0</v>
      </c>
      <c r="BH297" s="231">
        <f>IF(N297="sníž. přenesená",J297,0)</f>
        <v>0</v>
      </c>
      <c r="BI297" s="231">
        <f>IF(N297="nulová",J297,0)</f>
        <v>0</v>
      </c>
      <c r="BJ297" s="16" t="s">
        <v>8</v>
      </c>
      <c r="BK297" s="231">
        <f>ROUND(I297*H297,0)</f>
        <v>0</v>
      </c>
      <c r="BL297" s="16" t="s">
        <v>163</v>
      </c>
      <c r="BM297" s="230" t="s">
        <v>475</v>
      </c>
    </row>
    <row r="298" s="13" customFormat="1">
      <c r="A298" s="13"/>
      <c r="B298" s="232"/>
      <c r="C298" s="233"/>
      <c r="D298" s="234" t="s">
        <v>165</v>
      </c>
      <c r="E298" s="235" t="s">
        <v>1</v>
      </c>
      <c r="F298" s="236" t="s">
        <v>476</v>
      </c>
      <c r="G298" s="233"/>
      <c r="H298" s="237">
        <v>58.93</v>
      </c>
      <c r="I298" s="238"/>
      <c r="J298" s="233"/>
      <c r="K298" s="233"/>
      <c r="L298" s="239"/>
      <c r="M298" s="240"/>
      <c r="N298" s="241"/>
      <c r="O298" s="241"/>
      <c r="P298" s="241"/>
      <c r="Q298" s="241"/>
      <c r="R298" s="241"/>
      <c r="S298" s="241"/>
      <c r="T298" s="242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T298" s="243" t="s">
        <v>165</v>
      </c>
      <c r="AU298" s="243" t="s">
        <v>86</v>
      </c>
      <c r="AV298" s="13" t="s">
        <v>86</v>
      </c>
      <c r="AW298" s="13" t="s">
        <v>32</v>
      </c>
      <c r="AX298" s="13" t="s">
        <v>8</v>
      </c>
      <c r="AY298" s="243" t="s">
        <v>157</v>
      </c>
    </row>
    <row r="299" s="13" customFormat="1">
      <c r="A299" s="13"/>
      <c r="B299" s="232"/>
      <c r="C299" s="233"/>
      <c r="D299" s="234" t="s">
        <v>165</v>
      </c>
      <c r="E299" s="233"/>
      <c r="F299" s="236" t="s">
        <v>477</v>
      </c>
      <c r="G299" s="233"/>
      <c r="H299" s="237">
        <v>61.877000000000002</v>
      </c>
      <c r="I299" s="238"/>
      <c r="J299" s="233"/>
      <c r="K299" s="233"/>
      <c r="L299" s="239"/>
      <c r="M299" s="240"/>
      <c r="N299" s="241"/>
      <c r="O299" s="241"/>
      <c r="P299" s="241"/>
      <c r="Q299" s="241"/>
      <c r="R299" s="241"/>
      <c r="S299" s="241"/>
      <c r="T299" s="242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T299" s="243" t="s">
        <v>165</v>
      </c>
      <c r="AU299" s="243" t="s">
        <v>86</v>
      </c>
      <c r="AV299" s="13" t="s">
        <v>86</v>
      </c>
      <c r="AW299" s="13" t="s">
        <v>4</v>
      </c>
      <c r="AX299" s="13" t="s">
        <v>8</v>
      </c>
      <c r="AY299" s="243" t="s">
        <v>157</v>
      </c>
    </row>
    <row r="300" s="2" customFormat="1" ht="33" customHeight="1">
      <c r="A300" s="37"/>
      <c r="B300" s="38"/>
      <c r="C300" s="218" t="s">
        <v>478</v>
      </c>
      <c r="D300" s="218" t="s">
        <v>159</v>
      </c>
      <c r="E300" s="219" t="s">
        <v>479</v>
      </c>
      <c r="F300" s="220" t="s">
        <v>480</v>
      </c>
      <c r="G300" s="221" t="s">
        <v>162</v>
      </c>
      <c r="H300" s="222">
        <v>6.6970000000000001</v>
      </c>
      <c r="I300" s="223"/>
      <c r="J300" s="224">
        <f>ROUND(I300*H300,0)</f>
        <v>0</v>
      </c>
      <c r="K300" s="225"/>
      <c r="L300" s="43"/>
      <c r="M300" s="226" t="s">
        <v>1</v>
      </c>
      <c r="N300" s="227" t="s">
        <v>42</v>
      </c>
      <c r="O300" s="90"/>
      <c r="P300" s="228">
        <f>O300*H300</f>
        <v>0</v>
      </c>
      <c r="Q300" s="228">
        <v>2.3010199999999998</v>
      </c>
      <c r="R300" s="228">
        <f>Q300*H300</f>
        <v>15.409930939999999</v>
      </c>
      <c r="S300" s="228">
        <v>0</v>
      </c>
      <c r="T300" s="229">
        <f>S300*H300</f>
        <v>0</v>
      </c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R300" s="230" t="s">
        <v>163</v>
      </c>
      <c r="AT300" s="230" t="s">
        <v>159</v>
      </c>
      <c r="AU300" s="230" t="s">
        <v>86</v>
      </c>
      <c r="AY300" s="16" t="s">
        <v>157</v>
      </c>
      <c r="BE300" s="231">
        <f>IF(N300="základní",J300,0)</f>
        <v>0</v>
      </c>
      <c r="BF300" s="231">
        <f>IF(N300="snížená",J300,0)</f>
        <v>0</v>
      </c>
      <c r="BG300" s="231">
        <f>IF(N300="zákl. přenesená",J300,0)</f>
        <v>0</v>
      </c>
      <c r="BH300" s="231">
        <f>IF(N300="sníž. přenesená",J300,0)</f>
        <v>0</v>
      </c>
      <c r="BI300" s="231">
        <f>IF(N300="nulová",J300,0)</f>
        <v>0</v>
      </c>
      <c r="BJ300" s="16" t="s">
        <v>8</v>
      </c>
      <c r="BK300" s="231">
        <f>ROUND(I300*H300,0)</f>
        <v>0</v>
      </c>
      <c r="BL300" s="16" t="s">
        <v>163</v>
      </c>
      <c r="BM300" s="230" t="s">
        <v>481</v>
      </c>
    </row>
    <row r="301" s="13" customFormat="1">
      <c r="A301" s="13"/>
      <c r="B301" s="232"/>
      <c r="C301" s="233"/>
      <c r="D301" s="234" t="s">
        <v>165</v>
      </c>
      <c r="E301" s="235" t="s">
        <v>1</v>
      </c>
      <c r="F301" s="236" t="s">
        <v>482</v>
      </c>
      <c r="G301" s="233"/>
      <c r="H301" s="237">
        <v>6.6970000000000001</v>
      </c>
      <c r="I301" s="238"/>
      <c r="J301" s="233"/>
      <c r="K301" s="233"/>
      <c r="L301" s="239"/>
      <c r="M301" s="240"/>
      <c r="N301" s="241"/>
      <c r="O301" s="241"/>
      <c r="P301" s="241"/>
      <c r="Q301" s="241"/>
      <c r="R301" s="241"/>
      <c r="S301" s="241"/>
      <c r="T301" s="242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T301" s="243" t="s">
        <v>165</v>
      </c>
      <c r="AU301" s="243" t="s">
        <v>86</v>
      </c>
      <c r="AV301" s="13" t="s">
        <v>86</v>
      </c>
      <c r="AW301" s="13" t="s">
        <v>32</v>
      </c>
      <c r="AX301" s="13" t="s">
        <v>77</v>
      </c>
      <c r="AY301" s="243" t="s">
        <v>157</v>
      </c>
    </row>
    <row r="302" s="2" customFormat="1" ht="33" customHeight="1">
      <c r="A302" s="37"/>
      <c r="B302" s="38"/>
      <c r="C302" s="218" t="s">
        <v>483</v>
      </c>
      <c r="D302" s="218" t="s">
        <v>159</v>
      </c>
      <c r="E302" s="219" t="s">
        <v>484</v>
      </c>
      <c r="F302" s="220" t="s">
        <v>485</v>
      </c>
      <c r="G302" s="221" t="s">
        <v>162</v>
      </c>
      <c r="H302" s="222">
        <v>70.432000000000002</v>
      </c>
      <c r="I302" s="223"/>
      <c r="J302" s="224">
        <f>ROUND(I302*H302,0)</f>
        <v>0</v>
      </c>
      <c r="K302" s="225"/>
      <c r="L302" s="43"/>
      <c r="M302" s="226" t="s">
        <v>1</v>
      </c>
      <c r="N302" s="227" t="s">
        <v>42</v>
      </c>
      <c r="O302" s="90"/>
      <c r="P302" s="228">
        <f>O302*H302</f>
        <v>0</v>
      </c>
      <c r="Q302" s="228">
        <v>2.5018699999999998</v>
      </c>
      <c r="R302" s="228">
        <f>Q302*H302</f>
        <v>176.21170784</v>
      </c>
      <c r="S302" s="228">
        <v>0</v>
      </c>
      <c r="T302" s="229">
        <f>S302*H302</f>
        <v>0</v>
      </c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R302" s="230" t="s">
        <v>163</v>
      </c>
      <c r="AT302" s="230" t="s">
        <v>159</v>
      </c>
      <c r="AU302" s="230" t="s">
        <v>86</v>
      </c>
      <c r="AY302" s="16" t="s">
        <v>157</v>
      </c>
      <c r="BE302" s="231">
        <f>IF(N302="základní",J302,0)</f>
        <v>0</v>
      </c>
      <c r="BF302" s="231">
        <f>IF(N302="snížená",J302,0)</f>
        <v>0</v>
      </c>
      <c r="BG302" s="231">
        <f>IF(N302="zákl. přenesená",J302,0)</f>
        <v>0</v>
      </c>
      <c r="BH302" s="231">
        <f>IF(N302="sníž. přenesená",J302,0)</f>
        <v>0</v>
      </c>
      <c r="BI302" s="231">
        <f>IF(N302="nulová",J302,0)</f>
        <v>0</v>
      </c>
      <c r="BJ302" s="16" t="s">
        <v>8</v>
      </c>
      <c r="BK302" s="231">
        <f>ROUND(I302*H302,0)</f>
        <v>0</v>
      </c>
      <c r="BL302" s="16" t="s">
        <v>163</v>
      </c>
      <c r="BM302" s="230" t="s">
        <v>486</v>
      </c>
    </row>
    <row r="303" s="13" customFormat="1">
      <c r="A303" s="13"/>
      <c r="B303" s="232"/>
      <c r="C303" s="233"/>
      <c r="D303" s="234" t="s">
        <v>165</v>
      </c>
      <c r="E303" s="235" t="s">
        <v>1</v>
      </c>
      <c r="F303" s="236" t="s">
        <v>487</v>
      </c>
      <c r="G303" s="233"/>
      <c r="H303" s="237">
        <v>34.036000000000001</v>
      </c>
      <c r="I303" s="238"/>
      <c r="J303" s="233"/>
      <c r="K303" s="233"/>
      <c r="L303" s="239"/>
      <c r="M303" s="240"/>
      <c r="N303" s="241"/>
      <c r="O303" s="241"/>
      <c r="P303" s="241"/>
      <c r="Q303" s="241"/>
      <c r="R303" s="241"/>
      <c r="S303" s="241"/>
      <c r="T303" s="242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T303" s="243" t="s">
        <v>165</v>
      </c>
      <c r="AU303" s="243" t="s">
        <v>86</v>
      </c>
      <c r="AV303" s="13" t="s">
        <v>86</v>
      </c>
      <c r="AW303" s="13" t="s">
        <v>32</v>
      </c>
      <c r="AX303" s="13" t="s">
        <v>77</v>
      </c>
      <c r="AY303" s="243" t="s">
        <v>157</v>
      </c>
    </row>
    <row r="304" s="13" customFormat="1">
      <c r="A304" s="13"/>
      <c r="B304" s="232"/>
      <c r="C304" s="233"/>
      <c r="D304" s="234" t="s">
        <v>165</v>
      </c>
      <c r="E304" s="235" t="s">
        <v>1</v>
      </c>
      <c r="F304" s="236" t="s">
        <v>488</v>
      </c>
      <c r="G304" s="233"/>
      <c r="H304" s="237">
        <v>31.783000000000001</v>
      </c>
      <c r="I304" s="238"/>
      <c r="J304" s="233"/>
      <c r="K304" s="233"/>
      <c r="L304" s="239"/>
      <c r="M304" s="240"/>
      <c r="N304" s="241"/>
      <c r="O304" s="241"/>
      <c r="P304" s="241"/>
      <c r="Q304" s="241"/>
      <c r="R304" s="241"/>
      <c r="S304" s="241"/>
      <c r="T304" s="242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T304" s="243" t="s">
        <v>165</v>
      </c>
      <c r="AU304" s="243" t="s">
        <v>86</v>
      </c>
      <c r="AV304" s="13" t="s">
        <v>86</v>
      </c>
      <c r="AW304" s="13" t="s">
        <v>32</v>
      </c>
      <c r="AX304" s="13" t="s">
        <v>77</v>
      </c>
      <c r="AY304" s="243" t="s">
        <v>157</v>
      </c>
    </row>
    <row r="305" s="13" customFormat="1">
      <c r="A305" s="13"/>
      <c r="B305" s="232"/>
      <c r="C305" s="233"/>
      <c r="D305" s="234" t="s">
        <v>165</v>
      </c>
      <c r="E305" s="235" t="s">
        <v>1</v>
      </c>
      <c r="F305" s="236" t="s">
        <v>489</v>
      </c>
      <c r="G305" s="233"/>
      <c r="H305" s="237">
        <v>4.6130000000000004</v>
      </c>
      <c r="I305" s="238"/>
      <c r="J305" s="233"/>
      <c r="K305" s="233"/>
      <c r="L305" s="239"/>
      <c r="M305" s="240"/>
      <c r="N305" s="241"/>
      <c r="O305" s="241"/>
      <c r="P305" s="241"/>
      <c r="Q305" s="241"/>
      <c r="R305" s="241"/>
      <c r="S305" s="241"/>
      <c r="T305" s="242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T305" s="243" t="s">
        <v>165</v>
      </c>
      <c r="AU305" s="243" t="s">
        <v>86</v>
      </c>
      <c r="AV305" s="13" t="s">
        <v>86</v>
      </c>
      <c r="AW305" s="13" t="s">
        <v>32</v>
      </c>
      <c r="AX305" s="13" t="s">
        <v>77</v>
      </c>
      <c r="AY305" s="243" t="s">
        <v>157</v>
      </c>
    </row>
    <row r="306" s="2" customFormat="1" ht="33" customHeight="1">
      <c r="A306" s="37"/>
      <c r="B306" s="38"/>
      <c r="C306" s="218" t="s">
        <v>490</v>
      </c>
      <c r="D306" s="218" t="s">
        <v>159</v>
      </c>
      <c r="E306" s="219" t="s">
        <v>491</v>
      </c>
      <c r="F306" s="220" t="s">
        <v>492</v>
      </c>
      <c r="G306" s="221" t="s">
        <v>162</v>
      </c>
      <c r="H306" s="222">
        <v>85.536000000000001</v>
      </c>
      <c r="I306" s="223"/>
      <c r="J306" s="224">
        <f>ROUND(I306*H306,0)</f>
        <v>0</v>
      </c>
      <c r="K306" s="225"/>
      <c r="L306" s="43"/>
      <c r="M306" s="226" t="s">
        <v>1</v>
      </c>
      <c r="N306" s="227" t="s">
        <v>42</v>
      </c>
      <c r="O306" s="90"/>
      <c r="P306" s="228">
        <f>O306*H306</f>
        <v>0</v>
      </c>
      <c r="Q306" s="228">
        <v>2.5018699999999998</v>
      </c>
      <c r="R306" s="228">
        <f>Q306*H306</f>
        <v>213.99995231999998</v>
      </c>
      <c r="S306" s="228">
        <v>0</v>
      </c>
      <c r="T306" s="229">
        <f>S306*H306</f>
        <v>0</v>
      </c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R306" s="230" t="s">
        <v>163</v>
      </c>
      <c r="AT306" s="230" t="s">
        <v>159</v>
      </c>
      <c r="AU306" s="230" t="s">
        <v>86</v>
      </c>
      <c r="AY306" s="16" t="s">
        <v>157</v>
      </c>
      <c r="BE306" s="231">
        <f>IF(N306="základní",J306,0)</f>
        <v>0</v>
      </c>
      <c r="BF306" s="231">
        <f>IF(N306="snížená",J306,0)</f>
        <v>0</v>
      </c>
      <c r="BG306" s="231">
        <f>IF(N306="zákl. přenesená",J306,0)</f>
        <v>0</v>
      </c>
      <c r="BH306" s="231">
        <f>IF(N306="sníž. přenesená",J306,0)</f>
        <v>0</v>
      </c>
      <c r="BI306" s="231">
        <f>IF(N306="nulová",J306,0)</f>
        <v>0</v>
      </c>
      <c r="BJ306" s="16" t="s">
        <v>8</v>
      </c>
      <c r="BK306" s="231">
        <f>ROUND(I306*H306,0)</f>
        <v>0</v>
      </c>
      <c r="BL306" s="16" t="s">
        <v>163</v>
      </c>
      <c r="BM306" s="230" t="s">
        <v>493</v>
      </c>
    </row>
    <row r="307" s="13" customFormat="1">
      <c r="A307" s="13"/>
      <c r="B307" s="232"/>
      <c r="C307" s="233"/>
      <c r="D307" s="234" t="s">
        <v>165</v>
      </c>
      <c r="E307" s="235" t="s">
        <v>1</v>
      </c>
      <c r="F307" s="236" t="s">
        <v>494</v>
      </c>
      <c r="G307" s="233"/>
      <c r="H307" s="237">
        <v>43.796999999999997</v>
      </c>
      <c r="I307" s="238"/>
      <c r="J307" s="233"/>
      <c r="K307" s="233"/>
      <c r="L307" s="239"/>
      <c r="M307" s="240"/>
      <c r="N307" s="241"/>
      <c r="O307" s="241"/>
      <c r="P307" s="241"/>
      <c r="Q307" s="241"/>
      <c r="R307" s="241"/>
      <c r="S307" s="241"/>
      <c r="T307" s="242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T307" s="243" t="s">
        <v>165</v>
      </c>
      <c r="AU307" s="243" t="s">
        <v>86</v>
      </c>
      <c r="AV307" s="13" t="s">
        <v>86</v>
      </c>
      <c r="AW307" s="13" t="s">
        <v>32</v>
      </c>
      <c r="AX307" s="13" t="s">
        <v>77</v>
      </c>
      <c r="AY307" s="243" t="s">
        <v>157</v>
      </c>
    </row>
    <row r="308" s="13" customFormat="1">
      <c r="A308" s="13"/>
      <c r="B308" s="232"/>
      <c r="C308" s="233"/>
      <c r="D308" s="234" t="s">
        <v>165</v>
      </c>
      <c r="E308" s="235" t="s">
        <v>1</v>
      </c>
      <c r="F308" s="236" t="s">
        <v>495</v>
      </c>
      <c r="G308" s="233"/>
      <c r="H308" s="237">
        <v>41.738999999999997</v>
      </c>
      <c r="I308" s="238"/>
      <c r="J308" s="233"/>
      <c r="K308" s="233"/>
      <c r="L308" s="239"/>
      <c r="M308" s="240"/>
      <c r="N308" s="241"/>
      <c r="O308" s="241"/>
      <c r="P308" s="241"/>
      <c r="Q308" s="241"/>
      <c r="R308" s="241"/>
      <c r="S308" s="241"/>
      <c r="T308" s="242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T308" s="243" t="s">
        <v>165</v>
      </c>
      <c r="AU308" s="243" t="s">
        <v>86</v>
      </c>
      <c r="AV308" s="13" t="s">
        <v>86</v>
      </c>
      <c r="AW308" s="13" t="s">
        <v>32</v>
      </c>
      <c r="AX308" s="13" t="s">
        <v>77</v>
      </c>
      <c r="AY308" s="243" t="s">
        <v>157</v>
      </c>
    </row>
    <row r="309" s="2" customFormat="1" ht="24.15" customHeight="1">
      <c r="A309" s="37"/>
      <c r="B309" s="38"/>
      <c r="C309" s="218" t="s">
        <v>496</v>
      </c>
      <c r="D309" s="218" t="s">
        <v>159</v>
      </c>
      <c r="E309" s="219" t="s">
        <v>497</v>
      </c>
      <c r="F309" s="220" t="s">
        <v>498</v>
      </c>
      <c r="G309" s="221" t="s">
        <v>162</v>
      </c>
      <c r="H309" s="222">
        <v>70.432000000000002</v>
      </c>
      <c r="I309" s="223"/>
      <c r="J309" s="224">
        <f>ROUND(I309*H309,0)</f>
        <v>0</v>
      </c>
      <c r="K309" s="225"/>
      <c r="L309" s="43"/>
      <c r="M309" s="226" t="s">
        <v>1</v>
      </c>
      <c r="N309" s="227" t="s">
        <v>42</v>
      </c>
      <c r="O309" s="90"/>
      <c r="P309" s="228">
        <f>O309*H309</f>
        <v>0</v>
      </c>
      <c r="Q309" s="228">
        <v>0</v>
      </c>
      <c r="R309" s="228">
        <f>Q309*H309</f>
        <v>0</v>
      </c>
      <c r="S309" s="228">
        <v>0</v>
      </c>
      <c r="T309" s="229">
        <f>S309*H309</f>
        <v>0</v>
      </c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R309" s="230" t="s">
        <v>163</v>
      </c>
      <c r="AT309" s="230" t="s">
        <v>159</v>
      </c>
      <c r="AU309" s="230" t="s">
        <v>86</v>
      </c>
      <c r="AY309" s="16" t="s">
        <v>157</v>
      </c>
      <c r="BE309" s="231">
        <f>IF(N309="základní",J309,0)</f>
        <v>0</v>
      </c>
      <c r="BF309" s="231">
        <f>IF(N309="snížená",J309,0)</f>
        <v>0</v>
      </c>
      <c r="BG309" s="231">
        <f>IF(N309="zákl. přenesená",J309,0)</f>
        <v>0</v>
      </c>
      <c r="BH309" s="231">
        <f>IF(N309="sníž. přenesená",J309,0)</f>
        <v>0</v>
      </c>
      <c r="BI309" s="231">
        <f>IF(N309="nulová",J309,0)</f>
        <v>0</v>
      </c>
      <c r="BJ309" s="16" t="s">
        <v>8</v>
      </c>
      <c r="BK309" s="231">
        <f>ROUND(I309*H309,0)</f>
        <v>0</v>
      </c>
      <c r="BL309" s="16" t="s">
        <v>163</v>
      </c>
      <c r="BM309" s="230" t="s">
        <v>499</v>
      </c>
    </row>
    <row r="310" s="2" customFormat="1" ht="33" customHeight="1">
      <c r="A310" s="37"/>
      <c r="B310" s="38"/>
      <c r="C310" s="218" t="s">
        <v>500</v>
      </c>
      <c r="D310" s="218" t="s">
        <v>159</v>
      </c>
      <c r="E310" s="219" t="s">
        <v>501</v>
      </c>
      <c r="F310" s="220" t="s">
        <v>502</v>
      </c>
      <c r="G310" s="221" t="s">
        <v>162</v>
      </c>
      <c r="H310" s="222">
        <v>70.432000000000002</v>
      </c>
      <c r="I310" s="223"/>
      <c r="J310" s="224">
        <f>ROUND(I310*H310,0)</f>
        <v>0</v>
      </c>
      <c r="K310" s="225"/>
      <c r="L310" s="43"/>
      <c r="M310" s="226" t="s">
        <v>1</v>
      </c>
      <c r="N310" s="227" t="s">
        <v>42</v>
      </c>
      <c r="O310" s="90"/>
      <c r="P310" s="228">
        <f>O310*H310</f>
        <v>0</v>
      </c>
      <c r="Q310" s="228">
        <v>0</v>
      </c>
      <c r="R310" s="228">
        <f>Q310*H310</f>
        <v>0</v>
      </c>
      <c r="S310" s="228">
        <v>0</v>
      </c>
      <c r="T310" s="229">
        <f>S310*H310</f>
        <v>0</v>
      </c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R310" s="230" t="s">
        <v>163</v>
      </c>
      <c r="AT310" s="230" t="s">
        <v>159</v>
      </c>
      <c r="AU310" s="230" t="s">
        <v>86</v>
      </c>
      <c r="AY310" s="16" t="s">
        <v>157</v>
      </c>
      <c r="BE310" s="231">
        <f>IF(N310="základní",J310,0)</f>
        <v>0</v>
      </c>
      <c r="BF310" s="231">
        <f>IF(N310="snížená",J310,0)</f>
        <v>0</v>
      </c>
      <c r="BG310" s="231">
        <f>IF(N310="zákl. přenesená",J310,0)</f>
        <v>0</v>
      </c>
      <c r="BH310" s="231">
        <f>IF(N310="sníž. přenesená",J310,0)</f>
        <v>0</v>
      </c>
      <c r="BI310" s="231">
        <f>IF(N310="nulová",J310,0)</f>
        <v>0</v>
      </c>
      <c r="BJ310" s="16" t="s">
        <v>8</v>
      </c>
      <c r="BK310" s="231">
        <f>ROUND(I310*H310,0)</f>
        <v>0</v>
      </c>
      <c r="BL310" s="16" t="s">
        <v>163</v>
      </c>
      <c r="BM310" s="230" t="s">
        <v>503</v>
      </c>
    </row>
    <row r="311" s="2" customFormat="1" ht="33" customHeight="1">
      <c r="A311" s="37"/>
      <c r="B311" s="38"/>
      <c r="C311" s="218" t="s">
        <v>504</v>
      </c>
      <c r="D311" s="218" t="s">
        <v>159</v>
      </c>
      <c r="E311" s="219" t="s">
        <v>505</v>
      </c>
      <c r="F311" s="220" t="s">
        <v>506</v>
      </c>
      <c r="G311" s="221" t="s">
        <v>162</v>
      </c>
      <c r="H311" s="222">
        <v>171.07300000000001</v>
      </c>
      <c r="I311" s="223"/>
      <c r="J311" s="224">
        <f>ROUND(I311*H311,0)</f>
        <v>0</v>
      </c>
      <c r="K311" s="225"/>
      <c r="L311" s="43"/>
      <c r="M311" s="226" t="s">
        <v>1</v>
      </c>
      <c r="N311" s="227" t="s">
        <v>42</v>
      </c>
      <c r="O311" s="90"/>
      <c r="P311" s="228">
        <f>O311*H311</f>
        <v>0</v>
      </c>
      <c r="Q311" s="228">
        <v>0</v>
      </c>
      <c r="R311" s="228">
        <f>Q311*H311</f>
        <v>0</v>
      </c>
      <c r="S311" s="228">
        <v>0</v>
      </c>
      <c r="T311" s="229">
        <f>S311*H311</f>
        <v>0</v>
      </c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R311" s="230" t="s">
        <v>163</v>
      </c>
      <c r="AT311" s="230" t="s">
        <v>159</v>
      </c>
      <c r="AU311" s="230" t="s">
        <v>86</v>
      </c>
      <c r="AY311" s="16" t="s">
        <v>157</v>
      </c>
      <c r="BE311" s="231">
        <f>IF(N311="základní",J311,0)</f>
        <v>0</v>
      </c>
      <c r="BF311" s="231">
        <f>IF(N311="snížená",J311,0)</f>
        <v>0</v>
      </c>
      <c r="BG311" s="231">
        <f>IF(N311="zákl. přenesená",J311,0)</f>
        <v>0</v>
      </c>
      <c r="BH311" s="231">
        <f>IF(N311="sníž. přenesená",J311,0)</f>
        <v>0</v>
      </c>
      <c r="BI311" s="231">
        <f>IF(N311="nulová",J311,0)</f>
        <v>0</v>
      </c>
      <c r="BJ311" s="16" t="s">
        <v>8</v>
      </c>
      <c r="BK311" s="231">
        <f>ROUND(I311*H311,0)</f>
        <v>0</v>
      </c>
      <c r="BL311" s="16" t="s">
        <v>163</v>
      </c>
      <c r="BM311" s="230" t="s">
        <v>507</v>
      </c>
    </row>
    <row r="312" s="14" customFormat="1">
      <c r="A312" s="14"/>
      <c r="B312" s="244"/>
      <c r="C312" s="245"/>
      <c r="D312" s="234" t="s">
        <v>165</v>
      </c>
      <c r="E312" s="246" t="s">
        <v>1</v>
      </c>
      <c r="F312" s="247" t="s">
        <v>508</v>
      </c>
      <c r="G312" s="245"/>
      <c r="H312" s="246" t="s">
        <v>1</v>
      </c>
      <c r="I312" s="248"/>
      <c r="J312" s="245"/>
      <c r="K312" s="245"/>
      <c r="L312" s="249"/>
      <c r="M312" s="250"/>
      <c r="N312" s="251"/>
      <c r="O312" s="251"/>
      <c r="P312" s="251"/>
      <c r="Q312" s="251"/>
      <c r="R312" s="251"/>
      <c r="S312" s="251"/>
      <c r="T312" s="252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T312" s="253" t="s">
        <v>165</v>
      </c>
      <c r="AU312" s="253" t="s">
        <v>86</v>
      </c>
      <c r="AV312" s="14" t="s">
        <v>8</v>
      </c>
      <c r="AW312" s="14" t="s">
        <v>32</v>
      </c>
      <c r="AX312" s="14" t="s">
        <v>77</v>
      </c>
      <c r="AY312" s="253" t="s">
        <v>157</v>
      </c>
    </row>
    <row r="313" s="13" customFormat="1">
      <c r="A313" s="13"/>
      <c r="B313" s="232"/>
      <c r="C313" s="233"/>
      <c r="D313" s="234" t="s">
        <v>165</v>
      </c>
      <c r="E313" s="235" t="s">
        <v>1</v>
      </c>
      <c r="F313" s="236" t="s">
        <v>509</v>
      </c>
      <c r="G313" s="233"/>
      <c r="H313" s="237">
        <v>87.594999999999999</v>
      </c>
      <c r="I313" s="238"/>
      <c r="J313" s="233"/>
      <c r="K313" s="233"/>
      <c r="L313" s="239"/>
      <c r="M313" s="240"/>
      <c r="N313" s="241"/>
      <c r="O313" s="241"/>
      <c r="P313" s="241"/>
      <c r="Q313" s="241"/>
      <c r="R313" s="241"/>
      <c r="S313" s="241"/>
      <c r="T313" s="242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T313" s="243" t="s">
        <v>165</v>
      </c>
      <c r="AU313" s="243" t="s">
        <v>86</v>
      </c>
      <c r="AV313" s="13" t="s">
        <v>86</v>
      </c>
      <c r="AW313" s="13" t="s">
        <v>32</v>
      </c>
      <c r="AX313" s="13" t="s">
        <v>77</v>
      </c>
      <c r="AY313" s="243" t="s">
        <v>157</v>
      </c>
    </row>
    <row r="314" s="13" customFormat="1">
      <c r="A314" s="13"/>
      <c r="B314" s="232"/>
      <c r="C314" s="233"/>
      <c r="D314" s="234" t="s">
        <v>165</v>
      </c>
      <c r="E314" s="235" t="s">
        <v>1</v>
      </c>
      <c r="F314" s="236" t="s">
        <v>510</v>
      </c>
      <c r="G314" s="233"/>
      <c r="H314" s="237">
        <v>83.477999999999994</v>
      </c>
      <c r="I314" s="238"/>
      <c r="J314" s="233"/>
      <c r="K314" s="233"/>
      <c r="L314" s="239"/>
      <c r="M314" s="240"/>
      <c r="N314" s="241"/>
      <c r="O314" s="241"/>
      <c r="P314" s="241"/>
      <c r="Q314" s="241"/>
      <c r="R314" s="241"/>
      <c r="S314" s="241"/>
      <c r="T314" s="242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T314" s="243" t="s">
        <v>165</v>
      </c>
      <c r="AU314" s="243" t="s">
        <v>86</v>
      </c>
      <c r="AV314" s="13" t="s">
        <v>86</v>
      </c>
      <c r="AW314" s="13" t="s">
        <v>32</v>
      </c>
      <c r="AX314" s="13" t="s">
        <v>77</v>
      </c>
      <c r="AY314" s="243" t="s">
        <v>157</v>
      </c>
    </row>
    <row r="315" s="2" customFormat="1" ht="16.5" customHeight="1">
      <c r="A315" s="37"/>
      <c r="B315" s="38"/>
      <c r="C315" s="218" t="s">
        <v>511</v>
      </c>
      <c r="D315" s="218" t="s">
        <v>159</v>
      </c>
      <c r="E315" s="219" t="s">
        <v>512</v>
      </c>
      <c r="F315" s="220" t="s">
        <v>513</v>
      </c>
      <c r="G315" s="221" t="s">
        <v>209</v>
      </c>
      <c r="H315" s="222">
        <v>28.280999999999999</v>
      </c>
      <c r="I315" s="223"/>
      <c r="J315" s="224">
        <f>ROUND(I315*H315,0)</f>
        <v>0</v>
      </c>
      <c r="K315" s="225"/>
      <c r="L315" s="43"/>
      <c r="M315" s="226" t="s">
        <v>1</v>
      </c>
      <c r="N315" s="227" t="s">
        <v>42</v>
      </c>
      <c r="O315" s="90"/>
      <c r="P315" s="228">
        <f>O315*H315</f>
        <v>0</v>
      </c>
      <c r="Q315" s="228">
        <v>0.016070000000000001</v>
      </c>
      <c r="R315" s="228">
        <f>Q315*H315</f>
        <v>0.45447567</v>
      </c>
      <c r="S315" s="228">
        <v>0</v>
      </c>
      <c r="T315" s="229">
        <f>S315*H315</f>
        <v>0</v>
      </c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R315" s="230" t="s">
        <v>163</v>
      </c>
      <c r="AT315" s="230" t="s">
        <v>159</v>
      </c>
      <c r="AU315" s="230" t="s">
        <v>86</v>
      </c>
      <c r="AY315" s="16" t="s">
        <v>157</v>
      </c>
      <c r="BE315" s="231">
        <f>IF(N315="základní",J315,0)</f>
        <v>0</v>
      </c>
      <c r="BF315" s="231">
        <f>IF(N315="snížená",J315,0)</f>
        <v>0</v>
      </c>
      <c r="BG315" s="231">
        <f>IF(N315="zákl. přenesená",J315,0)</f>
        <v>0</v>
      </c>
      <c r="BH315" s="231">
        <f>IF(N315="sníž. přenesená",J315,0)</f>
        <v>0</v>
      </c>
      <c r="BI315" s="231">
        <f>IF(N315="nulová",J315,0)</f>
        <v>0</v>
      </c>
      <c r="BJ315" s="16" t="s">
        <v>8</v>
      </c>
      <c r="BK315" s="231">
        <f>ROUND(I315*H315,0)</f>
        <v>0</v>
      </c>
      <c r="BL315" s="16" t="s">
        <v>163</v>
      </c>
      <c r="BM315" s="230" t="s">
        <v>514</v>
      </c>
    </row>
    <row r="316" s="13" customFormat="1">
      <c r="A316" s="13"/>
      <c r="B316" s="232"/>
      <c r="C316" s="233"/>
      <c r="D316" s="234" t="s">
        <v>165</v>
      </c>
      <c r="E316" s="235" t="s">
        <v>1</v>
      </c>
      <c r="F316" s="236" t="s">
        <v>515</v>
      </c>
      <c r="G316" s="233"/>
      <c r="H316" s="237">
        <v>14.961</v>
      </c>
      <c r="I316" s="238"/>
      <c r="J316" s="233"/>
      <c r="K316" s="233"/>
      <c r="L316" s="239"/>
      <c r="M316" s="240"/>
      <c r="N316" s="241"/>
      <c r="O316" s="241"/>
      <c r="P316" s="241"/>
      <c r="Q316" s="241"/>
      <c r="R316" s="241"/>
      <c r="S316" s="241"/>
      <c r="T316" s="242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T316" s="243" t="s">
        <v>165</v>
      </c>
      <c r="AU316" s="243" t="s">
        <v>86</v>
      </c>
      <c r="AV316" s="13" t="s">
        <v>86</v>
      </c>
      <c r="AW316" s="13" t="s">
        <v>32</v>
      </c>
      <c r="AX316" s="13" t="s">
        <v>77</v>
      </c>
      <c r="AY316" s="243" t="s">
        <v>157</v>
      </c>
    </row>
    <row r="317" s="13" customFormat="1">
      <c r="A317" s="13"/>
      <c r="B317" s="232"/>
      <c r="C317" s="233"/>
      <c r="D317" s="234" t="s">
        <v>165</v>
      </c>
      <c r="E317" s="235" t="s">
        <v>1</v>
      </c>
      <c r="F317" s="236" t="s">
        <v>516</v>
      </c>
      <c r="G317" s="233"/>
      <c r="H317" s="237">
        <v>13.32</v>
      </c>
      <c r="I317" s="238"/>
      <c r="J317" s="233"/>
      <c r="K317" s="233"/>
      <c r="L317" s="239"/>
      <c r="M317" s="240"/>
      <c r="N317" s="241"/>
      <c r="O317" s="241"/>
      <c r="P317" s="241"/>
      <c r="Q317" s="241"/>
      <c r="R317" s="241"/>
      <c r="S317" s="241"/>
      <c r="T317" s="242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T317" s="243" t="s">
        <v>165</v>
      </c>
      <c r="AU317" s="243" t="s">
        <v>86</v>
      </c>
      <c r="AV317" s="13" t="s">
        <v>86</v>
      </c>
      <c r="AW317" s="13" t="s">
        <v>32</v>
      </c>
      <c r="AX317" s="13" t="s">
        <v>77</v>
      </c>
      <c r="AY317" s="243" t="s">
        <v>157</v>
      </c>
    </row>
    <row r="318" s="2" customFormat="1" ht="16.5" customHeight="1">
      <c r="A318" s="37"/>
      <c r="B318" s="38"/>
      <c r="C318" s="218" t="s">
        <v>517</v>
      </c>
      <c r="D318" s="218" t="s">
        <v>159</v>
      </c>
      <c r="E318" s="219" t="s">
        <v>518</v>
      </c>
      <c r="F318" s="220" t="s">
        <v>519</v>
      </c>
      <c r="G318" s="221" t="s">
        <v>209</v>
      </c>
      <c r="H318" s="222">
        <v>28.280999999999999</v>
      </c>
      <c r="I318" s="223"/>
      <c r="J318" s="224">
        <f>ROUND(I318*H318,0)</f>
        <v>0</v>
      </c>
      <c r="K318" s="225"/>
      <c r="L318" s="43"/>
      <c r="M318" s="226" t="s">
        <v>1</v>
      </c>
      <c r="N318" s="227" t="s">
        <v>42</v>
      </c>
      <c r="O318" s="90"/>
      <c r="P318" s="228">
        <f>O318*H318</f>
        <v>0</v>
      </c>
      <c r="Q318" s="228">
        <v>0</v>
      </c>
      <c r="R318" s="228">
        <f>Q318*H318</f>
        <v>0</v>
      </c>
      <c r="S318" s="228">
        <v>0</v>
      </c>
      <c r="T318" s="229">
        <f>S318*H318</f>
        <v>0</v>
      </c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R318" s="230" t="s">
        <v>163</v>
      </c>
      <c r="AT318" s="230" t="s">
        <v>159</v>
      </c>
      <c r="AU318" s="230" t="s">
        <v>86</v>
      </c>
      <c r="AY318" s="16" t="s">
        <v>157</v>
      </c>
      <c r="BE318" s="231">
        <f>IF(N318="základní",J318,0)</f>
        <v>0</v>
      </c>
      <c r="BF318" s="231">
        <f>IF(N318="snížená",J318,0)</f>
        <v>0</v>
      </c>
      <c r="BG318" s="231">
        <f>IF(N318="zákl. přenesená",J318,0)</f>
        <v>0</v>
      </c>
      <c r="BH318" s="231">
        <f>IF(N318="sníž. přenesená",J318,0)</f>
        <v>0</v>
      </c>
      <c r="BI318" s="231">
        <f>IF(N318="nulová",J318,0)</f>
        <v>0</v>
      </c>
      <c r="BJ318" s="16" t="s">
        <v>8</v>
      </c>
      <c r="BK318" s="231">
        <f>ROUND(I318*H318,0)</f>
        <v>0</v>
      </c>
      <c r="BL318" s="16" t="s">
        <v>163</v>
      </c>
      <c r="BM318" s="230" t="s">
        <v>520</v>
      </c>
    </row>
    <row r="319" s="2" customFormat="1" ht="16.5" customHeight="1">
      <c r="A319" s="37"/>
      <c r="B319" s="38"/>
      <c r="C319" s="218" t="s">
        <v>521</v>
      </c>
      <c r="D319" s="218" t="s">
        <v>159</v>
      </c>
      <c r="E319" s="219" t="s">
        <v>522</v>
      </c>
      <c r="F319" s="220" t="s">
        <v>523</v>
      </c>
      <c r="G319" s="221" t="s">
        <v>193</v>
      </c>
      <c r="H319" s="222">
        <v>10.971</v>
      </c>
      <c r="I319" s="223"/>
      <c r="J319" s="224">
        <f>ROUND(I319*H319,0)</f>
        <v>0</v>
      </c>
      <c r="K319" s="225"/>
      <c r="L319" s="43"/>
      <c r="M319" s="226" t="s">
        <v>1</v>
      </c>
      <c r="N319" s="227" t="s">
        <v>42</v>
      </c>
      <c r="O319" s="90"/>
      <c r="P319" s="228">
        <f>O319*H319</f>
        <v>0</v>
      </c>
      <c r="Q319" s="228">
        <v>1.06277</v>
      </c>
      <c r="R319" s="228">
        <f>Q319*H319</f>
        <v>11.65964967</v>
      </c>
      <c r="S319" s="228">
        <v>0</v>
      </c>
      <c r="T319" s="229">
        <f>S319*H319</f>
        <v>0</v>
      </c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R319" s="230" t="s">
        <v>163</v>
      </c>
      <c r="AT319" s="230" t="s">
        <v>159</v>
      </c>
      <c r="AU319" s="230" t="s">
        <v>86</v>
      </c>
      <c r="AY319" s="16" t="s">
        <v>157</v>
      </c>
      <c r="BE319" s="231">
        <f>IF(N319="základní",J319,0)</f>
        <v>0</v>
      </c>
      <c r="BF319" s="231">
        <f>IF(N319="snížená",J319,0)</f>
        <v>0</v>
      </c>
      <c r="BG319" s="231">
        <f>IF(N319="zákl. přenesená",J319,0)</f>
        <v>0</v>
      </c>
      <c r="BH319" s="231">
        <f>IF(N319="sníž. přenesená",J319,0)</f>
        <v>0</v>
      </c>
      <c r="BI319" s="231">
        <f>IF(N319="nulová",J319,0)</f>
        <v>0</v>
      </c>
      <c r="BJ319" s="16" t="s">
        <v>8</v>
      </c>
      <c r="BK319" s="231">
        <f>ROUND(I319*H319,0)</f>
        <v>0</v>
      </c>
      <c r="BL319" s="16" t="s">
        <v>163</v>
      </c>
      <c r="BM319" s="230" t="s">
        <v>524</v>
      </c>
    </row>
    <row r="320" s="14" customFormat="1">
      <c r="A320" s="14"/>
      <c r="B320" s="244"/>
      <c r="C320" s="245"/>
      <c r="D320" s="234" t="s">
        <v>165</v>
      </c>
      <c r="E320" s="246" t="s">
        <v>1</v>
      </c>
      <c r="F320" s="247" t="s">
        <v>525</v>
      </c>
      <c r="G320" s="245"/>
      <c r="H320" s="246" t="s">
        <v>1</v>
      </c>
      <c r="I320" s="248"/>
      <c r="J320" s="245"/>
      <c r="K320" s="245"/>
      <c r="L320" s="249"/>
      <c r="M320" s="250"/>
      <c r="N320" s="251"/>
      <c r="O320" s="251"/>
      <c r="P320" s="251"/>
      <c r="Q320" s="251"/>
      <c r="R320" s="251"/>
      <c r="S320" s="251"/>
      <c r="T320" s="252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T320" s="253" t="s">
        <v>165</v>
      </c>
      <c r="AU320" s="253" t="s">
        <v>86</v>
      </c>
      <c r="AV320" s="14" t="s">
        <v>8</v>
      </c>
      <c r="AW320" s="14" t="s">
        <v>32</v>
      </c>
      <c r="AX320" s="14" t="s">
        <v>77</v>
      </c>
      <c r="AY320" s="253" t="s">
        <v>157</v>
      </c>
    </row>
    <row r="321" s="13" customFormat="1">
      <c r="A321" s="13"/>
      <c r="B321" s="232"/>
      <c r="C321" s="233"/>
      <c r="D321" s="234" t="s">
        <v>165</v>
      </c>
      <c r="E321" s="235" t="s">
        <v>1</v>
      </c>
      <c r="F321" s="236" t="s">
        <v>526</v>
      </c>
      <c r="G321" s="233"/>
      <c r="H321" s="237">
        <v>3.4689999999999999</v>
      </c>
      <c r="I321" s="238"/>
      <c r="J321" s="233"/>
      <c r="K321" s="233"/>
      <c r="L321" s="239"/>
      <c r="M321" s="240"/>
      <c r="N321" s="241"/>
      <c r="O321" s="241"/>
      <c r="P321" s="241"/>
      <c r="Q321" s="241"/>
      <c r="R321" s="241"/>
      <c r="S321" s="241"/>
      <c r="T321" s="242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T321" s="243" t="s">
        <v>165</v>
      </c>
      <c r="AU321" s="243" t="s">
        <v>86</v>
      </c>
      <c r="AV321" s="13" t="s">
        <v>86</v>
      </c>
      <c r="AW321" s="13" t="s">
        <v>32</v>
      </c>
      <c r="AX321" s="13" t="s">
        <v>77</v>
      </c>
      <c r="AY321" s="243" t="s">
        <v>157</v>
      </c>
    </row>
    <row r="322" s="13" customFormat="1">
      <c r="A322" s="13"/>
      <c r="B322" s="232"/>
      <c r="C322" s="233"/>
      <c r="D322" s="234" t="s">
        <v>165</v>
      </c>
      <c r="E322" s="235" t="s">
        <v>1</v>
      </c>
      <c r="F322" s="236" t="s">
        <v>527</v>
      </c>
      <c r="G322" s="233"/>
      <c r="H322" s="237">
        <v>3.306</v>
      </c>
      <c r="I322" s="238"/>
      <c r="J322" s="233"/>
      <c r="K322" s="233"/>
      <c r="L322" s="239"/>
      <c r="M322" s="240"/>
      <c r="N322" s="241"/>
      <c r="O322" s="241"/>
      <c r="P322" s="241"/>
      <c r="Q322" s="241"/>
      <c r="R322" s="241"/>
      <c r="S322" s="241"/>
      <c r="T322" s="242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T322" s="243" t="s">
        <v>165</v>
      </c>
      <c r="AU322" s="243" t="s">
        <v>86</v>
      </c>
      <c r="AV322" s="13" t="s">
        <v>86</v>
      </c>
      <c r="AW322" s="13" t="s">
        <v>32</v>
      </c>
      <c r="AX322" s="13" t="s">
        <v>77</v>
      </c>
      <c r="AY322" s="243" t="s">
        <v>157</v>
      </c>
    </row>
    <row r="323" s="14" customFormat="1">
      <c r="A323" s="14"/>
      <c r="B323" s="244"/>
      <c r="C323" s="245"/>
      <c r="D323" s="234" t="s">
        <v>165</v>
      </c>
      <c r="E323" s="246" t="s">
        <v>1</v>
      </c>
      <c r="F323" s="247" t="s">
        <v>528</v>
      </c>
      <c r="G323" s="245"/>
      <c r="H323" s="246" t="s">
        <v>1</v>
      </c>
      <c r="I323" s="248"/>
      <c r="J323" s="245"/>
      <c r="K323" s="245"/>
      <c r="L323" s="249"/>
      <c r="M323" s="250"/>
      <c r="N323" s="251"/>
      <c r="O323" s="251"/>
      <c r="P323" s="251"/>
      <c r="Q323" s="251"/>
      <c r="R323" s="251"/>
      <c r="S323" s="251"/>
      <c r="T323" s="252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T323" s="253" t="s">
        <v>165</v>
      </c>
      <c r="AU323" s="253" t="s">
        <v>86</v>
      </c>
      <c r="AV323" s="14" t="s">
        <v>8</v>
      </c>
      <c r="AW323" s="14" t="s">
        <v>32</v>
      </c>
      <c r="AX323" s="14" t="s">
        <v>77</v>
      </c>
      <c r="AY323" s="253" t="s">
        <v>157</v>
      </c>
    </row>
    <row r="324" s="13" customFormat="1">
      <c r="A324" s="13"/>
      <c r="B324" s="232"/>
      <c r="C324" s="233"/>
      <c r="D324" s="234" t="s">
        <v>165</v>
      </c>
      <c r="E324" s="235" t="s">
        <v>1</v>
      </c>
      <c r="F324" s="236" t="s">
        <v>529</v>
      </c>
      <c r="G324" s="233"/>
      <c r="H324" s="237">
        <v>2.012</v>
      </c>
      <c r="I324" s="238"/>
      <c r="J324" s="233"/>
      <c r="K324" s="233"/>
      <c r="L324" s="239"/>
      <c r="M324" s="240"/>
      <c r="N324" s="241"/>
      <c r="O324" s="241"/>
      <c r="P324" s="241"/>
      <c r="Q324" s="241"/>
      <c r="R324" s="241"/>
      <c r="S324" s="241"/>
      <c r="T324" s="242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T324" s="243" t="s">
        <v>165</v>
      </c>
      <c r="AU324" s="243" t="s">
        <v>86</v>
      </c>
      <c r="AV324" s="13" t="s">
        <v>86</v>
      </c>
      <c r="AW324" s="13" t="s">
        <v>32</v>
      </c>
      <c r="AX324" s="13" t="s">
        <v>77</v>
      </c>
      <c r="AY324" s="243" t="s">
        <v>157</v>
      </c>
    </row>
    <row r="325" s="13" customFormat="1">
      <c r="A325" s="13"/>
      <c r="B325" s="232"/>
      <c r="C325" s="233"/>
      <c r="D325" s="234" t="s">
        <v>165</v>
      </c>
      <c r="E325" s="235" t="s">
        <v>1</v>
      </c>
      <c r="F325" s="236" t="s">
        <v>530</v>
      </c>
      <c r="G325" s="233"/>
      <c r="H325" s="237">
        <v>1.879</v>
      </c>
      <c r="I325" s="238"/>
      <c r="J325" s="233"/>
      <c r="K325" s="233"/>
      <c r="L325" s="239"/>
      <c r="M325" s="240"/>
      <c r="N325" s="241"/>
      <c r="O325" s="241"/>
      <c r="P325" s="241"/>
      <c r="Q325" s="241"/>
      <c r="R325" s="241"/>
      <c r="S325" s="241"/>
      <c r="T325" s="242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T325" s="243" t="s">
        <v>165</v>
      </c>
      <c r="AU325" s="243" t="s">
        <v>86</v>
      </c>
      <c r="AV325" s="13" t="s">
        <v>86</v>
      </c>
      <c r="AW325" s="13" t="s">
        <v>32</v>
      </c>
      <c r="AX325" s="13" t="s">
        <v>77</v>
      </c>
      <c r="AY325" s="243" t="s">
        <v>157</v>
      </c>
    </row>
    <row r="326" s="13" customFormat="1">
      <c r="A326" s="13"/>
      <c r="B326" s="232"/>
      <c r="C326" s="233"/>
      <c r="D326" s="234" t="s">
        <v>165</v>
      </c>
      <c r="E326" s="235" t="s">
        <v>1</v>
      </c>
      <c r="F326" s="236" t="s">
        <v>531</v>
      </c>
      <c r="G326" s="233"/>
      <c r="H326" s="237">
        <v>0.30499999999999999</v>
      </c>
      <c r="I326" s="238"/>
      <c r="J326" s="233"/>
      <c r="K326" s="233"/>
      <c r="L326" s="239"/>
      <c r="M326" s="240"/>
      <c r="N326" s="241"/>
      <c r="O326" s="241"/>
      <c r="P326" s="241"/>
      <c r="Q326" s="241"/>
      <c r="R326" s="241"/>
      <c r="S326" s="241"/>
      <c r="T326" s="242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T326" s="243" t="s">
        <v>165</v>
      </c>
      <c r="AU326" s="243" t="s">
        <v>86</v>
      </c>
      <c r="AV326" s="13" t="s">
        <v>86</v>
      </c>
      <c r="AW326" s="13" t="s">
        <v>32</v>
      </c>
      <c r="AX326" s="13" t="s">
        <v>77</v>
      </c>
      <c r="AY326" s="243" t="s">
        <v>157</v>
      </c>
    </row>
    <row r="327" s="2" customFormat="1" ht="16.5" customHeight="1">
      <c r="A327" s="37"/>
      <c r="B327" s="38"/>
      <c r="C327" s="218" t="s">
        <v>532</v>
      </c>
      <c r="D327" s="218" t="s">
        <v>159</v>
      </c>
      <c r="E327" s="219" t="s">
        <v>533</v>
      </c>
      <c r="F327" s="220" t="s">
        <v>534</v>
      </c>
      <c r="G327" s="221" t="s">
        <v>209</v>
      </c>
      <c r="H327" s="222">
        <v>1835.1500000000001</v>
      </c>
      <c r="I327" s="223"/>
      <c r="J327" s="224">
        <f>ROUND(I327*H327,0)</f>
        <v>0</v>
      </c>
      <c r="K327" s="225"/>
      <c r="L327" s="43"/>
      <c r="M327" s="226" t="s">
        <v>1</v>
      </c>
      <c r="N327" s="227" t="s">
        <v>42</v>
      </c>
      <c r="O327" s="90"/>
      <c r="P327" s="228">
        <f>O327*H327</f>
        <v>0</v>
      </c>
      <c r="Q327" s="228">
        <v>0.00012999999999999999</v>
      </c>
      <c r="R327" s="228">
        <f>Q327*H327</f>
        <v>0.23856949999999999</v>
      </c>
      <c r="S327" s="228">
        <v>0</v>
      </c>
      <c r="T327" s="229">
        <f>S327*H327</f>
        <v>0</v>
      </c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R327" s="230" t="s">
        <v>163</v>
      </c>
      <c r="AT327" s="230" t="s">
        <v>159</v>
      </c>
      <c r="AU327" s="230" t="s">
        <v>86</v>
      </c>
      <c r="AY327" s="16" t="s">
        <v>157</v>
      </c>
      <c r="BE327" s="231">
        <f>IF(N327="základní",J327,0)</f>
        <v>0</v>
      </c>
      <c r="BF327" s="231">
        <f>IF(N327="snížená",J327,0)</f>
        <v>0</v>
      </c>
      <c r="BG327" s="231">
        <f>IF(N327="zákl. přenesená",J327,0)</f>
        <v>0</v>
      </c>
      <c r="BH327" s="231">
        <f>IF(N327="sníž. přenesená",J327,0)</f>
        <v>0</v>
      </c>
      <c r="BI327" s="231">
        <f>IF(N327="nulová",J327,0)</f>
        <v>0</v>
      </c>
      <c r="BJ327" s="16" t="s">
        <v>8</v>
      </c>
      <c r="BK327" s="231">
        <f>ROUND(I327*H327,0)</f>
        <v>0</v>
      </c>
      <c r="BL327" s="16" t="s">
        <v>163</v>
      </c>
      <c r="BM327" s="230" t="s">
        <v>535</v>
      </c>
    </row>
    <row r="328" s="13" customFormat="1">
      <c r="A328" s="13"/>
      <c r="B328" s="232"/>
      <c r="C328" s="233"/>
      <c r="D328" s="234" t="s">
        <v>165</v>
      </c>
      <c r="E328" s="235" t="s">
        <v>1</v>
      </c>
      <c r="F328" s="236" t="s">
        <v>536</v>
      </c>
      <c r="G328" s="233"/>
      <c r="H328" s="237">
        <v>607.77999999999997</v>
      </c>
      <c r="I328" s="238"/>
      <c r="J328" s="233"/>
      <c r="K328" s="233"/>
      <c r="L328" s="239"/>
      <c r="M328" s="240"/>
      <c r="N328" s="241"/>
      <c r="O328" s="241"/>
      <c r="P328" s="241"/>
      <c r="Q328" s="241"/>
      <c r="R328" s="241"/>
      <c r="S328" s="241"/>
      <c r="T328" s="242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T328" s="243" t="s">
        <v>165</v>
      </c>
      <c r="AU328" s="243" t="s">
        <v>86</v>
      </c>
      <c r="AV328" s="13" t="s">
        <v>86</v>
      </c>
      <c r="AW328" s="13" t="s">
        <v>32</v>
      </c>
      <c r="AX328" s="13" t="s">
        <v>77</v>
      </c>
      <c r="AY328" s="243" t="s">
        <v>157</v>
      </c>
    </row>
    <row r="329" s="13" customFormat="1">
      <c r="A329" s="13"/>
      <c r="B329" s="232"/>
      <c r="C329" s="233"/>
      <c r="D329" s="234" t="s">
        <v>165</v>
      </c>
      <c r="E329" s="235" t="s">
        <v>1</v>
      </c>
      <c r="F329" s="236" t="s">
        <v>537</v>
      </c>
      <c r="G329" s="233"/>
      <c r="H329" s="237">
        <v>1135.1199999999999</v>
      </c>
      <c r="I329" s="238"/>
      <c r="J329" s="233"/>
      <c r="K329" s="233"/>
      <c r="L329" s="239"/>
      <c r="M329" s="240"/>
      <c r="N329" s="241"/>
      <c r="O329" s="241"/>
      <c r="P329" s="241"/>
      <c r="Q329" s="241"/>
      <c r="R329" s="241"/>
      <c r="S329" s="241"/>
      <c r="T329" s="242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T329" s="243" t="s">
        <v>165</v>
      </c>
      <c r="AU329" s="243" t="s">
        <v>86</v>
      </c>
      <c r="AV329" s="13" t="s">
        <v>86</v>
      </c>
      <c r="AW329" s="13" t="s">
        <v>32</v>
      </c>
      <c r="AX329" s="13" t="s">
        <v>77</v>
      </c>
      <c r="AY329" s="243" t="s">
        <v>157</v>
      </c>
    </row>
    <row r="330" s="13" customFormat="1">
      <c r="A330" s="13"/>
      <c r="B330" s="232"/>
      <c r="C330" s="233"/>
      <c r="D330" s="234" t="s">
        <v>165</v>
      </c>
      <c r="E330" s="235" t="s">
        <v>1</v>
      </c>
      <c r="F330" s="236" t="s">
        <v>538</v>
      </c>
      <c r="G330" s="233"/>
      <c r="H330" s="237">
        <v>92.25</v>
      </c>
      <c r="I330" s="238"/>
      <c r="J330" s="233"/>
      <c r="K330" s="233"/>
      <c r="L330" s="239"/>
      <c r="M330" s="240"/>
      <c r="N330" s="241"/>
      <c r="O330" s="241"/>
      <c r="P330" s="241"/>
      <c r="Q330" s="241"/>
      <c r="R330" s="241"/>
      <c r="S330" s="241"/>
      <c r="T330" s="242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T330" s="243" t="s">
        <v>165</v>
      </c>
      <c r="AU330" s="243" t="s">
        <v>86</v>
      </c>
      <c r="AV330" s="13" t="s">
        <v>86</v>
      </c>
      <c r="AW330" s="13" t="s">
        <v>32</v>
      </c>
      <c r="AX330" s="13" t="s">
        <v>77</v>
      </c>
      <c r="AY330" s="243" t="s">
        <v>157</v>
      </c>
    </row>
    <row r="331" s="2" customFormat="1" ht="33" customHeight="1">
      <c r="A331" s="37"/>
      <c r="B331" s="38"/>
      <c r="C331" s="218" t="s">
        <v>539</v>
      </c>
      <c r="D331" s="218" t="s">
        <v>159</v>
      </c>
      <c r="E331" s="219" t="s">
        <v>540</v>
      </c>
      <c r="F331" s="220" t="s">
        <v>541</v>
      </c>
      <c r="G331" s="221" t="s">
        <v>216</v>
      </c>
      <c r="H331" s="222">
        <v>1159.281</v>
      </c>
      <c r="I331" s="223"/>
      <c r="J331" s="224">
        <f>ROUND(I331*H331,0)</f>
        <v>0</v>
      </c>
      <c r="K331" s="225"/>
      <c r="L331" s="43"/>
      <c r="M331" s="226" t="s">
        <v>1</v>
      </c>
      <c r="N331" s="227" t="s">
        <v>42</v>
      </c>
      <c r="O331" s="90"/>
      <c r="P331" s="228">
        <f>O331*H331</f>
        <v>0</v>
      </c>
      <c r="Q331" s="228">
        <v>2.0000000000000002E-05</v>
      </c>
      <c r="R331" s="228">
        <f>Q331*H331</f>
        <v>0.023185620000000001</v>
      </c>
      <c r="S331" s="228">
        <v>0</v>
      </c>
      <c r="T331" s="229">
        <f>S331*H331</f>
        <v>0</v>
      </c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R331" s="230" t="s">
        <v>163</v>
      </c>
      <c r="AT331" s="230" t="s">
        <v>159</v>
      </c>
      <c r="AU331" s="230" t="s">
        <v>86</v>
      </c>
      <c r="AY331" s="16" t="s">
        <v>157</v>
      </c>
      <c r="BE331" s="231">
        <f>IF(N331="základní",J331,0)</f>
        <v>0</v>
      </c>
      <c r="BF331" s="231">
        <f>IF(N331="snížená",J331,0)</f>
        <v>0</v>
      </c>
      <c r="BG331" s="231">
        <f>IF(N331="zákl. přenesená",J331,0)</f>
        <v>0</v>
      </c>
      <c r="BH331" s="231">
        <f>IF(N331="sníž. přenesená",J331,0)</f>
        <v>0</v>
      </c>
      <c r="BI331" s="231">
        <f>IF(N331="nulová",J331,0)</f>
        <v>0</v>
      </c>
      <c r="BJ331" s="16" t="s">
        <v>8</v>
      </c>
      <c r="BK331" s="231">
        <f>ROUND(I331*H331,0)</f>
        <v>0</v>
      </c>
      <c r="BL331" s="16" t="s">
        <v>163</v>
      </c>
      <c r="BM331" s="230" t="s">
        <v>542</v>
      </c>
    </row>
    <row r="332" s="13" customFormat="1">
      <c r="A332" s="13"/>
      <c r="B332" s="232"/>
      <c r="C332" s="233"/>
      <c r="D332" s="234" t="s">
        <v>165</v>
      </c>
      <c r="E332" s="235" t="s">
        <v>1</v>
      </c>
      <c r="F332" s="236" t="s">
        <v>543</v>
      </c>
      <c r="G332" s="233"/>
      <c r="H332" s="237">
        <v>547.00199999999995</v>
      </c>
      <c r="I332" s="238"/>
      <c r="J332" s="233"/>
      <c r="K332" s="233"/>
      <c r="L332" s="239"/>
      <c r="M332" s="240"/>
      <c r="N332" s="241"/>
      <c r="O332" s="241"/>
      <c r="P332" s="241"/>
      <c r="Q332" s="241"/>
      <c r="R332" s="241"/>
      <c r="S332" s="241"/>
      <c r="T332" s="242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T332" s="243" t="s">
        <v>165</v>
      </c>
      <c r="AU332" s="243" t="s">
        <v>86</v>
      </c>
      <c r="AV332" s="13" t="s">
        <v>86</v>
      </c>
      <c r="AW332" s="13" t="s">
        <v>32</v>
      </c>
      <c r="AX332" s="13" t="s">
        <v>77</v>
      </c>
      <c r="AY332" s="243" t="s">
        <v>157</v>
      </c>
    </row>
    <row r="333" s="13" customFormat="1">
      <c r="A333" s="13"/>
      <c r="B333" s="232"/>
      <c r="C333" s="233"/>
      <c r="D333" s="234" t="s">
        <v>165</v>
      </c>
      <c r="E333" s="235" t="s">
        <v>1</v>
      </c>
      <c r="F333" s="236" t="s">
        <v>544</v>
      </c>
      <c r="G333" s="233"/>
      <c r="H333" s="237">
        <v>510.80399999999997</v>
      </c>
      <c r="I333" s="238"/>
      <c r="J333" s="233"/>
      <c r="K333" s="233"/>
      <c r="L333" s="239"/>
      <c r="M333" s="240"/>
      <c r="N333" s="241"/>
      <c r="O333" s="241"/>
      <c r="P333" s="241"/>
      <c r="Q333" s="241"/>
      <c r="R333" s="241"/>
      <c r="S333" s="241"/>
      <c r="T333" s="242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T333" s="243" t="s">
        <v>165</v>
      </c>
      <c r="AU333" s="243" t="s">
        <v>86</v>
      </c>
      <c r="AV333" s="13" t="s">
        <v>86</v>
      </c>
      <c r="AW333" s="13" t="s">
        <v>32</v>
      </c>
      <c r="AX333" s="13" t="s">
        <v>77</v>
      </c>
      <c r="AY333" s="243" t="s">
        <v>157</v>
      </c>
    </row>
    <row r="334" s="13" customFormat="1">
      <c r="A334" s="13"/>
      <c r="B334" s="232"/>
      <c r="C334" s="233"/>
      <c r="D334" s="234" t="s">
        <v>165</v>
      </c>
      <c r="E334" s="235" t="s">
        <v>1</v>
      </c>
      <c r="F334" s="236" t="s">
        <v>545</v>
      </c>
      <c r="G334" s="233"/>
      <c r="H334" s="237">
        <v>101.47499999999999</v>
      </c>
      <c r="I334" s="238"/>
      <c r="J334" s="233"/>
      <c r="K334" s="233"/>
      <c r="L334" s="239"/>
      <c r="M334" s="240"/>
      <c r="N334" s="241"/>
      <c r="O334" s="241"/>
      <c r="P334" s="241"/>
      <c r="Q334" s="241"/>
      <c r="R334" s="241"/>
      <c r="S334" s="241"/>
      <c r="T334" s="242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T334" s="243" t="s">
        <v>165</v>
      </c>
      <c r="AU334" s="243" t="s">
        <v>86</v>
      </c>
      <c r="AV334" s="13" t="s">
        <v>86</v>
      </c>
      <c r="AW334" s="13" t="s">
        <v>32</v>
      </c>
      <c r="AX334" s="13" t="s">
        <v>77</v>
      </c>
      <c r="AY334" s="243" t="s">
        <v>157</v>
      </c>
    </row>
    <row r="335" s="2" customFormat="1" ht="24.15" customHeight="1">
      <c r="A335" s="37"/>
      <c r="B335" s="38"/>
      <c r="C335" s="218" t="s">
        <v>546</v>
      </c>
      <c r="D335" s="218" t="s">
        <v>159</v>
      </c>
      <c r="E335" s="219" t="s">
        <v>547</v>
      </c>
      <c r="F335" s="220" t="s">
        <v>548</v>
      </c>
      <c r="G335" s="221" t="s">
        <v>162</v>
      </c>
      <c r="H335" s="222">
        <v>98.113</v>
      </c>
      <c r="I335" s="223"/>
      <c r="J335" s="224">
        <f>ROUND(I335*H335,0)</f>
        <v>0</v>
      </c>
      <c r="K335" s="225"/>
      <c r="L335" s="43"/>
      <c r="M335" s="226" t="s">
        <v>1</v>
      </c>
      <c r="N335" s="227" t="s">
        <v>42</v>
      </c>
      <c r="O335" s="90"/>
      <c r="P335" s="228">
        <f>O335*H335</f>
        <v>0</v>
      </c>
      <c r="Q335" s="228">
        <v>2.1600000000000001</v>
      </c>
      <c r="R335" s="228">
        <f>Q335*H335</f>
        <v>211.92408</v>
      </c>
      <c r="S335" s="228">
        <v>0</v>
      </c>
      <c r="T335" s="229">
        <f>S335*H335</f>
        <v>0</v>
      </c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R335" s="230" t="s">
        <v>163</v>
      </c>
      <c r="AT335" s="230" t="s">
        <v>159</v>
      </c>
      <c r="AU335" s="230" t="s">
        <v>86</v>
      </c>
      <c r="AY335" s="16" t="s">
        <v>157</v>
      </c>
      <c r="BE335" s="231">
        <f>IF(N335="základní",J335,0)</f>
        <v>0</v>
      </c>
      <c r="BF335" s="231">
        <f>IF(N335="snížená",J335,0)</f>
        <v>0</v>
      </c>
      <c r="BG335" s="231">
        <f>IF(N335="zákl. přenesená",J335,0)</f>
        <v>0</v>
      </c>
      <c r="BH335" s="231">
        <f>IF(N335="sníž. přenesená",J335,0)</f>
        <v>0</v>
      </c>
      <c r="BI335" s="231">
        <f>IF(N335="nulová",J335,0)</f>
        <v>0</v>
      </c>
      <c r="BJ335" s="16" t="s">
        <v>8</v>
      </c>
      <c r="BK335" s="231">
        <f>ROUND(I335*H335,0)</f>
        <v>0</v>
      </c>
      <c r="BL335" s="16" t="s">
        <v>163</v>
      </c>
      <c r="BM335" s="230" t="s">
        <v>549</v>
      </c>
    </row>
    <row r="336" s="13" customFormat="1">
      <c r="A336" s="13"/>
      <c r="B336" s="232"/>
      <c r="C336" s="233"/>
      <c r="D336" s="234" t="s">
        <v>165</v>
      </c>
      <c r="E336" s="235" t="s">
        <v>1</v>
      </c>
      <c r="F336" s="236" t="s">
        <v>550</v>
      </c>
      <c r="G336" s="233"/>
      <c r="H336" s="237">
        <v>98.113</v>
      </c>
      <c r="I336" s="238"/>
      <c r="J336" s="233"/>
      <c r="K336" s="233"/>
      <c r="L336" s="239"/>
      <c r="M336" s="240"/>
      <c r="N336" s="241"/>
      <c r="O336" s="241"/>
      <c r="P336" s="241"/>
      <c r="Q336" s="241"/>
      <c r="R336" s="241"/>
      <c r="S336" s="241"/>
      <c r="T336" s="242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T336" s="243" t="s">
        <v>165</v>
      </c>
      <c r="AU336" s="243" t="s">
        <v>86</v>
      </c>
      <c r="AV336" s="13" t="s">
        <v>86</v>
      </c>
      <c r="AW336" s="13" t="s">
        <v>32</v>
      </c>
      <c r="AX336" s="13" t="s">
        <v>77</v>
      </c>
      <c r="AY336" s="243" t="s">
        <v>157</v>
      </c>
    </row>
    <row r="337" s="2" customFormat="1" ht="33" customHeight="1">
      <c r="A337" s="37"/>
      <c r="B337" s="38"/>
      <c r="C337" s="218" t="s">
        <v>551</v>
      </c>
      <c r="D337" s="218" t="s">
        <v>159</v>
      </c>
      <c r="E337" s="219" t="s">
        <v>552</v>
      </c>
      <c r="F337" s="220" t="s">
        <v>553</v>
      </c>
      <c r="G337" s="221" t="s">
        <v>209</v>
      </c>
      <c r="H337" s="222">
        <v>29.039999999999999</v>
      </c>
      <c r="I337" s="223"/>
      <c r="J337" s="224">
        <f>ROUND(I337*H337,0)</f>
        <v>0</v>
      </c>
      <c r="K337" s="225"/>
      <c r="L337" s="43"/>
      <c r="M337" s="226" t="s">
        <v>1</v>
      </c>
      <c r="N337" s="227" t="s">
        <v>42</v>
      </c>
      <c r="O337" s="90"/>
      <c r="P337" s="228">
        <f>O337*H337</f>
        <v>0</v>
      </c>
      <c r="Q337" s="228">
        <v>0.0023999999999999998</v>
      </c>
      <c r="R337" s="228">
        <f>Q337*H337</f>
        <v>0.069695999999999994</v>
      </c>
      <c r="S337" s="228">
        <v>0</v>
      </c>
      <c r="T337" s="229">
        <f>S337*H337</f>
        <v>0</v>
      </c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R337" s="230" t="s">
        <v>163</v>
      </c>
      <c r="AT337" s="230" t="s">
        <v>159</v>
      </c>
      <c r="AU337" s="230" t="s">
        <v>86</v>
      </c>
      <c r="AY337" s="16" t="s">
        <v>157</v>
      </c>
      <c r="BE337" s="231">
        <f>IF(N337="základní",J337,0)</f>
        <v>0</v>
      </c>
      <c r="BF337" s="231">
        <f>IF(N337="snížená",J337,0)</f>
        <v>0</v>
      </c>
      <c r="BG337" s="231">
        <f>IF(N337="zákl. přenesená",J337,0)</f>
        <v>0</v>
      </c>
      <c r="BH337" s="231">
        <f>IF(N337="sníž. přenesená",J337,0)</f>
        <v>0</v>
      </c>
      <c r="BI337" s="231">
        <f>IF(N337="nulová",J337,0)</f>
        <v>0</v>
      </c>
      <c r="BJ337" s="16" t="s">
        <v>8</v>
      </c>
      <c r="BK337" s="231">
        <f>ROUND(I337*H337,0)</f>
        <v>0</v>
      </c>
      <c r="BL337" s="16" t="s">
        <v>163</v>
      </c>
      <c r="BM337" s="230" t="s">
        <v>554</v>
      </c>
    </row>
    <row r="338" s="13" customFormat="1">
      <c r="A338" s="13"/>
      <c r="B338" s="232"/>
      <c r="C338" s="233"/>
      <c r="D338" s="234" t="s">
        <v>165</v>
      </c>
      <c r="E338" s="235" t="s">
        <v>1</v>
      </c>
      <c r="F338" s="236" t="s">
        <v>555</v>
      </c>
      <c r="G338" s="233"/>
      <c r="H338" s="237">
        <v>29.039999999999999</v>
      </c>
      <c r="I338" s="238"/>
      <c r="J338" s="233"/>
      <c r="K338" s="233"/>
      <c r="L338" s="239"/>
      <c r="M338" s="240"/>
      <c r="N338" s="241"/>
      <c r="O338" s="241"/>
      <c r="P338" s="241"/>
      <c r="Q338" s="241"/>
      <c r="R338" s="241"/>
      <c r="S338" s="241"/>
      <c r="T338" s="242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T338" s="243" t="s">
        <v>165</v>
      </c>
      <c r="AU338" s="243" t="s">
        <v>86</v>
      </c>
      <c r="AV338" s="13" t="s">
        <v>86</v>
      </c>
      <c r="AW338" s="13" t="s">
        <v>32</v>
      </c>
      <c r="AX338" s="13" t="s">
        <v>77</v>
      </c>
      <c r="AY338" s="243" t="s">
        <v>157</v>
      </c>
    </row>
    <row r="339" s="2" customFormat="1" ht="24.15" customHeight="1">
      <c r="A339" s="37"/>
      <c r="B339" s="38"/>
      <c r="C339" s="254" t="s">
        <v>556</v>
      </c>
      <c r="D339" s="254" t="s">
        <v>229</v>
      </c>
      <c r="E339" s="255" t="s">
        <v>557</v>
      </c>
      <c r="F339" s="256" t="s">
        <v>558</v>
      </c>
      <c r="G339" s="257" t="s">
        <v>209</v>
      </c>
      <c r="H339" s="258">
        <v>29.620999999999999</v>
      </c>
      <c r="I339" s="259"/>
      <c r="J339" s="260">
        <f>ROUND(I339*H339,0)</f>
        <v>0</v>
      </c>
      <c r="K339" s="261"/>
      <c r="L339" s="262"/>
      <c r="M339" s="263" t="s">
        <v>1</v>
      </c>
      <c r="N339" s="264" t="s">
        <v>42</v>
      </c>
      <c r="O339" s="90"/>
      <c r="P339" s="228">
        <f>O339*H339</f>
        <v>0</v>
      </c>
      <c r="Q339" s="228">
        <v>0.13500000000000001</v>
      </c>
      <c r="R339" s="228">
        <f>Q339*H339</f>
        <v>3.9988350000000001</v>
      </c>
      <c r="S339" s="228">
        <v>0</v>
      </c>
      <c r="T339" s="229">
        <f>S339*H339</f>
        <v>0</v>
      </c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R339" s="230" t="s">
        <v>200</v>
      </c>
      <c r="AT339" s="230" t="s">
        <v>229</v>
      </c>
      <c r="AU339" s="230" t="s">
        <v>86</v>
      </c>
      <c r="AY339" s="16" t="s">
        <v>157</v>
      </c>
      <c r="BE339" s="231">
        <f>IF(N339="základní",J339,0)</f>
        <v>0</v>
      </c>
      <c r="BF339" s="231">
        <f>IF(N339="snížená",J339,0)</f>
        <v>0</v>
      </c>
      <c r="BG339" s="231">
        <f>IF(N339="zákl. přenesená",J339,0)</f>
        <v>0</v>
      </c>
      <c r="BH339" s="231">
        <f>IF(N339="sníž. přenesená",J339,0)</f>
        <v>0</v>
      </c>
      <c r="BI339" s="231">
        <f>IF(N339="nulová",J339,0)</f>
        <v>0</v>
      </c>
      <c r="BJ339" s="16" t="s">
        <v>8</v>
      </c>
      <c r="BK339" s="231">
        <f>ROUND(I339*H339,0)</f>
        <v>0</v>
      </c>
      <c r="BL339" s="16" t="s">
        <v>163</v>
      </c>
      <c r="BM339" s="230" t="s">
        <v>559</v>
      </c>
    </row>
    <row r="340" s="13" customFormat="1">
      <c r="A340" s="13"/>
      <c r="B340" s="232"/>
      <c r="C340" s="233"/>
      <c r="D340" s="234" t="s">
        <v>165</v>
      </c>
      <c r="E340" s="235" t="s">
        <v>1</v>
      </c>
      <c r="F340" s="236" t="s">
        <v>560</v>
      </c>
      <c r="G340" s="233"/>
      <c r="H340" s="237">
        <v>29.039999999999999</v>
      </c>
      <c r="I340" s="238"/>
      <c r="J340" s="233"/>
      <c r="K340" s="233"/>
      <c r="L340" s="239"/>
      <c r="M340" s="240"/>
      <c r="N340" s="241"/>
      <c r="O340" s="241"/>
      <c r="P340" s="241"/>
      <c r="Q340" s="241"/>
      <c r="R340" s="241"/>
      <c r="S340" s="241"/>
      <c r="T340" s="242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T340" s="243" t="s">
        <v>165</v>
      </c>
      <c r="AU340" s="243" t="s">
        <v>86</v>
      </c>
      <c r="AV340" s="13" t="s">
        <v>86</v>
      </c>
      <c r="AW340" s="13" t="s">
        <v>32</v>
      </c>
      <c r="AX340" s="13" t="s">
        <v>8</v>
      </c>
      <c r="AY340" s="243" t="s">
        <v>157</v>
      </c>
    </row>
    <row r="341" s="13" customFormat="1">
      <c r="A341" s="13"/>
      <c r="B341" s="232"/>
      <c r="C341" s="233"/>
      <c r="D341" s="234" t="s">
        <v>165</v>
      </c>
      <c r="E341" s="233"/>
      <c r="F341" s="236" t="s">
        <v>561</v>
      </c>
      <c r="G341" s="233"/>
      <c r="H341" s="237">
        <v>29.620999999999999</v>
      </c>
      <c r="I341" s="238"/>
      <c r="J341" s="233"/>
      <c r="K341" s="233"/>
      <c r="L341" s="239"/>
      <c r="M341" s="240"/>
      <c r="N341" s="241"/>
      <c r="O341" s="241"/>
      <c r="P341" s="241"/>
      <c r="Q341" s="241"/>
      <c r="R341" s="241"/>
      <c r="S341" s="241"/>
      <c r="T341" s="242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T341" s="243" t="s">
        <v>165</v>
      </c>
      <c r="AU341" s="243" t="s">
        <v>86</v>
      </c>
      <c r="AV341" s="13" t="s">
        <v>86</v>
      </c>
      <c r="AW341" s="13" t="s">
        <v>4</v>
      </c>
      <c r="AX341" s="13" t="s">
        <v>8</v>
      </c>
      <c r="AY341" s="243" t="s">
        <v>157</v>
      </c>
    </row>
    <row r="342" s="2" customFormat="1" ht="24.15" customHeight="1">
      <c r="A342" s="37"/>
      <c r="B342" s="38"/>
      <c r="C342" s="218" t="s">
        <v>562</v>
      </c>
      <c r="D342" s="218" t="s">
        <v>159</v>
      </c>
      <c r="E342" s="219" t="s">
        <v>563</v>
      </c>
      <c r="F342" s="220" t="s">
        <v>564</v>
      </c>
      <c r="G342" s="221" t="s">
        <v>565</v>
      </c>
      <c r="H342" s="222">
        <v>57</v>
      </c>
      <c r="I342" s="223"/>
      <c r="J342" s="224">
        <f>ROUND(I342*H342,0)</f>
        <v>0</v>
      </c>
      <c r="K342" s="225"/>
      <c r="L342" s="43"/>
      <c r="M342" s="226" t="s">
        <v>1</v>
      </c>
      <c r="N342" s="227" t="s">
        <v>42</v>
      </c>
      <c r="O342" s="90"/>
      <c r="P342" s="228">
        <f>O342*H342</f>
        <v>0</v>
      </c>
      <c r="Q342" s="228">
        <v>0.017770000000000001</v>
      </c>
      <c r="R342" s="228">
        <f>Q342*H342</f>
        <v>1.0128900000000001</v>
      </c>
      <c r="S342" s="228">
        <v>0</v>
      </c>
      <c r="T342" s="229">
        <f>S342*H342</f>
        <v>0</v>
      </c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R342" s="230" t="s">
        <v>163</v>
      </c>
      <c r="AT342" s="230" t="s">
        <v>159</v>
      </c>
      <c r="AU342" s="230" t="s">
        <v>86</v>
      </c>
      <c r="AY342" s="16" t="s">
        <v>157</v>
      </c>
      <c r="BE342" s="231">
        <f>IF(N342="základní",J342,0)</f>
        <v>0</v>
      </c>
      <c r="BF342" s="231">
        <f>IF(N342="snížená",J342,0)</f>
        <v>0</v>
      </c>
      <c r="BG342" s="231">
        <f>IF(N342="zákl. přenesená",J342,0)</f>
        <v>0</v>
      </c>
      <c r="BH342" s="231">
        <f>IF(N342="sníž. přenesená",J342,0)</f>
        <v>0</v>
      </c>
      <c r="BI342" s="231">
        <f>IF(N342="nulová",J342,0)</f>
        <v>0</v>
      </c>
      <c r="BJ342" s="16" t="s">
        <v>8</v>
      </c>
      <c r="BK342" s="231">
        <f>ROUND(I342*H342,0)</f>
        <v>0</v>
      </c>
      <c r="BL342" s="16" t="s">
        <v>163</v>
      </c>
      <c r="BM342" s="230" t="s">
        <v>566</v>
      </c>
    </row>
    <row r="343" s="13" customFormat="1">
      <c r="A343" s="13"/>
      <c r="B343" s="232"/>
      <c r="C343" s="233"/>
      <c r="D343" s="234" t="s">
        <v>165</v>
      </c>
      <c r="E343" s="235" t="s">
        <v>1</v>
      </c>
      <c r="F343" s="236" t="s">
        <v>567</v>
      </c>
      <c r="G343" s="233"/>
      <c r="H343" s="237">
        <v>22</v>
      </c>
      <c r="I343" s="238"/>
      <c r="J343" s="233"/>
      <c r="K343" s="233"/>
      <c r="L343" s="239"/>
      <c r="M343" s="240"/>
      <c r="N343" s="241"/>
      <c r="O343" s="241"/>
      <c r="P343" s="241"/>
      <c r="Q343" s="241"/>
      <c r="R343" s="241"/>
      <c r="S343" s="241"/>
      <c r="T343" s="242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T343" s="243" t="s">
        <v>165</v>
      </c>
      <c r="AU343" s="243" t="s">
        <v>86</v>
      </c>
      <c r="AV343" s="13" t="s">
        <v>86</v>
      </c>
      <c r="AW343" s="13" t="s">
        <v>32</v>
      </c>
      <c r="AX343" s="13" t="s">
        <v>77</v>
      </c>
      <c r="AY343" s="243" t="s">
        <v>157</v>
      </c>
    </row>
    <row r="344" s="13" customFormat="1">
      <c r="A344" s="13"/>
      <c r="B344" s="232"/>
      <c r="C344" s="233"/>
      <c r="D344" s="234" t="s">
        <v>165</v>
      </c>
      <c r="E344" s="235" t="s">
        <v>1</v>
      </c>
      <c r="F344" s="236" t="s">
        <v>568</v>
      </c>
      <c r="G344" s="233"/>
      <c r="H344" s="237">
        <v>32</v>
      </c>
      <c r="I344" s="238"/>
      <c r="J344" s="233"/>
      <c r="K344" s="233"/>
      <c r="L344" s="239"/>
      <c r="M344" s="240"/>
      <c r="N344" s="241"/>
      <c r="O344" s="241"/>
      <c r="P344" s="241"/>
      <c r="Q344" s="241"/>
      <c r="R344" s="241"/>
      <c r="S344" s="241"/>
      <c r="T344" s="242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T344" s="243" t="s">
        <v>165</v>
      </c>
      <c r="AU344" s="243" t="s">
        <v>86</v>
      </c>
      <c r="AV344" s="13" t="s">
        <v>86</v>
      </c>
      <c r="AW344" s="13" t="s">
        <v>32</v>
      </c>
      <c r="AX344" s="13" t="s">
        <v>77</v>
      </c>
      <c r="AY344" s="243" t="s">
        <v>157</v>
      </c>
    </row>
    <row r="345" s="13" customFormat="1">
      <c r="A345" s="13"/>
      <c r="B345" s="232"/>
      <c r="C345" s="233"/>
      <c r="D345" s="234" t="s">
        <v>165</v>
      </c>
      <c r="E345" s="235" t="s">
        <v>1</v>
      </c>
      <c r="F345" s="236" t="s">
        <v>569</v>
      </c>
      <c r="G345" s="233"/>
      <c r="H345" s="237">
        <v>2</v>
      </c>
      <c r="I345" s="238"/>
      <c r="J345" s="233"/>
      <c r="K345" s="233"/>
      <c r="L345" s="239"/>
      <c r="M345" s="240"/>
      <c r="N345" s="241"/>
      <c r="O345" s="241"/>
      <c r="P345" s="241"/>
      <c r="Q345" s="241"/>
      <c r="R345" s="241"/>
      <c r="S345" s="241"/>
      <c r="T345" s="242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T345" s="243" t="s">
        <v>165</v>
      </c>
      <c r="AU345" s="243" t="s">
        <v>86</v>
      </c>
      <c r="AV345" s="13" t="s">
        <v>86</v>
      </c>
      <c r="AW345" s="13" t="s">
        <v>32</v>
      </c>
      <c r="AX345" s="13" t="s">
        <v>77</v>
      </c>
      <c r="AY345" s="243" t="s">
        <v>157</v>
      </c>
    </row>
    <row r="346" s="13" customFormat="1">
      <c r="A346" s="13"/>
      <c r="B346" s="232"/>
      <c r="C346" s="233"/>
      <c r="D346" s="234" t="s">
        <v>165</v>
      </c>
      <c r="E346" s="235" t="s">
        <v>1</v>
      </c>
      <c r="F346" s="236" t="s">
        <v>570</v>
      </c>
      <c r="G346" s="233"/>
      <c r="H346" s="237">
        <v>1</v>
      </c>
      <c r="I346" s="238"/>
      <c r="J346" s="233"/>
      <c r="K346" s="233"/>
      <c r="L346" s="239"/>
      <c r="M346" s="240"/>
      <c r="N346" s="241"/>
      <c r="O346" s="241"/>
      <c r="P346" s="241"/>
      <c r="Q346" s="241"/>
      <c r="R346" s="241"/>
      <c r="S346" s="241"/>
      <c r="T346" s="242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T346" s="243" t="s">
        <v>165</v>
      </c>
      <c r="AU346" s="243" t="s">
        <v>86</v>
      </c>
      <c r="AV346" s="13" t="s">
        <v>86</v>
      </c>
      <c r="AW346" s="13" t="s">
        <v>32</v>
      </c>
      <c r="AX346" s="13" t="s">
        <v>77</v>
      </c>
      <c r="AY346" s="243" t="s">
        <v>157</v>
      </c>
    </row>
    <row r="347" s="2" customFormat="1" ht="24.15" customHeight="1">
      <c r="A347" s="37"/>
      <c r="B347" s="38"/>
      <c r="C347" s="254" t="s">
        <v>571</v>
      </c>
      <c r="D347" s="254" t="s">
        <v>229</v>
      </c>
      <c r="E347" s="255" t="s">
        <v>572</v>
      </c>
      <c r="F347" s="256" t="s">
        <v>573</v>
      </c>
      <c r="G347" s="257" t="s">
        <v>353</v>
      </c>
      <c r="H347" s="258">
        <v>57</v>
      </c>
      <c r="I347" s="259"/>
      <c r="J347" s="260">
        <f>ROUND(I347*H347,0)</f>
        <v>0</v>
      </c>
      <c r="K347" s="261"/>
      <c r="L347" s="262"/>
      <c r="M347" s="263" t="s">
        <v>1</v>
      </c>
      <c r="N347" s="264" t="s">
        <v>42</v>
      </c>
      <c r="O347" s="90"/>
      <c r="P347" s="228">
        <f>O347*H347</f>
        <v>0</v>
      </c>
      <c r="Q347" s="228">
        <v>0</v>
      </c>
      <c r="R347" s="228">
        <f>Q347*H347</f>
        <v>0</v>
      </c>
      <c r="S347" s="228">
        <v>0</v>
      </c>
      <c r="T347" s="229">
        <f>S347*H347</f>
        <v>0</v>
      </c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R347" s="230" t="s">
        <v>200</v>
      </c>
      <c r="AT347" s="230" t="s">
        <v>229</v>
      </c>
      <c r="AU347" s="230" t="s">
        <v>86</v>
      </c>
      <c r="AY347" s="16" t="s">
        <v>157</v>
      </c>
      <c r="BE347" s="231">
        <f>IF(N347="základní",J347,0)</f>
        <v>0</v>
      </c>
      <c r="BF347" s="231">
        <f>IF(N347="snížená",J347,0)</f>
        <v>0</v>
      </c>
      <c r="BG347" s="231">
        <f>IF(N347="zákl. přenesená",J347,0)</f>
        <v>0</v>
      </c>
      <c r="BH347" s="231">
        <f>IF(N347="sníž. přenesená",J347,0)</f>
        <v>0</v>
      </c>
      <c r="BI347" s="231">
        <f>IF(N347="nulová",J347,0)</f>
        <v>0</v>
      </c>
      <c r="BJ347" s="16" t="s">
        <v>8</v>
      </c>
      <c r="BK347" s="231">
        <f>ROUND(I347*H347,0)</f>
        <v>0</v>
      </c>
      <c r="BL347" s="16" t="s">
        <v>163</v>
      </c>
      <c r="BM347" s="230" t="s">
        <v>574</v>
      </c>
    </row>
    <row r="348" s="2" customFormat="1" ht="24.15" customHeight="1">
      <c r="A348" s="37"/>
      <c r="B348" s="38"/>
      <c r="C348" s="218" t="s">
        <v>575</v>
      </c>
      <c r="D348" s="218" t="s">
        <v>159</v>
      </c>
      <c r="E348" s="219" t="s">
        <v>576</v>
      </c>
      <c r="F348" s="220" t="s">
        <v>577</v>
      </c>
      <c r="G348" s="221" t="s">
        <v>565</v>
      </c>
      <c r="H348" s="222">
        <v>10</v>
      </c>
      <c r="I348" s="223"/>
      <c r="J348" s="224">
        <f>ROUND(I348*H348,0)</f>
        <v>0</v>
      </c>
      <c r="K348" s="225"/>
      <c r="L348" s="43"/>
      <c r="M348" s="226" t="s">
        <v>1</v>
      </c>
      <c r="N348" s="227" t="s">
        <v>42</v>
      </c>
      <c r="O348" s="90"/>
      <c r="P348" s="228">
        <f>O348*H348</f>
        <v>0</v>
      </c>
      <c r="Q348" s="228">
        <v>0.42153000000000002</v>
      </c>
      <c r="R348" s="228">
        <f>Q348*H348</f>
        <v>4.2153</v>
      </c>
      <c r="S348" s="228">
        <v>0</v>
      </c>
      <c r="T348" s="229">
        <f>S348*H348</f>
        <v>0</v>
      </c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R348" s="230" t="s">
        <v>163</v>
      </c>
      <c r="AT348" s="230" t="s">
        <v>159</v>
      </c>
      <c r="AU348" s="230" t="s">
        <v>86</v>
      </c>
      <c r="AY348" s="16" t="s">
        <v>157</v>
      </c>
      <c r="BE348" s="231">
        <f>IF(N348="základní",J348,0)</f>
        <v>0</v>
      </c>
      <c r="BF348" s="231">
        <f>IF(N348="snížená",J348,0)</f>
        <v>0</v>
      </c>
      <c r="BG348" s="231">
        <f>IF(N348="zákl. přenesená",J348,0)</f>
        <v>0</v>
      </c>
      <c r="BH348" s="231">
        <f>IF(N348="sníž. přenesená",J348,0)</f>
        <v>0</v>
      </c>
      <c r="BI348" s="231">
        <f>IF(N348="nulová",J348,0)</f>
        <v>0</v>
      </c>
      <c r="BJ348" s="16" t="s">
        <v>8</v>
      </c>
      <c r="BK348" s="231">
        <f>ROUND(I348*H348,0)</f>
        <v>0</v>
      </c>
      <c r="BL348" s="16" t="s">
        <v>163</v>
      </c>
      <c r="BM348" s="230" t="s">
        <v>578</v>
      </c>
    </row>
    <row r="349" s="13" customFormat="1">
      <c r="A349" s="13"/>
      <c r="B349" s="232"/>
      <c r="C349" s="233"/>
      <c r="D349" s="234" t="s">
        <v>165</v>
      </c>
      <c r="E349" s="235" t="s">
        <v>1</v>
      </c>
      <c r="F349" s="236" t="s">
        <v>579</v>
      </c>
      <c r="G349" s="233"/>
      <c r="H349" s="237">
        <v>1</v>
      </c>
      <c r="I349" s="238"/>
      <c r="J349" s="233"/>
      <c r="K349" s="233"/>
      <c r="L349" s="239"/>
      <c r="M349" s="240"/>
      <c r="N349" s="241"/>
      <c r="O349" s="241"/>
      <c r="P349" s="241"/>
      <c r="Q349" s="241"/>
      <c r="R349" s="241"/>
      <c r="S349" s="241"/>
      <c r="T349" s="242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T349" s="243" t="s">
        <v>165</v>
      </c>
      <c r="AU349" s="243" t="s">
        <v>86</v>
      </c>
      <c r="AV349" s="13" t="s">
        <v>86</v>
      </c>
      <c r="AW349" s="13" t="s">
        <v>32</v>
      </c>
      <c r="AX349" s="13" t="s">
        <v>77</v>
      </c>
      <c r="AY349" s="243" t="s">
        <v>157</v>
      </c>
    </row>
    <row r="350" s="13" customFormat="1">
      <c r="A350" s="13"/>
      <c r="B350" s="232"/>
      <c r="C350" s="233"/>
      <c r="D350" s="234" t="s">
        <v>165</v>
      </c>
      <c r="E350" s="235" t="s">
        <v>1</v>
      </c>
      <c r="F350" s="236" t="s">
        <v>580</v>
      </c>
      <c r="G350" s="233"/>
      <c r="H350" s="237">
        <v>1</v>
      </c>
      <c r="I350" s="238"/>
      <c r="J350" s="233"/>
      <c r="K350" s="233"/>
      <c r="L350" s="239"/>
      <c r="M350" s="240"/>
      <c r="N350" s="241"/>
      <c r="O350" s="241"/>
      <c r="P350" s="241"/>
      <c r="Q350" s="241"/>
      <c r="R350" s="241"/>
      <c r="S350" s="241"/>
      <c r="T350" s="242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T350" s="243" t="s">
        <v>165</v>
      </c>
      <c r="AU350" s="243" t="s">
        <v>86</v>
      </c>
      <c r="AV350" s="13" t="s">
        <v>86</v>
      </c>
      <c r="AW350" s="13" t="s">
        <v>32</v>
      </c>
      <c r="AX350" s="13" t="s">
        <v>77</v>
      </c>
      <c r="AY350" s="243" t="s">
        <v>157</v>
      </c>
    </row>
    <row r="351" s="13" customFormat="1">
      <c r="A351" s="13"/>
      <c r="B351" s="232"/>
      <c r="C351" s="233"/>
      <c r="D351" s="234" t="s">
        <v>165</v>
      </c>
      <c r="E351" s="235" t="s">
        <v>1</v>
      </c>
      <c r="F351" s="236" t="s">
        <v>581</v>
      </c>
      <c r="G351" s="233"/>
      <c r="H351" s="237">
        <v>7</v>
      </c>
      <c r="I351" s="238"/>
      <c r="J351" s="233"/>
      <c r="K351" s="233"/>
      <c r="L351" s="239"/>
      <c r="M351" s="240"/>
      <c r="N351" s="241"/>
      <c r="O351" s="241"/>
      <c r="P351" s="241"/>
      <c r="Q351" s="241"/>
      <c r="R351" s="241"/>
      <c r="S351" s="241"/>
      <c r="T351" s="242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T351" s="243" t="s">
        <v>165</v>
      </c>
      <c r="AU351" s="243" t="s">
        <v>86</v>
      </c>
      <c r="AV351" s="13" t="s">
        <v>86</v>
      </c>
      <c r="AW351" s="13" t="s">
        <v>32</v>
      </c>
      <c r="AX351" s="13" t="s">
        <v>77</v>
      </c>
      <c r="AY351" s="243" t="s">
        <v>157</v>
      </c>
    </row>
    <row r="352" s="13" customFormat="1">
      <c r="A352" s="13"/>
      <c r="B352" s="232"/>
      <c r="C352" s="233"/>
      <c r="D352" s="234" t="s">
        <v>165</v>
      </c>
      <c r="E352" s="235" t="s">
        <v>1</v>
      </c>
      <c r="F352" s="236" t="s">
        <v>582</v>
      </c>
      <c r="G352" s="233"/>
      <c r="H352" s="237">
        <v>1</v>
      </c>
      <c r="I352" s="238"/>
      <c r="J352" s="233"/>
      <c r="K352" s="233"/>
      <c r="L352" s="239"/>
      <c r="M352" s="240"/>
      <c r="N352" s="241"/>
      <c r="O352" s="241"/>
      <c r="P352" s="241"/>
      <c r="Q352" s="241"/>
      <c r="R352" s="241"/>
      <c r="S352" s="241"/>
      <c r="T352" s="242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T352" s="243" t="s">
        <v>165</v>
      </c>
      <c r="AU352" s="243" t="s">
        <v>86</v>
      </c>
      <c r="AV352" s="13" t="s">
        <v>86</v>
      </c>
      <c r="AW352" s="13" t="s">
        <v>32</v>
      </c>
      <c r="AX352" s="13" t="s">
        <v>77</v>
      </c>
      <c r="AY352" s="243" t="s">
        <v>157</v>
      </c>
    </row>
    <row r="353" s="2" customFormat="1" ht="33" customHeight="1">
      <c r="A353" s="37"/>
      <c r="B353" s="38"/>
      <c r="C353" s="254" t="s">
        <v>583</v>
      </c>
      <c r="D353" s="254" t="s">
        <v>229</v>
      </c>
      <c r="E353" s="255" t="s">
        <v>584</v>
      </c>
      <c r="F353" s="256" t="s">
        <v>585</v>
      </c>
      <c r="G353" s="257" t="s">
        <v>353</v>
      </c>
      <c r="H353" s="258">
        <v>10</v>
      </c>
      <c r="I353" s="259"/>
      <c r="J353" s="260">
        <f>ROUND(I353*H353,0)</f>
        <v>0</v>
      </c>
      <c r="K353" s="261"/>
      <c r="L353" s="262"/>
      <c r="M353" s="263" t="s">
        <v>1</v>
      </c>
      <c r="N353" s="264" t="s">
        <v>42</v>
      </c>
      <c r="O353" s="90"/>
      <c r="P353" s="228">
        <f>O353*H353</f>
        <v>0</v>
      </c>
      <c r="Q353" s="228">
        <v>0</v>
      </c>
      <c r="R353" s="228">
        <f>Q353*H353</f>
        <v>0</v>
      </c>
      <c r="S353" s="228">
        <v>0</v>
      </c>
      <c r="T353" s="229">
        <f>S353*H353</f>
        <v>0</v>
      </c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R353" s="230" t="s">
        <v>200</v>
      </c>
      <c r="AT353" s="230" t="s">
        <v>229</v>
      </c>
      <c r="AU353" s="230" t="s">
        <v>86</v>
      </c>
      <c r="AY353" s="16" t="s">
        <v>157</v>
      </c>
      <c r="BE353" s="231">
        <f>IF(N353="základní",J353,0)</f>
        <v>0</v>
      </c>
      <c r="BF353" s="231">
        <f>IF(N353="snížená",J353,0)</f>
        <v>0</v>
      </c>
      <c r="BG353" s="231">
        <f>IF(N353="zákl. přenesená",J353,0)</f>
        <v>0</v>
      </c>
      <c r="BH353" s="231">
        <f>IF(N353="sníž. přenesená",J353,0)</f>
        <v>0</v>
      </c>
      <c r="BI353" s="231">
        <f>IF(N353="nulová",J353,0)</f>
        <v>0</v>
      </c>
      <c r="BJ353" s="16" t="s">
        <v>8</v>
      </c>
      <c r="BK353" s="231">
        <f>ROUND(I353*H353,0)</f>
        <v>0</v>
      </c>
      <c r="BL353" s="16" t="s">
        <v>163</v>
      </c>
      <c r="BM353" s="230" t="s">
        <v>586</v>
      </c>
    </row>
    <row r="354" s="12" customFormat="1" ht="22.8" customHeight="1">
      <c r="A354" s="12"/>
      <c r="B354" s="202"/>
      <c r="C354" s="203"/>
      <c r="D354" s="204" t="s">
        <v>76</v>
      </c>
      <c r="E354" s="216" t="s">
        <v>206</v>
      </c>
      <c r="F354" s="216" t="s">
        <v>587</v>
      </c>
      <c r="G354" s="203"/>
      <c r="H354" s="203"/>
      <c r="I354" s="206"/>
      <c r="J354" s="217">
        <f>BK354</f>
        <v>0</v>
      </c>
      <c r="K354" s="203"/>
      <c r="L354" s="208"/>
      <c r="M354" s="209"/>
      <c r="N354" s="210"/>
      <c r="O354" s="210"/>
      <c r="P354" s="211">
        <f>SUM(P355:P371)</f>
        <v>0</v>
      </c>
      <c r="Q354" s="210"/>
      <c r="R354" s="211">
        <f>SUM(R355:R371)</f>
        <v>0.73163718000000011</v>
      </c>
      <c r="S354" s="210"/>
      <c r="T354" s="212">
        <f>SUM(T355:T371)</f>
        <v>0</v>
      </c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R354" s="213" t="s">
        <v>8</v>
      </c>
      <c r="AT354" s="214" t="s">
        <v>76</v>
      </c>
      <c r="AU354" s="214" t="s">
        <v>8</v>
      </c>
      <c r="AY354" s="213" t="s">
        <v>157</v>
      </c>
      <c r="BK354" s="215">
        <f>SUM(BK355:BK371)</f>
        <v>0</v>
      </c>
    </row>
    <row r="355" s="2" customFormat="1" ht="24.15" customHeight="1">
      <c r="A355" s="37"/>
      <c r="B355" s="38"/>
      <c r="C355" s="218" t="s">
        <v>588</v>
      </c>
      <c r="D355" s="218" t="s">
        <v>159</v>
      </c>
      <c r="E355" s="219" t="s">
        <v>589</v>
      </c>
      <c r="F355" s="220" t="s">
        <v>590</v>
      </c>
      <c r="G355" s="221" t="s">
        <v>591</v>
      </c>
      <c r="H355" s="222">
        <v>120</v>
      </c>
      <c r="I355" s="223"/>
      <c r="J355" s="224">
        <f>ROUND(I355*H355,0)</f>
        <v>0</v>
      </c>
      <c r="K355" s="225"/>
      <c r="L355" s="43"/>
      <c r="M355" s="226" t="s">
        <v>1</v>
      </c>
      <c r="N355" s="227" t="s">
        <v>42</v>
      </c>
      <c r="O355" s="90"/>
      <c r="P355" s="228">
        <f>O355*H355</f>
        <v>0</v>
      </c>
      <c r="Q355" s="228">
        <v>0</v>
      </c>
      <c r="R355" s="228">
        <f>Q355*H355</f>
        <v>0</v>
      </c>
      <c r="S355" s="228">
        <v>0</v>
      </c>
      <c r="T355" s="229">
        <f>S355*H355</f>
        <v>0</v>
      </c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R355" s="230" t="s">
        <v>163</v>
      </c>
      <c r="AT355" s="230" t="s">
        <v>159</v>
      </c>
      <c r="AU355" s="230" t="s">
        <v>86</v>
      </c>
      <c r="AY355" s="16" t="s">
        <v>157</v>
      </c>
      <c r="BE355" s="231">
        <f>IF(N355="základní",J355,0)</f>
        <v>0</v>
      </c>
      <c r="BF355" s="231">
        <f>IF(N355="snížená",J355,0)</f>
        <v>0</v>
      </c>
      <c r="BG355" s="231">
        <f>IF(N355="zákl. přenesená",J355,0)</f>
        <v>0</v>
      </c>
      <c r="BH355" s="231">
        <f>IF(N355="sníž. přenesená",J355,0)</f>
        <v>0</v>
      </c>
      <c r="BI355" s="231">
        <f>IF(N355="nulová",J355,0)</f>
        <v>0</v>
      </c>
      <c r="BJ355" s="16" t="s">
        <v>8</v>
      </c>
      <c r="BK355" s="231">
        <f>ROUND(I355*H355,0)</f>
        <v>0</v>
      </c>
      <c r="BL355" s="16" t="s">
        <v>163</v>
      </c>
      <c r="BM355" s="230" t="s">
        <v>592</v>
      </c>
    </row>
    <row r="356" s="13" customFormat="1">
      <c r="A356" s="13"/>
      <c r="B356" s="232"/>
      <c r="C356" s="233"/>
      <c r="D356" s="234" t="s">
        <v>165</v>
      </c>
      <c r="E356" s="235" t="s">
        <v>1</v>
      </c>
      <c r="F356" s="236" t="s">
        <v>593</v>
      </c>
      <c r="G356" s="233"/>
      <c r="H356" s="237">
        <v>120</v>
      </c>
      <c r="I356" s="238"/>
      <c r="J356" s="233"/>
      <c r="K356" s="233"/>
      <c r="L356" s="239"/>
      <c r="M356" s="240"/>
      <c r="N356" s="241"/>
      <c r="O356" s="241"/>
      <c r="P356" s="241"/>
      <c r="Q356" s="241"/>
      <c r="R356" s="241"/>
      <c r="S356" s="241"/>
      <c r="T356" s="242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T356" s="243" t="s">
        <v>165</v>
      </c>
      <c r="AU356" s="243" t="s">
        <v>86</v>
      </c>
      <c r="AV356" s="13" t="s">
        <v>86</v>
      </c>
      <c r="AW356" s="13" t="s">
        <v>32</v>
      </c>
      <c r="AX356" s="13" t="s">
        <v>77</v>
      </c>
      <c r="AY356" s="243" t="s">
        <v>157</v>
      </c>
    </row>
    <row r="357" s="2" customFormat="1" ht="33" customHeight="1">
      <c r="A357" s="37"/>
      <c r="B357" s="38"/>
      <c r="C357" s="218" t="s">
        <v>594</v>
      </c>
      <c r="D357" s="218" t="s">
        <v>159</v>
      </c>
      <c r="E357" s="219" t="s">
        <v>595</v>
      </c>
      <c r="F357" s="220" t="s">
        <v>596</v>
      </c>
      <c r="G357" s="221" t="s">
        <v>209</v>
      </c>
      <c r="H357" s="222">
        <v>990.84000000000003</v>
      </c>
      <c r="I357" s="223"/>
      <c r="J357" s="224">
        <f>ROUND(I357*H357,0)</f>
        <v>0</v>
      </c>
      <c r="K357" s="225"/>
      <c r="L357" s="43"/>
      <c r="M357" s="226" t="s">
        <v>1</v>
      </c>
      <c r="N357" s="227" t="s">
        <v>42</v>
      </c>
      <c r="O357" s="90"/>
      <c r="P357" s="228">
        <f>O357*H357</f>
        <v>0</v>
      </c>
      <c r="Q357" s="228">
        <v>0</v>
      </c>
      <c r="R357" s="228">
        <f>Q357*H357</f>
        <v>0</v>
      </c>
      <c r="S357" s="228">
        <v>0</v>
      </c>
      <c r="T357" s="229">
        <f>S357*H357</f>
        <v>0</v>
      </c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R357" s="230" t="s">
        <v>163</v>
      </c>
      <c r="AT357" s="230" t="s">
        <v>159</v>
      </c>
      <c r="AU357" s="230" t="s">
        <v>86</v>
      </c>
      <c r="AY357" s="16" t="s">
        <v>157</v>
      </c>
      <c r="BE357" s="231">
        <f>IF(N357="základní",J357,0)</f>
        <v>0</v>
      </c>
      <c r="BF357" s="231">
        <f>IF(N357="snížená",J357,0)</f>
        <v>0</v>
      </c>
      <c r="BG357" s="231">
        <f>IF(N357="zákl. přenesená",J357,0)</f>
        <v>0</v>
      </c>
      <c r="BH357" s="231">
        <f>IF(N357="sníž. přenesená",J357,0)</f>
        <v>0</v>
      </c>
      <c r="BI357" s="231">
        <f>IF(N357="nulová",J357,0)</f>
        <v>0</v>
      </c>
      <c r="BJ357" s="16" t="s">
        <v>8</v>
      </c>
      <c r="BK357" s="231">
        <f>ROUND(I357*H357,0)</f>
        <v>0</v>
      </c>
      <c r="BL357" s="16" t="s">
        <v>163</v>
      </c>
      <c r="BM357" s="230" t="s">
        <v>597</v>
      </c>
    </row>
    <row r="358" s="13" customFormat="1">
      <c r="A358" s="13"/>
      <c r="B358" s="232"/>
      <c r="C358" s="233"/>
      <c r="D358" s="234" t="s">
        <v>165</v>
      </c>
      <c r="E358" s="235" t="s">
        <v>1</v>
      </c>
      <c r="F358" s="236" t="s">
        <v>598</v>
      </c>
      <c r="G358" s="233"/>
      <c r="H358" s="237">
        <v>990.84000000000003</v>
      </c>
      <c r="I358" s="238"/>
      <c r="J358" s="233"/>
      <c r="K358" s="233"/>
      <c r="L358" s="239"/>
      <c r="M358" s="240"/>
      <c r="N358" s="241"/>
      <c r="O358" s="241"/>
      <c r="P358" s="241"/>
      <c r="Q358" s="241"/>
      <c r="R358" s="241"/>
      <c r="S358" s="241"/>
      <c r="T358" s="242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T358" s="243" t="s">
        <v>165</v>
      </c>
      <c r="AU358" s="243" t="s">
        <v>86</v>
      </c>
      <c r="AV358" s="13" t="s">
        <v>86</v>
      </c>
      <c r="AW358" s="13" t="s">
        <v>32</v>
      </c>
      <c r="AX358" s="13" t="s">
        <v>77</v>
      </c>
      <c r="AY358" s="243" t="s">
        <v>157</v>
      </c>
    </row>
    <row r="359" s="2" customFormat="1" ht="24.15" customHeight="1">
      <c r="A359" s="37"/>
      <c r="B359" s="38"/>
      <c r="C359" s="218" t="s">
        <v>599</v>
      </c>
      <c r="D359" s="218" t="s">
        <v>159</v>
      </c>
      <c r="E359" s="219" t="s">
        <v>600</v>
      </c>
      <c r="F359" s="220" t="s">
        <v>601</v>
      </c>
      <c r="G359" s="221" t="s">
        <v>209</v>
      </c>
      <c r="H359" s="222">
        <v>1238.55</v>
      </c>
      <c r="I359" s="223"/>
      <c r="J359" s="224">
        <f>ROUND(I359*H359,0)</f>
        <v>0</v>
      </c>
      <c r="K359" s="225"/>
      <c r="L359" s="43"/>
      <c r="M359" s="226" t="s">
        <v>1</v>
      </c>
      <c r="N359" s="227" t="s">
        <v>42</v>
      </c>
      <c r="O359" s="90"/>
      <c r="P359" s="228">
        <f>O359*H359</f>
        <v>0</v>
      </c>
      <c r="Q359" s="228">
        <v>4.0000000000000003E-05</v>
      </c>
      <c r="R359" s="228">
        <f>Q359*H359</f>
        <v>0.049542000000000003</v>
      </c>
      <c r="S359" s="228">
        <v>0</v>
      </c>
      <c r="T359" s="229">
        <f>S359*H359</f>
        <v>0</v>
      </c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R359" s="230" t="s">
        <v>163</v>
      </c>
      <c r="AT359" s="230" t="s">
        <v>159</v>
      </c>
      <c r="AU359" s="230" t="s">
        <v>86</v>
      </c>
      <c r="AY359" s="16" t="s">
        <v>157</v>
      </c>
      <c r="BE359" s="231">
        <f>IF(N359="základní",J359,0)</f>
        <v>0</v>
      </c>
      <c r="BF359" s="231">
        <f>IF(N359="snížená",J359,0)</f>
        <v>0</v>
      </c>
      <c r="BG359" s="231">
        <f>IF(N359="zákl. přenesená",J359,0)</f>
        <v>0</v>
      </c>
      <c r="BH359" s="231">
        <f>IF(N359="sníž. přenesená",J359,0)</f>
        <v>0</v>
      </c>
      <c r="BI359" s="231">
        <f>IF(N359="nulová",J359,0)</f>
        <v>0</v>
      </c>
      <c r="BJ359" s="16" t="s">
        <v>8</v>
      </c>
      <c r="BK359" s="231">
        <f>ROUND(I359*H359,0)</f>
        <v>0</v>
      </c>
      <c r="BL359" s="16" t="s">
        <v>163</v>
      </c>
      <c r="BM359" s="230" t="s">
        <v>602</v>
      </c>
    </row>
    <row r="360" s="13" customFormat="1">
      <c r="A360" s="13"/>
      <c r="B360" s="232"/>
      <c r="C360" s="233"/>
      <c r="D360" s="234" t="s">
        <v>165</v>
      </c>
      <c r="E360" s="235" t="s">
        <v>1</v>
      </c>
      <c r="F360" s="236" t="s">
        <v>603</v>
      </c>
      <c r="G360" s="233"/>
      <c r="H360" s="237">
        <v>92.25</v>
      </c>
      <c r="I360" s="238"/>
      <c r="J360" s="233"/>
      <c r="K360" s="233"/>
      <c r="L360" s="239"/>
      <c r="M360" s="240"/>
      <c r="N360" s="241"/>
      <c r="O360" s="241"/>
      <c r="P360" s="241"/>
      <c r="Q360" s="241"/>
      <c r="R360" s="241"/>
      <c r="S360" s="241"/>
      <c r="T360" s="242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T360" s="243" t="s">
        <v>165</v>
      </c>
      <c r="AU360" s="243" t="s">
        <v>86</v>
      </c>
      <c r="AV360" s="13" t="s">
        <v>86</v>
      </c>
      <c r="AW360" s="13" t="s">
        <v>32</v>
      </c>
      <c r="AX360" s="13" t="s">
        <v>77</v>
      </c>
      <c r="AY360" s="243" t="s">
        <v>157</v>
      </c>
    </row>
    <row r="361" s="13" customFormat="1">
      <c r="A361" s="13"/>
      <c r="B361" s="232"/>
      <c r="C361" s="233"/>
      <c r="D361" s="234" t="s">
        <v>165</v>
      </c>
      <c r="E361" s="235" t="s">
        <v>1</v>
      </c>
      <c r="F361" s="236" t="s">
        <v>604</v>
      </c>
      <c r="G361" s="233"/>
      <c r="H361" s="237">
        <v>578.74000000000001</v>
      </c>
      <c r="I361" s="238"/>
      <c r="J361" s="233"/>
      <c r="K361" s="233"/>
      <c r="L361" s="239"/>
      <c r="M361" s="240"/>
      <c r="N361" s="241"/>
      <c r="O361" s="241"/>
      <c r="P361" s="241"/>
      <c r="Q361" s="241"/>
      <c r="R361" s="241"/>
      <c r="S361" s="241"/>
      <c r="T361" s="242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T361" s="243" t="s">
        <v>165</v>
      </c>
      <c r="AU361" s="243" t="s">
        <v>86</v>
      </c>
      <c r="AV361" s="13" t="s">
        <v>86</v>
      </c>
      <c r="AW361" s="13" t="s">
        <v>32</v>
      </c>
      <c r="AX361" s="13" t="s">
        <v>77</v>
      </c>
      <c r="AY361" s="243" t="s">
        <v>157</v>
      </c>
    </row>
    <row r="362" s="13" customFormat="1">
      <c r="A362" s="13"/>
      <c r="B362" s="232"/>
      <c r="C362" s="233"/>
      <c r="D362" s="234" t="s">
        <v>165</v>
      </c>
      <c r="E362" s="235" t="s">
        <v>1</v>
      </c>
      <c r="F362" s="236" t="s">
        <v>605</v>
      </c>
      <c r="G362" s="233"/>
      <c r="H362" s="237">
        <v>567.55999999999995</v>
      </c>
      <c r="I362" s="238"/>
      <c r="J362" s="233"/>
      <c r="K362" s="233"/>
      <c r="L362" s="239"/>
      <c r="M362" s="240"/>
      <c r="N362" s="241"/>
      <c r="O362" s="241"/>
      <c r="P362" s="241"/>
      <c r="Q362" s="241"/>
      <c r="R362" s="241"/>
      <c r="S362" s="241"/>
      <c r="T362" s="242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T362" s="243" t="s">
        <v>165</v>
      </c>
      <c r="AU362" s="243" t="s">
        <v>86</v>
      </c>
      <c r="AV362" s="13" t="s">
        <v>86</v>
      </c>
      <c r="AW362" s="13" t="s">
        <v>32</v>
      </c>
      <c r="AX362" s="13" t="s">
        <v>77</v>
      </c>
      <c r="AY362" s="243" t="s">
        <v>157</v>
      </c>
    </row>
    <row r="363" s="2" customFormat="1" ht="24.15" customHeight="1">
      <c r="A363" s="37"/>
      <c r="B363" s="38"/>
      <c r="C363" s="218" t="s">
        <v>606</v>
      </c>
      <c r="D363" s="218" t="s">
        <v>159</v>
      </c>
      <c r="E363" s="219" t="s">
        <v>607</v>
      </c>
      <c r="F363" s="220" t="s">
        <v>608</v>
      </c>
      <c r="G363" s="221" t="s">
        <v>209</v>
      </c>
      <c r="H363" s="222">
        <v>95.670000000000002</v>
      </c>
      <c r="I363" s="223"/>
      <c r="J363" s="224">
        <f>ROUND(I363*H363,0)</f>
        <v>0</v>
      </c>
      <c r="K363" s="225"/>
      <c r="L363" s="43"/>
      <c r="M363" s="226" t="s">
        <v>1</v>
      </c>
      <c r="N363" s="227" t="s">
        <v>42</v>
      </c>
      <c r="O363" s="90"/>
      <c r="P363" s="228">
        <f>O363*H363</f>
        <v>0</v>
      </c>
      <c r="Q363" s="228">
        <v>0.0052500000000000003</v>
      </c>
      <c r="R363" s="228">
        <f>Q363*H363</f>
        <v>0.50226750000000009</v>
      </c>
      <c r="S363" s="228">
        <v>0</v>
      </c>
      <c r="T363" s="229">
        <f>S363*H363</f>
        <v>0</v>
      </c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R363" s="230" t="s">
        <v>163</v>
      </c>
      <c r="AT363" s="230" t="s">
        <v>159</v>
      </c>
      <c r="AU363" s="230" t="s">
        <v>86</v>
      </c>
      <c r="AY363" s="16" t="s">
        <v>157</v>
      </c>
      <c r="BE363" s="231">
        <f>IF(N363="základní",J363,0)</f>
        <v>0</v>
      </c>
      <c r="BF363" s="231">
        <f>IF(N363="snížená",J363,0)</f>
        <v>0</v>
      </c>
      <c r="BG363" s="231">
        <f>IF(N363="zákl. přenesená",J363,0)</f>
        <v>0</v>
      </c>
      <c r="BH363" s="231">
        <f>IF(N363="sníž. přenesená",J363,0)</f>
        <v>0</v>
      </c>
      <c r="BI363" s="231">
        <f>IF(N363="nulová",J363,0)</f>
        <v>0</v>
      </c>
      <c r="BJ363" s="16" t="s">
        <v>8</v>
      </c>
      <c r="BK363" s="231">
        <f>ROUND(I363*H363,0)</f>
        <v>0</v>
      </c>
      <c r="BL363" s="16" t="s">
        <v>163</v>
      </c>
      <c r="BM363" s="230" t="s">
        <v>609</v>
      </c>
    </row>
    <row r="364" s="13" customFormat="1">
      <c r="A364" s="13"/>
      <c r="B364" s="232"/>
      <c r="C364" s="233"/>
      <c r="D364" s="234" t="s">
        <v>165</v>
      </c>
      <c r="E364" s="235" t="s">
        <v>1</v>
      </c>
      <c r="F364" s="236" t="s">
        <v>610</v>
      </c>
      <c r="G364" s="233"/>
      <c r="H364" s="237">
        <v>9.0150000000000006</v>
      </c>
      <c r="I364" s="238"/>
      <c r="J364" s="233"/>
      <c r="K364" s="233"/>
      <c r="L364" s="239"/>
      <c r="M364" s="240"/>
      <c r="N364" s="241"/>
      <c r="O364" s="241"/>
      <c r="P364" s="241"/>
      <c r="Q364" s="241"/>
      <c r="R364" s="241"/>
      <c r="S364" s="241"/>
      <c r="T364" s="242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T364" s="243" t="s">
        <v>165</v>
      </c>
      <c r="AU364" s="243" t="s">
        <v>86</v>
      </c>
      <c r="AV364" s="13" t="s">
        <v>86</v>
      </c>
      <c r="AW364" s="13" t="s">
        <v>32</v>
      </c>
      <c r="AX364" s="13" t="s">
        <v>77</v>
      </c>
      <c r="AY364" s="243" t="s">
        <v>157</v>
      </c>
    </row>
    <row r="365" s="13" customFormat="1">
      <c r="A365" s="13"/>
      <c r="B365" s="232"/>
      <c r="C365" s="233"/>
      <c r="D365" s="234" t="s">
        <v>165</v>
      </c>
      <c r="E365" s="235" t="s">
        <v>1</v>
      </c>
      <c r="F365" s="236" t="s">
        <v>611</v>
      </c>
      <c r="G365" s="233"/>
      <c r="H365" s="237">
        <v>86.655000000000001</v>
      </c>
      <c r="I365" s="238"/>
      <c r="J365" s="233"/>
      <c r="K365" s="233"/>
      <c r="L365" s="239"/>
      <c r="M365" s="240"/>
      <c r="N365" s="241"/>
      <c r="O365" s="241"/>
      <c r="P365" s="241"/>
      <c r="Q365" s="241"/>
      <c r="R365" s="241"/>
      <c r="S365" s="241"/>
      <c r="T365" s="242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T365" s="243" t="s">
        <v>165</v>
      </c>
      <c r="AU365" s="243" t="s">
        <v>86</v>
      </c>
      <c r="AV365" s="13" t="s">
        <v>86</v>
      </c>
      <c r="AW365" s="13" t="s">
        <v>32</v>
      </c>
      <c r="AX365" s="13" t="s">
        <v>77</v>
      </c>
      <c r="AY365" s="243" t="s">
        <v>157</v>
      </c>
    </row>
    <row r="366" s="2" customFormat="1" ht="24.15" customHeight="1">
      <c r="A366" s="37"/>
      <c r="B366" s="38"/>
      <c r="C366" s="218" t="s">
        <v>612</v>
      </c>
      <c r="D366" s="218" t="s">
        <v>159</v>
      </c>
      <c r="E366" s="219" t="s">
        <v>613</v>
      </c>
      <c r="F366" s="220" t="s">
        <v>614</v>
      </c>
      <c r="G366" s="221" t="s">
        <v>216</v>
      </c>
      <c r="H366" s="222">
        <v>44.603999999999999</v>
      </c>
      <c r="I366" s="223"/>
      <c r="J366" s="224">
        <f>ROUND(I366*H366,0)</f>
        <v>0</v>
      </c>
      <c r="K366" s="225"/>
      <c r="L366" s="43"/>
      <c r="M366" s="226" t="s">
        <v>1</v>
      </c>
      <c r="N366" s="227" t="s">
        <v>42</v>
      </c>
      <c r="O366" s="90"/>
      <c r="P366" s="228">
        <f>O366*H366</f>
        <v>0</v>
      </c>
      <c r="Q366" s="228">
        <v>0.00142</v>
      </c>
      <c r="R366" s="228">
        <f>Q366*H366</f>
        <v>0.063337680000000007</v>
      </c>
      <c r="S366" s="228">
        <v>0</v>
      </c>
      <c r="T366" s="229">
        <f>S366*H366</f>
        <v>0</v>
      </c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R366" s="230" t="s">
        <v>163</v>
      </c>
      <c r="AT366" s="230" t="s">
        <v>159</v>
      </c>
      <c r="AU366" s="230" t="s">
        <v>86</v>
      </c>
      <c r="AY366" s="16" t="s">
        <v>157</v>
      </c>
      <c r="BE366" s="231">
        <f>IF(N366="základní",J366,0)</f>
        <v>0</v>
      </c>
      <c r="BF366" s="231">
        <f>IF(N366="snížená",J366,0)</f>
        <v>0</v>
      </c>
      <c r="BG366" s="231">
        <f>IF(N366="zákl. přenesená",J366,0)</f>
        <v>0</v>
      </c>
      <c r="BH366" s="231">
        <f>IF(N366="sníž. přenesená",J366,0)</f>
        <v>0</v>
      </c>
      <c r="BI366" s="231">
        <f>IF(N366="nulová",J366,0)</f>
        <v>0</v>
      </c>
      <c r="BJ366" s="16" t="s">
        <v>8</v>
      </c>
      <c r="BK366" s="231">
        <f>ROUND(I366*H366,0)</f>
        <v>0</v>
      </c>
      <c r="BL366" s="16" t="s">
        <v>163</v>
      </c>
      <c r="BM366" s="230" t="s">
        <v>615</v>
      </c>
    </row>
    <row r="367" s="13" customFormat="1">
      <c r="A367" s="13"/>
      <c r="B367" s="232"/>
      <c r="C367" s="233"/>
      <c r="D367" s="234" t="s">
        <v>165</v>
      </c>
      <c r="E367" s="235" t="s">
        <v>1</v>
      </c>
      <c r="F367" s="236" t="s">
        <v>616</v>
      </c>
      <c r="G367" s="233"/>
      <c r="H367" s="237">
        <v>44.603999999999999</v>
      </c>
      <c r="I367" s="238"/>
      <c r="J367" s="233"/>
      <c r="K367" s="233"/>
      <c r="L367" s="239"/>
      <c r="M367" s="240"/>
      <c r="N367" s="241"/>
      <c r="O367" s="241"/>
      <c r="P367" s="241"/>
      <c r="Q367" s="241"/>
      <c r="R367" s="241"/>
      <c r="S367" s="241"/>
      <c r="T367" s="242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T367" s="243" t="s">
        <v>165</v>
      </c>
      <c r="AU367" s="243" t="s">
        <v>86</v>
      </c>
      <c r="AV367" s="13" t="s">
        <v>86</v>
      </c>
      <c r="AW367" s="13" t="s">
        <v>32</v>
      </c>
      <c r="AX367" s="13" t="s">
        <v>77</v>
      </c>
      <c r="AY367" s="243" t="s">
        <v>157</v>
      </c>
    </row>
    <row r="368" s="2" customFormat="1" ht="24.15" customHeight="1">
      <c r="A368" s="37"/>
      <c r="B368" s="38"/>
      <c r="C368" s="218" t="s">
        <v>617</v>
      </c>
      <c r="D368" s="218" t="s">
        <v>159</v>
      </c>
      <c r="E368" s="219" t="s">
        <v>618</v>
      </c>
      <c r="F368" s="220" t="s">
        <v>619</v>
      </c>
      <c r="G368" s="221" t="s">
        <v>565</v>
      </c>
      <c r="H368" s="222">
        <v>1.25</v>
      </c>
      <c r="I368" s="223"/>
      <c r="J368" s="224">
        <f>ROUND(I368*H368,0)</f>
        <v>0</v>
      </c>
      <c r="K368" s="225"/>
      <c r="L368" s="43"/>
      <c r="M368" s="226" t="s">
        <v>1</v>
      </c>
      <c r="N368" s="227" t="s">
        <v>42</v>
      </c>
      <c r="O368" s="90"/>
      <c r="P368" s="228">
        <f>O368*H368</f>
        <v>0</v>
      </c>
      <c r="Q368" s="228">
        <v>0.0060000000000000001</v>
      </c>
      <c r="R368" s="228">
        <f>Q368*H368</f>
        <v>0.0074999999999999997</v>
      </c>
      <c r="S368" s="228">
        <v>0</v>
      </c>
      <c r="T368" s="229">
        <f>S368*H368</f>
        <v>0</v>
      </c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R368" s="230" t="s">
        <v>163</v>
      </c>
      <c r="AT368" s="230" t="s">
        <v>159</v>
      </c>
      <c r="AU368" s="230" t="s">
        <v>86</v>
      </c>
      <c r="AY368" s="16" t="s">
        <v>157</v>
      </c>
      <c r="BE368" s="231">
        <f>IF(N368="základní",J368,0)</f>
        <v>0</v>
      </c>
      <c r="BF368" s="231">
        <f>IF(N368="snížená",J368,0)</f>
        <v>0</v>
      </c>
      <c r="BG368" s="231">
        <f>IF(N368="zákl. přenesená",J368,0)</f>
        <v>0</v>
      </c>
      <c r="BH368" s="231">
        <f>IF(N368="sníž. přenesená",J368,0)</f>
        <v>0</v>
      </c>
      <c r="BI368" s="231">
        <f>IF(N368="nulová",J368,0)</f>
        <v>0</v>
      </c>
      <c r="BJ368" s="16" t="s">
        <v>8</v>
      </c>
      <c r="BK368" s="231">
        <f>ROUND(I368*H368,0)</f>
        <v>0</v>
      </c>
      <c r="BL368" s="16" t="s">
        <v>163</v>
      </c>
      <c r="BM368" s="230" t="s">
        <v>620</v>
      </c>
    </row>
    <row r="369" s="13" customFormat="1">
      <c r="A369" s="13"/>
      <c r="B369" s="232"/>
      <c r="C369" s="233"/>
      <c r="D369" s="234" t="s">
        <v>165</v>
      </c>
      <c r="E369" s="235" t="s">
        <v>1</v>
      </c>
      <c r="F369" s="236" t="s">
        <v>621</v>
      </c>
      <c r="G369" s="233"/>
      <c r="H369" s="237">
        <v>1.25</v>
      </c>
      <c r="I369" s="238"/>
      <c r="J369" s="233"/>
      <c r="K369" s="233"/>
      <c r="L369" s="239"/>
      <c r="M369" s="240"/>
      <c r="N369" s="241"/>
      <c r="O369" s="241"/>
      <c r="P369" s="241"/>
      <c r="Q369" s="241"/>
      <c r="R369" s="241"/>
      <c r="S369" s="241"/>
      <c r="T369" s="242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T369" s="243" t="s">
        <v>165</v>
      </c>
      <c r="AU369" s="243" t="s">
        <v>86</v>
      </c>
      <c r="AV369" s="13" t="s">
        <v>86</v>
      </c>
      <c r="AW369" s="13" t="s">
        <v>32</v>
      </c>
      <c r="AX369" s="13" t="s">
        <v>77</v>
      </c>
      <c r="AY369" s="243" t="s">
        <v>157</v>
      </c>
    </row>
    <row r="370" s="2" customFormat="1" ht="16.5" customHeight="1">
      <c r="A370" s="37"/>
      <c r="B370" s="38"/>
      <c r="C370" s="218" t="s">
        <v>622</v>
      </c>
      <c r="D370" s="218" t="s">
        <v>159</v>
      </c>
      <c r="E370" s="219" t="s">
        <v>623</v>
      </c>
      <c r="F370" s="220" t="s">
        <v>624</v>
      </c>
      <c r="G370" s="221" t="s">
        <v>565</v>
      </c>
      <c r="H370" s="222">
        <v>9</v>
      </c>
      <c r="I370" s="223"/>
      <c r="J370" s="224">
        <f>ROUND(I370*H370,0)</f>
        <v>0</v>
      </c>
      <c r="K370" s="225"/>
      <c r="L370" s="43"/>
      <c r="M370" s="226" t="s">
        <v>1</v>
      </c>
      <c r="N370" s="227" t="s">
        <v>42</v>
      </c>
      <c r="O370" s="90"/>
      <c r="P370" s="228">
        <f>O370*H370</f>
        <v>0</v>
      </c>
      <c r="Q370" s="228">
        <v>0.00011</v>
      </c>
      <c r="R370" s="228">
        <f>Q370*H370</f>
        <v>0.00098999999999999999</v>
      </c>
      <c r="S370" s="228">
        <v>0</v>
      </c>
      <c r="T370" s="229">
        <f>S370*H370</f>
        <v>0</v>
      </c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R370" s="230" t="s">
        <v>163</v>
      </c>
      <c r="AT370" s="230" t="s">
        <v>159</v>
      </c>
      <c r="AU370" s="230" t="s">
        <v>86</v>
      </c>
      <c r="AY370" s="16" t="s">
        <v>157</v>
      </c>
      <c r="BE370" s="231">
        <f>IF(N370="základní",J370,0)</f>
        <v>0</v>
      </c>
      <c r="BF370" s="231">
        <f>IF(N370="snížená",J370,0)</f>
        <v>0</v>
      </c>
      <c r="BG370" s="231">
        <f>IF(N370="zákl. přenesená",J370,0)</f>
        <v>0</v>
      </c>
      <c r="BH370" s="231">
        <f>IF(N370="sníž. přenesená",J370,0)</f>
        <v>0</v>
      </c>
      <c r="BI370" s="231">
        <f>IF(N370="nulová",J370,0)</f>
        <v>0</v>
      </c>
      <c r="BJ370" s="16" t="s">
        <v>8</v>
      </c>
      <c r="BK370" s="231">
        <f>ROUND(I370*H370,0)</f>
        <v>0</v>
      </c>
      <c r="BL370" s="16" t="s">
        <v>163</v>
      </c>
      <c r="BM370" s="230" t="s">
        <v>625</v>
      </c>
    </row>
    <row r="371" s="2" customFormat="1" ht="24.15" customHeight="1">
      <c r="A371" s="37"/>
      <c r="B371" s="38"/>
      <c r="C371" s="254" t="s">
        <v>626</v>
      </c>
      <c r="D371" s="254" t="s">
        <v>229</v>
      </c>
      <c r="E371" s="255" t="s">
        <v>627</v>
      </c>
      <c r="F371" s="256" t="s">
        <v>628</v>
      </c>
      <c r="G371" s="257" t="s">
        <v>565</v>
      </c>
      <c r="H371" s="258">
        <v>9</v>
      </c>
      <c r="I371" s="259"/>
      <c r="J371" s="260">
        <f>ROUND(I371*H371,0)</f>
        <v>0</v>
      </c>
      <c r="K371" s="261"/>
      <c r="L371" s="262"/>
      <c r="M371" s="263" t="s">
        <v>1</v>
      </c>
      <c r="N371" s="264" t="s">
        <v>42</v>
      </c>
      <c r="O371" s="90"/>
      <c r="P371" s="228">
        <f>O371*H371</f>
        <v>0</v>
      </c>
      <c r="Q371" s="228">
        <v>0.012</v>
      </c>
      <c r="R371" s="228">
        <f>Q371*H371</f>
        <v>0.108</v>
      </c>
      <c r="S371" s="228">
        <v>0</v>
      </c>
      <c r="T371" s="229">
        <f>S371*H371</f>
        <v>0</v>
      </c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R371" s="230" t="s">
        <v>200</v>
      </c>
      <c r="AT371" s="230" t="s">
        <v>229</v>
      </c>
      <c r="AU371" s="230" t="s">
        <v>86</v>
      </c>
      <c r="AY371" s="16" t="s">
        <v>157</v>
      </c>
      <c r="BE371" s="231">
        <f>IF(N371="základní",J371,0)</f>
        <v>0</v>
      </c>
      <c r="BF371" s="231">
        <f>IF(N371="snížená",J371,0)</f>
        <v>0</v>
      </c>
      <c r="BG371" s="231">
        <f>IF(N371="zákl. přenesená",J371,0)</f>
        <v>0</v>
      </c>
      <c r="BH371" s="231">
        <f>IF(N371="sníž. přenesená",J371,0)</f>
        <v>0</v>
      </c>
      <c r="BI371" s="231">
        <f>IF(N371="nulová",J371,0)</f>
        <v>0</v>
      </c>
      <c r="BJ371" s="16" t="s">
        <v>8</v>
      </c>
      <c r="BK371" s="231">
        <f>ROUND(I371*H371,0)</f>
        <v>0</v>
      </c>
      <c r="BL371" s="16" t="s">
        <v>163</v>
      </c>
      <c r="BM371" s="230" t="s">
        <v>629</v>
      </c>
    </row>
    <row r="372" s="12" customFormat="1" ht="22.8" customHeight="1">
      <c r="A372" s="12"/>
      <c r="B372" s="202"/>
      <c r="C372" s="203"/>
      <c r="D372" s="204" t="s">
        <v>76</v>
      </c>
      <c r="E372" s="216" t="s">
        <v>630</v>
      </c>
      <c r="F372" s="216" t="s">
        <v>631</v>
      </c>
      <c r="G372" s="203"/>
      <c r="H372" s="203"/>
      <c r="I372" s="206"/>
      <c r="J372" s="217">
        <f>BK372</f>
        <v>0</v>
      </c>
      <c r="K372" s="203"/>
      <c r="L372" s="208"/>
      <c r="M372" s="209"/>
      <c r="N372" s="210"/>
      <c r="O372" s="210"/>
      <c r="P372" s="211">
        <f>P373</f>
        <v>0</v>
      </c>
      <c r="Q372" s="210"/>
      <c r="R372" s="211">
        <f>R373</f>
        <v>0</v>
      </c>
      <c r="S372" s="210"/>
      <c r="T372" s="212">
        <f>T373</f>
        <v>0</v>
      </c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R372" s="213" t="s">
        <v>8</v>
      </c>
      <c r="AT372" s="214" t="s">
        <v>76</v>
      </c>
      <c r="AU372" s="214" t="s">
        <v>8</v>
      </c>
      <c r="AY372" s="213" t="s">
        <v>157</v>
      </c>
      <c r="BK372" s="215">
        <f>BK373</f>
        <v>0</v>
      </c>
    </row>
    <row r="373" s="2" customFormat="1" ht="24.15" customHeight="1">
      <c r="A373" s="37"/>
      <c r="B373" s="38"/>
      <c r="C373" s="218" t="s">
        <v>632</v>
      </c>
      <c r="D373" s="218" t="s">
        <v>159</v>
      </c>
      <c r="E373" s="219" t="s">
        <v>633</v>
      </c>
      <c r="F373" s="220" t="s">
        <v>634</v>
      </c>
      <c r="G373" s="221" t="s">
        <v>193</v>
      </c>
      <c r="H373" s="222">
        <v>1777.473</v>
      </c>
      <c r="I373" s="223"/>
      <c r="J373" s="224">
        <f>ROUND(I373*H373,0)</f>
        <v>0</v>
      </c>
      <c r="K373" s="225"/>
      <c r="L373" s="43"/>
      <c r="M373" s="226" t="s">
        <v>1</v>
      </c>
      <c r="N373" s="227" t="s">
        <v>42</v>
      </c>
      <c r="O373" s="90"/>
      <c r="P373" s="228">
        <f>O373*H373</f>
        <v>0</v>
      </c>
      <c r="Q373" s="228">
        <v>0</v>
      </c>
      <c r="R373" s="228">
        <f>Q373*H373</f>
        <v>0</v>
      </c>
      <c r="S373" s="228">
        <v>0</v>
      </c>
      <c r="T373" s="229">
        <f>S373*H373</f>
        <v>0</v>
      </c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R373" s="230" t="s">
        <v>163</v>
      </c>
      <c r="AT373" s="230" t="s">
        <v>159</v>
      </c>
      <c r="AU373" s="230" t="s">
        <v>86</v>
      </c>
      <c r="AY373" s="16" t="s">
        <v>157</v>
      </c>
      <c r="BE373" s="231">
        <f>IF(N373="základní",J373,0)</f>
        <v>0</v>
      </c>
      <c r="BF373" s="231">
        <f>IF(N373="snížená",J373,0)</f>
        <v>0</v>
      </c>
      <c r="BG373" s="231">
        <f>IF(N373="zákl. přenesená",J373,0)</f>
        <v>0</v>
      </c>
      <c r="BH373" s="231">
        <f>IF(N373="sníž. přenesená",J373,0)</f>
        <v>0</v>
      </c>
      <c r="BI373" s="231">
        <f>IF(N373="nulová",J373,0)</f>
        <v>0</v>
      </c>
      <c r="BJ373" s="16" t="s">
        <v>8</v>
      </c>
      <c r="BK373" s="231">
        <f>ROUND(I373*H373,0)</f>
        <v>0</v>
      </c>
      <c r="BL373" s="16" t="s">
        <v>163</v>
      </c>
      <c r="BM373" s="230" t="s">
        <v>635</v>
      </c>
    </row>
    <row r="374" s="12" customFormat="1" ht="25.92" customHeight="1">
      <c r="A374" s="12"/>
      <c r="B374" s="202"/>
      <c r="C374" s="203"/>
      <c r="D374" s="204" t="s">
        <v>76</v>
      </c>
      <c r="E374" s="205" t="s">
        <v>636</v>
      </c>
      <c r="F374" s="205" t="s">
        <v>637</v>
      </c>
      <c r="G374" s="203"/>
      <c r="H374" s="203"/>
      <c r="I374" s="206"/>
      <c r="J374" s="207">
        <f>BK374</f>
        <v>0</v>
      </c>
      <c r="K374" s="203"/>
      <c r="L374" s="208"/>
      <c r="M374" s="209"/>
      <c r="N374" s="210"/>
      <c r="O374" s="210"/>
      <c r="P374" s="211">
        <f>P375+P406+P460+P544+P560+P683+P698+P730+P796+P835+P846+P860+P882+P886</f>
        <v>0</v>
      </c>
      <c r="Q374" s="210"/>
      <c r="R374" s="211">
        <f>R375+R406+R460+R544+R560+R683+R698+R730+R796+R835+R846+R860+R882+R886</f>
        <v>257.02628782000005</v>
      </c>
      <c r="S374" s="210"/>
      <c r="T374" s="212">
        <f>T375+T406+T460+T544+T560+T683+T698+T730+T796+T835+T846+T860+T882+T886</f>
        <v>0</v>
      </c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R374" s="213" t="s">
        <v>86</v>
      </c>
      <c r="AT374" s="214" t="s">
        <v>76</v>
      </c>
      <c r="AU374" s="214" t="s">
        <v>77</v>
      </c>
      <c r="AY374" s="213" t="s">
        <v>157</v>
      </c>
      <c r="BK374" s="215">
        <f>BK375+BK406+BK460+BK544+BK560+BK683+BK698+BK730+BK796+BK835+BK846+BK860+BK882+BK886</f>
        <v>0</v>
      </c>
    </row>
    <row r="375" s="12" customFormat="1" ht="22.8" customHeight="1">
      <c r="A375" s="12"/>
      <c r="B375" s="202"/>
      <c r="C375" s="203"/>
      <c r="D375" s="204" t="s">
        <v>76</v>
      </c>
      <c r="E375" s="216" t="s">
        <v>638</v>
      </c>
      <c r="F375" s="216" t="s">
        <v>639</v>
      </c>
      <c r="G375" s="203"/>
      <c r="H375" s="203"/>
      <c r="I375" s="206"/>
      <c r="J375" s="217">
        <f>BK375</f>
        <v>0</v>
      </c>
      <c r="K375" s="203"/>
      <c r="L375" s="208"/>
      <c r="M375" s="209"/>
      <c r="N375" s="210"/>
      <c r="O375" s="210"/>
      <c r="P375" s="211">
        <f>SUM(P376:P405)</f>
        <v>0</v>
      </c>
      <c r="Q375" s="210"/>
      <c r="R375" s="211">
        <f>SUM(R376:R405)</f>
        <v>4.6667772000000003</v>
      </c>
      <c r="S375" s="210"/>
      <c r="T375" s="212">
        <f>SUM(T376:T405)</f>
        <v>0</v>
      </c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R375" s="213" t="s">
        <v>86</v>
      </c>
      <c r="AT375" s="214" t="s">
        <v>76</v>
      </c>
      <c r="AU375" s="214" t="s">
        <v>8</v>
      </c>
      <c r="AY375" s="213" t="s">
        <v>157</v>
      </c>
      <c r="BK375" s="215">
        <f>SUM(BK376:BK405)</f>
        <v>0</v>
      </c>
    </row>
    <row r="376" s="2" customFormat="1" ht="24.15" customHeight="1">
      <c r="A376" s="37"/>
      <c r="B376" s="38"/>
      <c r="C376" s="218" t="s">
        <v>640</v>
      </c>
      <c r="D376" s="218" t="s">
        <v>159</v>
      </c>
      <c r="E376" s="219" t="s">
        <v>641</v>
      </c>
      <c r="F376" s="220" t="s">
        <v>642</v>
      </c>
      <c r="G376" s="221" t="s">
        <v>209</v>
      </c>
      <c r="H376" s="222">
        <v>643.01499999999999</v>
      </c>
      <c r="I376" s="223"/>
      <c r="J376" s="224">
        <f>ROUND(I376*H376,0)</f>
        <v>0</v>
      </c>
      <c r="K376" s="225"/>
      <c r="L376" s="43"/>
      <c r="M376" s="226" t="s">
        <v>1</v>
      </c>
      <c r="N376" s="227" t="s">
        <v>42</v>
      </c>
      <c r="O376" s="90"/>
      <c r="P376" s="228">
        <f>O376*H376</f>
        <v>0</v>
      </c>
      <c r="Q376" s="228">
        <v>0</v>
      </c>
      <c r="R376" s="228">
        <f>Q376*H376</f>
        <v>0</v>
      </c>
      <c r="S376" s="228">
        <v>0</v>
      </c>
      <c r="T376" s="229">
        <f>S376*H376</f>
        <v>0</v>
      </c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R376" s="230" t="s">
        <v>246</v>
      </c>
      <c r="AT376" s="230" t="s">
        <v>159</v>
      </c>
      <c r="AU376" s="230" t="s">
        <v>86</v>
      </c>
      <c r="AY376" s="16" t="s">
        <v>157</v>
      </c>
      <c r="BE376" s="231">
        <f>IF(N376="základní",J376,0)</f>
        <v>0</v>
      </c>
      <c r="BF376" s="231">
        <f>IF(N376="snížená",J376,0)</f>
        <v>0</v>
      </c>
      <c r="BG376" s="231">
        <f>IF(N376="zákl. přenesená",J376,0)</f>
        <v>0</v>
      </c>
      <c r="BH376" s="231">
        <f>IF(N376="sníž. přenesená",J376,0)</f>
        <v>0</v>
      </c>
      <c r="BI376" s="231">
        <f>IF(N376="nulová",J376,0)</f>
        <v>0</v>
      </c>
      <c r="BJ376" s="16" t="s">
        <v>8</v>
      </c>
      <c r="BK376" s="231">
        <f>ROUND(I376*H376,0)</f>
        <v>0</v>
      </c>
      <c r="BL376" s="16" t="s">
        <v>246</v>
      </c>
      <c r="BM376" s="230" t="s">
        <v>643</v>
      </c>
    </row>
    <row r="377" s="13" customFormat="1">
      <c r="A377" s="13"/>
      <c r="B377" s="232"/>
      <c r="C377" s="233"/>
      <c r="D377" s="234" t="s">
        <v>165</v>
      </c>
      <c r="E377" s="235" t="s">
        <v>1</v>
      </c>
      <c r="F377" s="236" t="s">
        <v>644</v>
      </c>
      <c r="G377" s="233"/>
      <c r="H377" s="237">
        <v>570.24199999999996</v>
      </c>
      <c r="I377" s="238"/>
      <c r="J377" s="233"/>
      <c r="K377" s="233"/>
      <c r="L377" s="239"/>
      <c r="M377" s="240"/>
      <c r="N377" s="241"/>
      <c r="O377" s="241"/>
      <c r="P377" s="241"/>
      <c r="Q377" s="241"/>
      <c r="R377" s="241"/>
      <c r="S377" s="241"/>
      <c r="T377" s="242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T377" s="243" t="s">
        <v>165</v>
      </c>
      <c r="AU377" s="243" t="s">
        <v>86</v>
      </c>
      <c r="AV377" s="13" t="s">
        <v>86</v>
      </c>
      <c r="AW377" s="13" t="s">
        <v>32</v>
      </c>
      <c r="AX377" s="13" t="s">
        <v>77</v>
      </c>
      <c r="AY377" s="243" t="s">
        <v>157</v>
      </c>
    </row>
    <row r="378" s="13" customFormat="1">
      <c r="A378" s="13"/>
      <c r="B378" s="232"/>
      <c r="C378" s="233"/>
      <c r="D378" s="234" t="s">
        <v>165</v>
      </c>
      <c r="E378" s="235" t="s">
        <v>1</v>
      </c>
      <c r="F378" s="236" t="s">
        <v>645</v>
      </c>
      <c r="G378" s="233"/>
      <c r="H378" s="237">
        <v>72.772999999999996</v>
      </c>
      <c r="I378" s="238"/>
      <c r="J378" s="233"/>
      <c r="K378" s="233"/>
      <c r="L378" s="239"/>
      <c r="M378" s="240"/>
      <c r="N378" s="241"/>
      <c r="O378" s="241"/>
      <c r="P378" s="241"/>
      <c r="Q378" s="241"/>
      <c r="R378" s="241"/>
      <c r="S378" s="241"/>
      <c r="T378" s="242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T378" s="243" t="s">
        <v>165</v>
      </c>
      <c r="AU378" s="243" t="s">
        <v>86</v>
      </c>
      <c r="AV378" s="13" t="s">
        <v>86</v>
      </c>
      <c r="AW378" s="13" t="s">
        <v>32</v>
      </c>
      <c r="AX378" s="13" t="s">
        <v>77</v>
      </c>
      <c r="AY378" s="243" t="s">
        <v>157</v>
      </c>
    </row>
    <row r="379" s="2" customFormat="1" ht="24.15" customHeight="1">
      <c r="A379" s="37"/>
      <c r="B379" s="38"/>
      <c r="C379" s="218" t="s">
        <v>646</v>
      </c>
      <c r="D379" s="218" t="s">
        <v>159</v>
      </c>
      <c r="E379" s="219" t="s">
        <v>647</v>
      </c>
      <c r="F379" s="220" t="s">
        <v>648</v>
      </c>
      <c r="G379" s="221" t="s">
        <v>209</v>
      </c>
      <c r="H379" s="222">
        <v>260.18700000000001</v>
      </c>
      <c r="I379" s="223"/>
      <c r="J379" s="224">
        <f>ROUND(I379*H379,0)</f>
        <v>0</v>
      </c>
      <c r="K379" s="225"/>
      <c r="L379" s="43"/>
      <c r="M379" s="226" t="s">
        <v>1</v>
      </c>
      <c r="N379" s="227" t="s">
        <v>42</v>
      </c>
      <c r="O379" s="90"/>
      <c r="P379" s="228">
        <f>O379*H379</f>
        <v>0</v>
      </c>
      <c r="Q379" s="228">
        <v>0</v>
      </c>
      <c r="R379" s="228">
        <f>Q379*H379</f>
        <v>0</v>
      </c>
      <c r="S379" s="228">
        <v>0</v>
      </c>
      <c r="T379" s="229">
        <f>S379*H379</f>
        <v>0</v>
      </c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R379" s="230" t="s">
        <v>246</v>
      </c>
      <c r="AT379" s="230" t="s">
        <v>159</v>
      </c>
      <c r="AU379" s="230" t="s">
        <v>86</v>
      </c>
      <c r="AY379" s="16" t="s">
        <v>157</v>
      </c>
      <c r="BE379" s="231">
        <f>IF(N379="základní",J379,0)</f>
        <v>0</v>
      </c>
      <c r="BF379" s="231">
        <f>IF(N379="snížená",J379,0)</f>
        <v>0</v>
      </c>
      <c r="BG379" s="231">
        <f>IF(N379="zákl. přenesená",J379,0)</f>
        <v>0</v>
      </c>
      <c r="BH379" s="231">
        <f>IF(N379="sníž. přenesená",J379,0)</f>
        <v>0</v>
      </c>
      <c r="BI379" s="231">
        <f>IF(N379="nulová",J379,0)</f>
        <v>0</v>
      </c>
      <c r="BJ379" s="16" t="s">
        <v>8</v>
      </c>
      <c r="BK379" s="231">
        <f>ROUND(I379*H379,0)</f>
        <v>0</v>
      </c>
      <c r="BL379" s="16" t="s">
        <v>246</v>
      </c>
      <c r="BM379" s="230" t="s">
        <v>649</v>
      </c>
    </row>
    <row r="380" s="13" customFormat="1">
      <c r="A380" s="13"/>
      <c r="B380" s="232"/>
      <c r="C380" s="233"/>
      <c r="D380" s="234" t="s">
        <v>165</v>
      </c>
      <c r="E380" s="235" t="s">
        <v>1</v>
      </c>
      <c r="F380" s="236" t="s">
        <v>650</v>
      </c>
      <c r="G380" s="233"/>
      <c r="H380" s="237">
        <v>83.201999999999998</v>
      </c>
      <c r="I380" s="238"/>
      <c r="J380" s="233"/>
      <c r="K380" s="233"/>
      <c r="L380" s="239"/>
      <c r="M380" s="240"/>
      <c r="N380" s="241"/>
      <c r="O380" s="241"/>
      <c r="P380" s="241"/>
      <c r="Q380" s="241"/>
      <c r="R380" s="241"/>
      <c r="S380" s="241"/>
      <c r="T380" s="242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T380" s="243" t="s">
        <v>165</v>
      </c>
      <c r="AU380" s="243" t="s">
        <v>86</v>
      </c>
      <c r="AV380" s="13" t="s">
        <v>86</v>
      </c>
      <c r="AW380" s="13" t="s">
        <v>32</v>
      </c>
      <c r="AX380" s="13" t="s">
        <v>77</v>
      </c>
      <c r="AY380" s="243" t="s">
        <v>157</v>
      </c>
    </row>
    <row r="381" s="13" customFormat="1">
      <c r="A381" s="13"/>
      <c r="B381" s="232"/>
      <c r="C381" s="233"/>
      <c r="D381" s="234" t="s">
        <v>165</v>
      </c>
      <c r="E381" s="235" t="s">
        <v>1</v>
      </c>
      <c r="F381" s="236" t="s">
        <v>651</v>
      </c>
      <c r="G381" s="233"/>
      <c r="H381" s="237">
        <v>176.98500000000001</v>
      </c>
      <c r="I381" s="238"/>
      <c r="J381" s="233"/>
      <c r="K381" s="233"/>
      <c r="L381" s="239"/>
      <c r="M381" s="240"/>
      <c r="N381" s="241"/>
      <c r="O381" s="241"/>
      <c r="P381" s="241"/>
      <c r="Q381" s="241"/>
      <c r="R381" s="241"/>
      <c r="S381" s="241"/>
      <c r="T381" s="242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T381" s="243" t="s">
        <v>165</v>
      </c>
      <c r="AU381" s="243" t="s">
        <v>86</v>
      </c>
      <c r="AV381" s="13" t="s">
        <v>86</v>
      </c>
      <c r="AW381" s="13" t="s">
        <v>32</v>
      </c>
      <c r="AX381" s="13" t="s">
        <v>77</v>
      </c>
      <c r="AY381" s="243" t="s">
        <v>157</v>
      </c>
    </row>
    <row r="382" s="2" customFormat="1" ht="16.5" customHeight="1">
      <c r="A382" s="37"/>
      <c r="B382" s="38"/>
      <c r="C382" s="254" t="s">
        <v>652</v>
      </c>
      <c r="D382" s="254" t="s">
        <v>229</v>
      </c>
      <c r="E382" s="255" t="s">
        <v>653</v>
      </c>
      <c r="F382" s="256" t="s">
        <v>654</v>
      </c>
      <c r="G382" s="257" t="s">
        <v>193</v>
      </c>
      <c r="H382" s="258">
        <v>0.95399999999999996</v>
      </c>
      <c r="I382" s="259"/>
      <c r="J382" s="260">
        <f>ROUND(I382*H382,0)</f>
        <v>0</v>
      </c>
      <c r="K382" s="261"/>
      <c r="L382" s="262"/>
      <c r="M382" s="263" t="s">
        <v>1</v>
      </c>
      <c r="N382" s="264" t="s">
        <v>42</v>
      </c>
      <c r="O382" s="90"/>
      <c r="P382" s="228">
        <f>O382*H382</f>
        <v>0</v>
      </c>
      <c r="Q382" s="228">
        <v>1</v>
      </c>
      <c r="R382" s="228">
        <f>Q382*H382</f>
        <v>0.95399999999999996</v>
      </c>
      <c r="S382" s="228">
        <v>0</v>
      </c>
      <c r="T382" s="229">
        <f>S382*H382</f>
        <v>0</v>
      </c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R382" s="230" t="s">
        <v>329</v>
      </c>
      <c r="AT382" s="230" t="s">
        <v>229</v>
      </c>
      <c r="AU382" s="230" t="s">
        <v>86</v>
      </c>
      <c r="AY382" s="16" t="s">
        <v>157</v>
      </c>
      <c r="BE382" s="231">
        <f>IF(N382="základní",J382,0)</f>
        <v>0</v>
      </c>
      <c r="BF382" s="231">
        <f>IF(N382="snížená",J382,0)</f>
        <v>0</v>
      </c>
      <c r="BG382" s="231">
        <f>IF(N382="zákl. přenesená",J382,0)</f>
        <v>0</v>
      </c>
      <c r="BH382" s="231">
        <f>IF(N382="sníž. přenesená",J382,0)</f>
        <v>0</v>
      </c>
      <c r="BI382" s="231">
        <f>IF(N382="nulová",J382,0)</f>
        <v>0</v>
      </c>
      <c r="BJ382" s="16" t="s">
        <v>8</v>
      </c>
      <c r="BK382" s="231">
        <f>ROUND(I382*H382,0)</f>
        <v>0</v>
      </c>
      <c r="BL382" s="16" t="s">
        <v>246</v>
      </c>
      <c r="BM382" s="230" t="s">
        <v>655</v>
      </c>
    </row>
    <row r="383" s="13" customFormat="1">
      <c r="A383" s="13"/>
      <c r="B383" s="232"/>
      <c r="C383" s="233"/>
      <c r="D383" s="234" t="s">
        <v>165</v>
      </c>
      <c r="E383" s="235" t="s">
        <v>1</v>
      </c>
      <c r="F383" s="236" t="s">
        <v>656</v>
      </c>
      <c r="G383" s="233"/>
      <c r="H383" s="237">
        <v>908.37699999999995</v>
      </c>
      <c r="I383" s="238"/>
      <c r="J383" s="233"/>
      <c r="K383" s="233"/>
      <c r="L383" s="239"/>
      <c r="M383" s="240"/>
      <c r="N383" s="241"/>
      <c r="O383" s="241"/>
      <c r="P383" s="241"/>
      <c r="Q383" s="241"/>
      <c r="R383" s="241"/>
      <c r="S383" s="241"/>
      <c r="T383" s="242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T383" s="243" t="s">
        <v>165</v>
      </c>
      <c r="AU383" s="243" t="s">
        <v>86</v>
      </c>
      <c r="AV383" s="13" t="s">
        <v>86</v>
      </c>
      <c r="AW383" s="13" t="s">
        <v>32</v>
      </c>
      <c r="AX383" s="13" t="s">
        <v>8</v>
      </c>
      <c r="AY383" s="243" t="s">
        <v>157</v>
      </c>
    </row>
    <row r="384" s="13" customFormat="1">
      <c r="A384" s="13"/>
      <c r="B384" s="232"/>
      <c r="C384" s="233"/>
      <c r="D384" s="234" t="s">
        <v>165</v>
      </c>
      <c r="E384" s="233"/>
      <c r="F384" s="236" t="s">
        <v>657</v>
      </c>
      <c r="G384" s="233"/>
      <c r="H384" s="237">
        <v>0.95399999999999996</v>
      </c>
      <c r="I384" s="238"/>
      <c r="J384" s="233"/>
      <c r="K384" s="233"/>
      <c r="L384" s="239"/>
      <c r="M384" s="240"/>
      <c r="N384" s="241"/>
      <c r="O384" s="241"/>
      <c r="P384" s="241"/>
      <c r="Q384" s="241"/>
      <c r="R384" s="241"/>
      <c r="S384" s="241"/>
      <c r="T384" s="242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T384" s="243" t="s">
        <v>165</v>
      </c>
      <c r="AU384" s="243" t="s">
        <v>86</v>
      </c>
      <c r="AV384" s="13" t="s">
        <v>86</v>
      </c>
      <c r="AW384" s="13" t="s">
        <v>4</v>
      </c>
      <c r="AX384" s="13" t="s">
        <v>8</v>
      </c>
      <c r="AY384" s="243" t="s">
        <v>157</v>
      </c>
    </row>
    <row r="385" s="2" customFormat="1" ht="24.15" customHeight="1">
      <c r="A385" s="37"/>
      <c r="B385" s="38"/>
      <c r="C385" s="218" t="s">
        <v>658</v>
      </c>
      <c r="D385" s="218" t="s">
        <v>159</v>
      </c>
      <c r="E385" s="219" t="s">
        <v>659</v>
      </c>
      <c r="F385" s="220" t="s">
        <v>660</v>
      </c>
      <c r="G385" s="221" t="s">
        <v>216</v>
      </c>
      <c r="H385" s="222">
        <v>56.567999999999998</v>
      </c>
      <c r="I385" s="223"/>
      <c r="J385" s="224">
        <f>ROUND(I385*H385,0)</f>
        <v>0</v>
      </c>
      <c r="K385" s="225"/>
      <c r="L385" s="43"/>
      <c r="M385" s="226" t="s">
        <v>1</v>
      </c>
      <c r="N385" s="227" t="s">
        <v>42</v>
      </c>
      <c r="O385" s="90"/>
      <c r="P385" s="228">
        <f>O385*H385</f>
        <v>0</v>
      </c>
      <c r="Q385" s="228">
        <v>0.00016000000000000001</v>
      </c>
      <c r="R385" s="228">
        <f>Q385*H385</f>
        <v>0.0090508800000000007</v>
      </c>
      <c r="S385" s="228">
        <v>0</v>
      </c>
      <c r="T385" s="229">
        <f>S385*H385</f>
        <v>0</v>
      </c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R385" s="230" t="s">
        <v>246</v>
      </c>
      <c r="AT385" s="230" t="s">
        <v>159</v>
      </c>
      <c r="AU385" s="230" t="s">
        <v>86</v>
      </c>
      <c r="AY385" s="16" t="s">
        <v>157</v>
      </c>
      <c r="BE385" s="231">
        <f>IF(N385="základní",J385,0)</f>
        <v>0</v>
      </c>
      <c r="BF385" s="231">
        <f>IF(N385="snížená",J385,0)</f>
        <v>0</v>
      </c>
      <c r="BG385" s="231">
        <f>IF(N385="zákl. přenesená",J385,0)</f>
        <v>0</v>
      </c>
      <c r="BH385" s="231">
        <f>IF(N385="sníž. přenesená",J385,0)</f>
        <v>0</v>
      </c>
      <c r="BI385" s="231">
        <f>IF(N385="nulová",J385,0)</f>
        <v>0</v>
      </c>
      <c r="BJ385" s="16" t="s">
        <v>8</v>
      </c>
      <c r="BK385" s="231">
        <f>ROUND(I385*H385,0)</f>
        <v>0</v>
      </c>
      <c r="BL385" s="16" t="s">
        <v>246</v>
      </c>
      <c r="BM385" s="230" t="s">
        <v>661</v>
      </c>
    </row>
    <row r="386" s="13" customFormat="1">
      <c r="A386" s="13"/>
      <c r="B386" s="232"/>
      <c r="C386" s="233"/>
      <c r="D386" s="234" t="s">
        <v>165</v>
      </c>
      <c r="E386" s="235" t="s">
        <v>1</v>
      </c>
      <c r="F386" s="236" t="s">
        <v>662</v>
      </c>
      <c r="G386" s="233"/>
      <c r="H386" s="237">
        <v>56.567999999999998</v>
      </c>
      <c r="I386" s="238"/>
      <c r="J386" s="233"/>
      <c r="K386" s="233"/>
      <c r="L386" s="239"/>
      <c r="M386" s="240"/>
      <c r="N386" s="241"/>
      <c r="O386" s="241"/>
      <c r="P386" s="241"/>
      <c r="Q386" s="241"/>
      <c r="R386" s="241"/>
      <c r="S386" s="241"/>
      <c r="T386" s="242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T386" s="243" t="s">
        <v>165</v>
      </c>
      <c r="AU386" s="243" t="s">
        <v>86</v>
      </c>
      <c r="AV386" s="13" t="s">
        <v>86</v>
      </c>
      <c r="AW386" s="13" t="s">
        <v>32</v>
      </c>
      <c r="AX386" s="13" t="s">
        <v>77</v>
      </c>
      <c r="AY386" s="243" t="s">
        <v>157</v>
      </c>
    </row>
    <row r="387" s="2" customFormat="1" ht="24.15" customHeight="1">
      <c r="A387" s="37"/>
      <c r="B387" s="38"/>
      <c r="C387" s="218" t="s">
        <v>663</v>
      </c>
      <c r="D387" s="218" t="s">
        <v>159</v>
      </c>
      <c r="E387" s="219" t="s">
        <v>664</v>
      </c>
      <c r="F387" s="220" t="s">
        <v>665</v>
      </c>
      <c r="G387" s="221" t="s">
        <v>209</v>
      </c>
      <c r="H387" s="222">
        <v>643.01499999999999</v>
      </c>
      <c r="I387" s="223"/>
      <c r="J387" s="224">
        <f>ROUND(I387*H387,0)</f>
        <v>0</v>
      </c>
      <c r="K387" s="225"/>
      <c r="L387" s="43"/>
      <c r="M387" s="226" t="s">
        <v>1</v>
      </c>
      <c r="N387" s="227" t="s">
        <v>42</v>
      </c>
      <c r="O387" s="90"/>
      <c r="P387" s="228">
        <f>O387*H387</f>
        <v>0</v>
      </c>
      <c r="Q387" s="228">
        <v>3.0000000000000001E-05</v>
      </c>
      <c r="R387" s="228">
        <f>Q387*H387</f>
        <v>0.019290450000000001</v>
      </c>
      <c r="S387" s="228">
        <v>0</v>
      </c>
      <c r="T387" s="229">
        <f>S387*H387</f>
        <v>0</v>
      </c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R387" s="230" t="s">
        <v>246</v>
      </c>
      <c r="AT387" s="230" t="s">
        <v>159</v>
      </c>
      <c r="AU387" s="230" t="s">
        <v>86</v>
      </c>
      <c r="AY387" s="16" t="s">
        <v>157</v>
      </c>
      <c r="BE387" s="231">
        <f>IF(N387="základní",J387,0)</f>
        <v>0</v>
      </c>
      <c r="BF387" s="231">
        <f>IF(N387="snížená",J387,0)</f>
        <v>0</v>
      </c>
      <c r="BG387" s="231">
        <f>IF(N387="zákl. přenesená",J387,0)</f>
        <v>0</v>
      </c>
      <c r="BH387" s="231">
        <f>IF(N387="sníž. přenesená",J387,0)</f>
        <v>0</v>
      </c>
      <c r="BI387" s="231">
        <f>IF(N387="nulová",J387,0)</f>
        <v>0</v>
      </c>
      <c r="BJ387" s="16" t="s">
        <v>8</v>
      </c>
      <c r="BK387" s="231">
        <f>ROUND(I387*H387,0)</f>
        <v>0</v>
      </c>
      <c r="BL387" s="16" t="s">
        <v>246</v>
      </c>
      <c r="BM387" s="230" t="s">
        <v>666</v>
      </c>
    </row>
    <row r="388" s="13" customFormat="1">
      <c r="A388" s="13"/>
      <c r="B388" s="232"/>
      <c r="C388" s="233"/>
      <c r="D388" s="234" t="s">
        <v>165</v>
      </c>
      <c r="E388" s="235" t="s">
        <v>1</v>
      </c>
      <c r="F388" s="236" t="s">
        <v>644</v>
      </c>
      <c r="G388" s="233"/>
      <c r="H388" s="237">
        <v>570.24199999999996</v>
      </c>
      <c r="I388" s="238"/>
      <c r="J388" s="233"/>
      <c r="K388" s="233"/>
      <c r="L388" s="239"/>
      <c r="M388" s="240"/>
      <c r="N388" s="241"/>
      <c r="O388" s="241"/>
      <c r="P388" s="241"/>
      <c r="Q388" s="241"/>
      <c r="R388" s="241"/>
      <c r="S388" s="241"/>
      <c r="T388" s="242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T388" s="243" t="s">
        <v>165</v>
      </c>
      <c r="AU388" s="243" t="s">
        <v>86</v>
      </c>
      <c r="AV388" s="13" t="s">
        <v>86</v>
      </c>
      <c r="AW388" s="13" t="s">
        <v>32</v>
      </c>
      <c r="AX388" s="13" t="s">
        <v>77</v>
      </c>
      <c r="AY388" s="243" t="s">
        <v>157</v>
      </c>
    </row>
    <row r="389" s="13" customFormat="1">
      <c r="A389" s="13"/>
      <c r="B389" s="232"/>
      <c r="C389" s="233"/>
      <c r="D389" s="234" t="s">
        <v>165</v>
      </c>
      <c r="E389" s="235" t="s">
        <v>1</v>
      </c>
      <c r="F389" s="236" t="s">
        <v>645</v>
      </c>
      <c r="G389" s="233"/>
      <c r="H389" s="237">
        <v>72.772999999999996</v>
      </c>
      <c r="I389" s="238"/>
      <c r="J389" s="233"/>
      <c r="K389" s="233"/>
      <c r="L389" s="239"/>
      <c r="M389" s="240"/>
      <c r="N389" s="241"/>
      <c r="O389" s="241"/>
      <c r="P389" s="241"/>
      <c r="Q389" s="241"/>
      <c r="R389" s="241"/>
      <c r="S389" s="241"/>
      <c r="T389" s="242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T389" s="243" t="s">
        <v>165</v>
      </c>
      <c r="AU389" s="243" t="s">
        <v>86</v>
      </c>
      <c r="AV389" s="13" t="s">
        <v>86</v>
      </c>
      <c r="AW389" s="13" t="s">
        <v>32</v>
      </c>
      <c r="AX389" s="13" t="s">
        <v>77</v>
      </c>
      <c r="AY389" s="243" t="s">
        <v>157</v>
      </c>
    </row>
    <row r="390" s="2" customFormat="1" ht="24.15" customHeight="1">
      <c r="A390" s="37"/>
      <c r="B390" s="38"/>
      <c r="C390" s="218" t="s">
        <v>667</v>
      </c>
      <c r="D390" s="218" t="s">
        <v>159</v>
      </c>
      <c r="E390" s="219" t="s">
        <v>668</v>
      </c>
      <c r="F390" s="220" t="s">
        <v>669</v>
      </c>
      <c r="G390" s="221" t="s">
        <v>209</v>
      </c>
      <c r="H390" s="222">
        <v>260.18700000000001</v>
      </c>
      <c r="I390" s="223"/>
      <c r="J390" s="224">
        <f>ROUND(I390*H390,0)</f>
        <v>0</v>
      </c>
      <c r="K390" s="225"/>
      <c r="L390" s="43"/>
      <c r="M390" s="226" t="s">
        <v>1</v>
      </c>
      <c r="N390" s="227" t="s">
        <v>42</v>
      </c>
      <c r="O390" s="90"/>
      <c r="P390" s="228">
        <f>O390*H390</f>
        <v>0</v>
      </c>
      <c r="Q390" s="228">
        <v>5.0000000000000002E-05</v>
      </c>
      <c r="R390" s="228">
        <f>Q390*H390</f>
        <v>0.013009350000000001</v>
      </c>
      <c r="S390" s="228">
        <v>0</v>
      </c>
      <c r="T390" s="229">
        <f>S390*H390</f>
        <v>0</v>
      </c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R390" s="230" t="s">
        <v>246</v>
      </c>
      <c r="AT390" s="230" t="s">
        <v>159</v>
      </c>
      <c r="AU390" s="230" t="s">
        <v>86</v>
      </c>
      <c r="AY390" s="16" t="s">
        <v>157</v>
      </c>
      <c r="BE390" s="231">
        <f>IF(N390="základní",J390,0)</f>
        <v>0</v>
      </c>
      <c r="BF390" s="231">
        <f>IF(N390="snížená",J390,0)</f>
        <v>0</v>
      </c>
      <c r="BG390" s="231">
        <f>IF(N390="zákl. přenesená",J390,0)</f>
        <v>0</v>
      </c>
      <c r="BH390" s="231">
        <f>IF(N390="sníž. přenesená",J390,0)</f>
        <v>0</v>
      </c>
      <c r="BI390" s="231">
        <f>IF(N390="nulová",J390,0)</f>
        <v>0</v>
      </c>
      <c r="BJ390" s="16" t="s">
        <v>8</v>
      </c>
      <c r="BK390" s="231">
        <f>ROUND(I390*H390,0)</f>
        <v>0</v>
      </c>
      <c r="BL390" s="16" t="s">
        <v>246</v>
      </c>
      <c r="BM390" s="230" t="s">
        <v>670</v>
      </c>
    </row>
    <row r="391" s="13" customFormat="1">
      <c r="A391" s="13"/>
      <c r="B391" s="232"/>
      <c r="C391" s="233"/>
      <c r="D391" s="234" t="s">
        <v>165</v>
      </c>
      <c r="E391" s="235" t="s">
        <v>1</v>
      </c>
      <c r="F391" s="236" t="s">
        <v>650</v>
      </c>
      <c r="G391" s="233"/>
      <c r="H391" s="237">
        <v>83.201999999999998</v>
      </c>
      <c r="I391" s="238"/>
      <c r="J391" s="233"/>
      <c r="K391" s="233"/>
      <c r="L391" s="239"/>
      <c r="M391" s="240"/>
      <c r="N391" s="241"/>
      <c r="O391" s="241"/>
      <c r="P391" s="241"/>
      <c r="Q391" s="241"/>
      <c r="R391" s="241"/>
      <c r="S391" s="241"/>
      <c r="T391" s="242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T391" s="243" t="s">
        <v>165</v>
      </c>
      <c r="AU391" s="243" t="s">
        <v>86</v>
      </c>
      <c r="AV391" s="13" t="s">
        <v>86</v>
      </c>
      <c r="AW391" s="13" t="s">
        <v>32</v>
      </c>
      <c r="AX391" s="13" t="s">
        <v>77</v>
      </c>
      <c r="AY391" s="243" t="s">
        <v>157</v>
      </c>
    </row>
    <row r="392" s="13" customFormat="1">
      <c r="A392" s="13"/>
      <c r="B392" s="232"/>
      <c r="C392" s="233"/>
      <c r="D392" s="234" t="s">
        <v>165</v>
      </c>
      <c r="E392" s="235" t="s">
        <v>1</v>
      </c>
      <c r="F392" s="236" t="s">
        <v>671</v>
      </c>
      <c r="G392" s="233"/>
      <c r="H392" s="237">
        <v>176.98500000000001</v>
      </c>
      <c r="I392" s="238"/>
      <c r="J392" s="233"/>
      <c r="K392" s="233"/>
      <c r="L392" s="239"/>
      <c r="M392" s="240"/>
      <c r="N392" s="241"/>
      <c r="O392" s="241"/>
      <c r="P392" s="241"/>
      <c r="Q392" s="241"/>
      <c r="R392" s="241"/>
      <c r="S392" s="241"/>
      <c r="T392" s="242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T392" s="243" t="s">
        <v>165</v>
      </c>
      <c r="AU392" s="243" t="s">
        <v>86</v>
      </c>
      <c r="AV392" s="13" t="s">
        <v>86</v>
      </c>
      <c r="AW392" s="13" t="s">
        <v>32</v>
      </c>
      <c r="AX392" s="13" t="s">
        <v>77</v>
      </c>
      <c r="AY392" s="243" t="s">
        <v>157</v>
      </c>
    </row>
    <row r="393" s="2" customFormat="1" ht="21.75" customHeight="1">
      <c r="A393" s="37"/>
      <c r="B393" s="38"/>
      <c r="C393" s="254" t="s">
        <v>672</v>
      </c>
      <c r="D393" s="254" t="s">
        <v>229</v>
      </c>
      <c r="E393" s="255" t="s">
        <v>673</v>
      </c>
      <c r="F393" s="256" t="s">
        <v>674</v>
      </c>
      <c r="G393" s="257" t="s">
        <v>209</v>
      </c>
      <c r="H393" s="258">
        <v>1058.713</v>
      </c>
      <c r="I393" s="259"/>
      <c r="J393" s="260">
        <f>ROUND(I393*H393,0)</f>
        <v>0</v>
      </c>
      <c r="K393" s="261"/>
      <c r="L393" s="262"/>
      <c r="M393" s="263" t="s">
        <v>1</v>
      </c>
      <c r="N393" s="264" t="s">
        <v>42</v>
      </c>
      <c r="O393" s="90"/>
      <c r="P393" s="228">
        <f>O393*H393</f>
        <v>0</v>
      </c>
      <c r="Q393" s="228">
        <v>0.0025400000000000002</v>
      </c>
      <c r="R393" s="228">
        <f>Q393*H393</f>
        <v>2.68913102</v>
      </c>
      <c r="S393" s="228">
        <v>0</v>
      </c>
      <c r="T393" s="229">
        <f>S393*H393</f>
        <v>0</v>
      </c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R393" s="230" t="s">
        <v>329</v>
      </c>
      <c r="AT393" s="230" t="s">
        <v>229</v>
      </c>
      <c r="AU393" s="230" t="s">
        <v>86</v>
      </c>
      <c r="AY393" s="16" t="s">
        <v>157</v>
      </c>
      <c r="BE393" s="231">
        <f>IF(N393="základní",J393,0)</f>
        <v>0</v>
      </c>
      <c r="BF393" s="231">
        <f>IF(N393="snížená",J393,0)</f>
        <v>0</v>
      </c>
      <c r="BG393" s="231">
        <f>IF(N393="zákl. přenesená",J393,0)</f>
        <v>0</v>
      </c>
      <c r="BH393" s="231">
        <f>IF(N393="sníž. přenesená",J393,0)</f>
        <v>0</v>
      </c>
      <c r="BI393" s="231">
        <f>IF(N393="nulová",J393,0)</f>
        <v>0</v>
      </c>
      <c r="BJ393" s="16" t="s">
        <v>8</v>
      </c>
      <c r="BK393" s="231">
        <f>ROUND(I393*H393,0)</f>
        <v>0</v>
      </c>
      <c r="BL393" s="16" t="s">
        <v>246</v>
      </c>
      <c r="BM393" s="230" t="s">
        <v>675</v>
      </c>
    </row>
    <row r="394" s="13" customFormat="1">
      <c r="A394" s="13"/>
      <c r="B394" s="232"/>
      <c r="C394" s="233"/>
      <c r="D394" s="234" t="s">
        <v>165</v>
      </c>
      <c r="E394" s="235" t="s">
        <v>1</v>
      </c>
      <c r="F394" s="236" t="s">
        <v>656</v>
      </c>
      <c r="G394" s="233"/>
      <c r="H394" s="237">
        <v>908.37699999999995</v>
      </c>
      <c r="I394" s="238"/>
      <c r="J394" s="233"/>
      <c r="K394" s="233"/>
      <c r="L394" s="239"/>
      <c r="M394" s="240"/>
      <c r="N394" s="241"/>
      <c r="O394" s="241"/>
      <c r="P394" s="241"/>
      <c r="Q394" s="241"/>
      <c r="R394" s="241"/>
      <c r="S394" s="241"/>
      <c r="T394" s="242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T394" s="243" t="s">
        <v>165</v>
      </c>
      <c r="AU394" s="243" t="s">
        <v>86</v>
      </c>
      <c r="AV394" s="13" t="s">
        <v>86</v>
      </c>
      <c r="AW394" s="13" t="s">
        <v>32</v>
      </c>
      <c r="AX394" s="13" t="s">
        <v>8</v>
      </c>
      <c r="AY394" s="243" t="s">
        <v>157</v>
      </c>
    </row>
    <row r="395" s="13" customFormat="1">
      <c r="A395" s="13"/>
      <c r="B395" s="232"/>
      <c r="C395" s="233"/>
      <c r="D395" s="234" t="s">
        <v>165</v>
      </c>
      <c r="E395" s="233"/>
      <c r="F395" s="236" t="s">
        <v>676</v>
      </c>
      <c r="G395" s="233"/>
      <c r="H395" s="237">
        <v>1058.713</v>
      </c>
      <c r="I395" s="238"/>
      <c r="J395" s="233"/>
      <c r="K395" s="233"/>
      <c r="L395" s="239"/>
      <c r="M395" s="240"/>
      <c r="N395" s="241"/>
      <c r="O395" s="241"/>
      <c r="P395" s="241"/>
      <c r="Q395" s="241"/>
      <c r="R395" s="241"/>
      <c r="S395" s="241"/>
      <c r="T395" s="242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T395" s="243" t="s">
        <v>165</v>
      </c>
      <c r="AU395" s="243" t="s">
        <v>86</v>
      </c>
      <c r="AV395" s="13" t="s">
        <v>86</v>
      </c>
      <c r="AW395" s="13" t="s">
        <v>4</v>
      </c>
      <c r="AX395" s="13" t="s">
        <v>8</v>
      </c>
      <c r="AY395" s="243" t="s">
        <v>157</v>
      </c>
    </row>
    <row r="396" s="2" customFormat="1" ht="24.15" customHeight="1">
      <c r="A396" s="37"/>
      <c r="B396" s="38"/>
      <c r="C396" s="218" t="s">
        <v>677</v>
      </c>
      <c r="D396" s="218" t="s">
        <v>159</v>
      </c>
      <c r="E396" s="219" t="s">
        <v>678</v>
      </c>
      <c r="F396" s="220" t="s">
        <v>679</v>
      </c>
      <c r="G396" s="221" t="s">
        <v>209</v>
      </c>
      <c r="H396" s="222">
        <v>643.01499999999999</v>
      </c>
      <c r="I396" s="223"/>
      <c r="J396" s="224">
        <f>ROUND(I396*H396,0)</f>
        <v>0</v>
      </c>
      <c r="K396" s="225"/>
      <c r="L396" s="43"/>
      <c r="M396" s="226" t="s">
        <v>1</v>
      </c>
      <c r="N396" s="227" t="s">
        <v>42</v>
      </c>
      <c r="O396" s="90"/>
      <c r="P396" s="228">
        <f>O396*H396</f>
        <v>0</v>
      </c>
      <c r="Q396" s="228">
        <v>0</v>
      </c>
      <c r="R396" s="228">
        <f>Q396*H396</f>
        <v>0</v>
      </c>
      <c r="S396" s="228">
        <v>0</v>
      </c>
      <c r="T396" s="229">
        <f>S396*H396</f>
        <v>0</v>
      </c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R396" s="230" t="s">
        <v>246</v>
      </c>
      <c r="AT396" s="230" t="s">
        <v>159</v>
      </c>
      <c r="AU396" s="230" t="s">
        <v>86</v>
      </c>
      <c r="AY396" s="16" t="s">
        <v>157</v>
      </c>
      <c r="BE396" s="231">
        <f>IF(N396="základní",J396,0)</f>
        <v>0</v>
      </c>
      <c r="BF396" s="231">
        <f>IF(N396="snížená",J396,0)</f>
        <v>0</v>
      </c>
      <c r="BG396" s="231">
        <f>IF(N396="zákl. přenesená",J396,0)</f>
        <v>0</v>
      </c>
      <c r="BH396" s="231">
        <f>IF(N396="sníž. přenesená",J396,0)</f>
        <v>0</v>
      </c>
      <c r="BI396" s="231">
        <f>IF(N396="nulová",J396,0)</f>
        <v>0</v>
      </c>
      <c r="BJ396" s="16" t="s">
        <v>8</v>
      </c>
      <c r="BK396" s="231">
        <f>ROUND(I396*H396,0)</f>
        <v>0</v>
      </c>
      <c r="BL396" s="16" t="s">
        <v>246</v>
      </c>
      <c r="BM396" s="230" t="s">
        <v>680</v>
      </c>
    </row>
    <row r="397" s="2" customFormat="1" ht="24.15" customHeight="1">
      <c r="A397" s="37"/>
      <c r="B397" s="38"/>
      <c r="C397" s="218" t="s">
        <v>681</v>
      </c>
      <c r="D397" s="218" t="s">
        <v>159</v>
      </c>
      <c r="E397" s="219" t="s">
        <v>682</v>
      </c>
      <c r="F397" s="220" t="s">
        <v>683</v>
      </c>
      <c r="G397" s="221" t="s">
        <v>209</v>
      </c>
      <c r="H397" s="222">
        <v>643.01499999999999</v>
      </c>
      <c r="I397" s="223"/>
      <c r="J397" s="224">
        <f>ROUND(I397*H397,0)</f>
        <v>0</v>
      </c>
      <c r="K397" s="225"/>
      <c r="L397" s="43"/>
      <c r="M397" s="226" t="s">
        <v>1</v>
      </c>
      <c r="N397" s="227" t="s">
        <v>42</v>
      </c>
      <c r="O397" s="90"/>
      <c r="P397" s="228">
        <f>O397*H397</f>
        <v>0</v>
      </c>
      <c r="Q397" s="228">
        <v>0</v>
      </c>
      <c r="R397" s="228">
        <f>Q397*H397</f>
        <v>0</v>
      </c>
      <c r="S397" s="228">
        <v>0</v>
      </c>
      <c r="T397" s="229">
        <f>S397*H397</f>
        <v>0</v>
      </c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R397" s="230" t="s">
        <v>246</v>
      </c>
      <c r="AT397" s="230" t="s">
        <v>159</v>
      </c>
      <c r="AU397" s="230" t="s">
        <v>86</v>
      </c>
      <c r="AY397" s="16" t="s">
        <v>157</v>
      </c>
      <c r="BE397" s="231">
        <f>IF(N397="základní",J397,0)</f>
        <v>0</v>
      </c>
      <c r="BF397" s="231">
        <f>IF(N397="snížená",J397,0)</f>
        <v>0</v>
      </c>
      <c r="BG397" s="231">
        <f>IF(N397="zákl. přenesená",J397,0)</f>
        <v>0</v>
      </c>
      <c r="BH397" s="231">
        <f>IF(N397="sníž. přenesená",J397,0)</f>
        <v>0</v>
      </c>
      <c r="BI397" s="231">
        <f>IF(N397="nulová",J397,0)</f>
        <v>0</v>
      </c>
      <c r="BJ397" s="16" t="s">
        <v>8</v>
      </c>
      <c r="BK397" s="231">
        <f>ROUND(I397*H397,0)</f>
        <v>0</v>
      </c>
      <c r="BL397" s="16" t="s">
        <v>246</v>
      </c>
      <c r="BM397" s="230" t="s">
        <v>684</v>
      </c>
    </row>
    <row r="398" s="2" customFormat="1" ht="24.15" customHeight="1">
      <c r="A398" s="37"/>
      <c r="B398" s="38"/>
      <c r="C398" s="218" t="s">
        <v>685</v>
      </c>
      <c r="D398" s="218" t="s">
        <v>159</v>
      </c>
      <c r="E398" s="219" t="s">
        <v>686</v>
      </c>
      <c r="F398" s="220" t="s">
        <v>687</v>
      </c>
      <c r="G398" s="221" t="s">
        <v>209</v>
      </c>
      <c r="H398" s="222">
        <v>324.822</v>
      </c>
      <c r="I398" s="223"/>
      <c r="J398" s="224">
        <f>ROUND(I398*H398,0)</f>
        <v>0</v>
      </c>
      <c r="K398" s="225"/>
      <c r="L398" s="43"/>
      <c r="M398" s="226" t="s">
        <v>1</v>
      </c>
      <c r="N398" s="227" t="s">
        <v>42</v>
      </c>
      <c r="O398" s="90"/>
      <c r="P398" s="228">
        <f>O398*H398</f>
        <v>0</v>
      </c>
      <c r="Q398" s="228">
        <v>0</v>
      </c>
      <c r="R398" s="228">
        <f>Q398*H398</f>
        <v>0</v>
      </c>
      <c r="S398" s="228">
        <v>0</v>
      </c>
      <c r="T398" s="229">
        <f>S398*H398</f>
        <v>0</v>
      </c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R398" s="230" t="s">
        <v>246</v>
      </c>
      <c r="AT398" s="230" t="s">
        <v>159</v>
      </c>
      <c r="AU398" s="230" t="s">
        <v>86</v>
      </c>
      <c r="AY398" s="16" t="s">
        <v>157</v>
      </c>
      <c r="BE398" s="231">
        <f>IF(N398="základní",J398,0)</f>
        <v>0</v>
      </c>
      <c r="BF398" s="231">
        <f>IF(N398="snížená",J398,0)</f>
        <v>0</v>
      </c>
      <c r="BG398" s="231">
        <f>IF(N398="zákl. přenesená",J398,0)</f>
        <v>0</v>
      </c>
      <c r="BH398" s="231">
        <f>IF(N398="sníž. přenesená",J398,0)</f>
        <v>0</v>
      </c>
      <c r="BI398" s="231">
        <f>IF(N398="nulová",J398,0)</f>
        <v>0</v>
      </c>
      <c r="BJ398" s="16" t="s">
        <v>8</v>
      </c>
      <c r="BK398" s="231">
        <f>ROUND(I398*H398,0)</f>
        <v>0</v>
      </c>
      <c r="BL398" s="16" t="s">
        <v>246</v>
      </c>
      <c r="BM398" s="230" t="s">
        <v>688</v>
      </c>
    </row>
    <row r="399" s="13" customFormat="1">
      <c r="A399" s="13"/>
      <c r="B399" s="232"/>
      <c r="C399" s="233"/>
      <c r="D399" s="234" t="s">
        <v>165</v>
      </c>
      <c r="E399" s="235" t="s">
        <v>1</v>
      </c>
      <c r="F399" s="236" t="s">
        <v>689</v>
      </c>
      <c r="G399" s="233"/>
      <c r="H399" s="237">
        <v>260.18700000000001</v>
      </c>
      <c r="I399" s="238"/>
      <c r="J399" s="233"/>
      <c r="K399" s="233"/>
      <c r="L399" s="239"/>
      <c r="M399" s="240"/>
      <c r="N399" s="241"/>
      <c r="O399" s="241"/>
      <c r="P399" s="241"/>
      <c r="Q399" s="241"/>
      <c r="R399" s="241"/>
      <c r="S399" s="241"/>
      <c r="T399" s="242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T399" s="243" t="s">
        <v>165</v>
      </c>
      <c r="AU399" s="243" t="s">
        <v>86</v>
      </c>
      <c r="AV399" s="13" t="s">
        <v>86</v>
      </c>
      <c r="AW399" s="13" t="s">
        <v>32</v>
      </c>
      <c r="AX399" s="13" t="s">
        <v>77</v>
      </c>
      <c r="AY399" s="243" t="s">
        <v>157</v>
      </c>
    </row>
    <row r="400" s="13" customFormat="1">
      <c r="A400" s="13"/>
      <c r="B400" s="232"/>
      <c r="C400" s="233"/>
      <c r="D400" s="234" t="s">
        <v>165</v>
      </c>
      <c r="E400" s="235" t="s">
        <v>1</v>
      </c>
      <c r="F400" s="236" t="s">
        <v>690</v>
      </c>
      <c r="G400" s="233"/>
      <c r="H400" s="237">
        <v>64.635000000000005</v>
      </c>
      <c r="I400" s="238"/>
      <c r="J400" s="233"/>
      <c r="K400" s="233"/>
      <c r="L400" s="239"/>
      <c r="M400" s="240"/>
      <c r="N400" s="241"/>
      <c r="O400" s="241"/>
      <c r="P400" s="241"/>
      <c r="Q400" s="241"/>
      <c r="R400" s="241"/>
      <c r="S400" s="241"/>
      <c r="T400" s="242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T400" s="243" t="s">
        <v>165</v>
      </c>
      <c r="AU400" s="243" t="s">
        <v>86</v>
      </c>
      <c r="AV400" s="13" t="s">
        <v>86</v>
      </c>
      <c r="AW400" s="13" t="s">
        <v>32</v>
      </c>
      <c r="AX400" s="13" t="s">
        <v>77</v>
      </c>
      <c r="AY400" s="243" t="s">
        <v>157</v>
      </c>
    </row>
    <row r="401" s="2" customFormat="1" ht="24.15" customHeight="1">
      <c r="A401" s="37"/>
      <c r="B401" s="38"/>
      <c r="C401" s="218" t="s">
        <v>691</v>
      </c>
      <c r="D401" s="218" t="s">
        <v>159</v>
      </c>
      <c r="E401" s="219" t="s">
        <v>692</v>
      </c>
      <c r="F401" s="220" t="s">
        <v>693</v>
      </c>
      <c r="G401" s="221" t="s">
        <v>209</v>
      </c>
      <c r="H401" s="222">
        <v>260.18700000000001</v>
      </c>
      <c r="I401" s="223"/>
      <c r="J401" s="224">
        <f>ROUND(I401*H401,0)</f>
        <v>0</v>
      </c>
      <c r="K401" s="225"/>
      <c r="L401" s="43"/>
      <c r="M401" s="226" t="s">
        <v>1</v>
      </c>
      <c r="N401" s="227" t="s">
        <v>42</v>
      </c>
      <c r="O401" s="90"/>
      <c r="P401" s="228">
        <f>O401*H401</f>
        <v>0</v>
      </c>
      <c r="Q401" s="228">
        <v>0</v>
      </c>
      <c r="R401" s="228">
        <f>Q401*H401</f>
        <v>0</v>
      </c>
      <c r="S401" s="228">
        <v>0</v>
      </c>
      <c r="T401" s="229">
        <f>S401*H401</f>
        <v>0</v>
      </c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R401" s="230" t="s">
        <v>246</v>
      </c>
      <c r="AT401" s="230" t="s">
        <v>159</v>
      </c>
      <c r="AU401" s="230" t="s">
        <v>86</v>
      </c>
      <c r="AY401" s="16" t="s">
        <v>157</v>
      </c>
      <c r="BE401" s="231">
        <f>IF(N401="základní",J401,0)</f>
        <v>0</v>
      </c>
      <c r="BF401" s="231">
        <f>IF(N401="snížená",J401,0)</f>
        <v>0</v>
      </c>
      <c r="BG401" s="231">
        <f>IF(N401="zákl. přenesená",J401,0)</f>
        <v>0</v>
      </c>
      <c r="BH401" s="231">
        <f>IF(N401="sníž. přenesená",J401,0)</f>
        <v>0</v>
      </c>
      <c r="BI401" s="231">
        <f>IF(N401="nulová",J401,0)</f>
        <v>0</v>
      </c>
      <c r="BJ401" s="16" t="s">
        <v>8</v>
      </c>
      <c r="BK401" s="231">
        <f>ROUND(I401*H401,0)</f>
        <v>0</v>
      </c>
      <c r="BL401" s="16" t="s">
        <v>246</v>
      </c>
      <c r="BM401" s="230" t="s">
        <v>694</v>
      </c>
    </row>
    <row r="402" s="2" customFormat="1" ht="24.15" customHeight="1">
      <c r="A402" s="37"/>
      <c r="B402" s="38"/>
      <c r="C402" s="254" t="s">
        <v>695</v>
      </c>
      <c r="D402" s="254" t="s">
        <v>229</v>
      </c>
      <c r="E402" s="255" t="s">
        <v>696</v>
      </c>
      <c r="F402" s="256" t="s">
        <v>697</v>
      </c>
      <c r="G402" s="257" t="s">
        <v>209</v>
      </c>
      <c r="H402" s="258">
        <v>1964.5909999999999</v>
      </c>
      <c r="I402" s="259"/>
      <c r="J402" s="260">
        <f>ROUND(I402*H402,0)</f>
        <v>0</v>
      </c>
      <c r="K402" s="261"/>
      <c r="L402" s="262"/>
      <c r="M402" s="263" t="s">
        <v>1</v>
      </c>
      <c r="N402" s="264" t="s">
        <v>42</v>
      </c>
      <c r="O402" s="90"/>
      <c r="P402" s="228">
        <f>O402*H402</f>
        <v>0</v>
      </c>
      <c r="Q402" s="228">
        <v>0.00050000000000000001</v>
      </c>
      <c r="R402" s="228">
        <f>Q402*H402</f>
        <v>0.98229549999999999</v>
      </c>
      <c r="S402" s="228">
        <v>0</v>
      </c>
      <c r="T402" s="229">
        <f>S402*H402</f>
        <v>0</v>
      </c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R402" s="230" t="s">
        <v>329</v>
      </c>
      <c r="AT402" s="230" t="s">
        <v>229</v>
      </c>
      <c r="AU402" s="230" t="s">
        <v>86</v>
      </c>
      <c r="AY402" s="16" t="s">
        <v>157</v>
      </c>
      <c r="BE402" s="231">
        <f>IF(N402="základní",J402,0)</f>
        <v>0</v>
      </c>
      <c r="BF402" s="231">
        <f>IF(N402="snížená",J402,0)</f>
        <v>0</v>
      </c>
      <c r="BG402" s="231">
        <f>IF(N402="zákl. přenesená",J402,0)</f>
        <v>0</v>
      </c>
      <c r="BH402" s="231">
        <f>IF(N402="sníž. přenesená",J402,0)</f>
        <v>0</v>
      </c>
      <c r="BI402" s="231">
        <f>IF(N402="nulová",J402,0)</f>
        <v>0</v>
      </c>
      <c r="BJ402" s="16" t="s">
        <v>8</v>
      </c>
      <c r="BK402" s="231">
        <f>ROUND(I402*H402,0)</f>
        <v>0</v>
      </c>
      <c r="BL402" s="16" t="s">
        <v>246</v>
      </c>
      <c r="BM402" s="230" t="s">
        <v>698</v>
      </c>
    </row>
    <row r="403" s="13" customFormat="1">
      <c r="A403" s="13"/>
      <c r="B403" s="232"/>
      <c r="C403" s="233"/>
      <c r="D403" s="234" t="s">
        <v>165</v>
      </c>
      <c r="E403" s="235" t="s">
        <v>1</v>
      </c>
      <c r="F403" s="236" t="s">
        <v>699</v>
      </c>
      <c r="G403" s="233"/>
      <c r="H403" s="237">
        <v>1871.039</v>
      </c>
      <c r="I403" s="238"/>
      <c r="J403" s="233"/>
      <c r="K403" s="233"/>
      <c r="L403" s="239"/>
      <c r="M403" s="240"/>
      <c r="N403" s="241"/>
      <c r="O403" s="241"/>
      <c r="P403" s="241"/>
      <c r="Q403" s="241"/>
      <c r="R403" s="241"/>
      <c r="S403" s="241"/>
      <c r="T403" s="242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T403" s="243" t="s">
        <v>165</v>
      </c>
      <c r="AU403" s="243" t="s">
        <v>86</v>
      </c>
      <c r="AV403" s="13" t="s">
        <v>86</v>
      </c>
      <c r="AW403" s="13" t="s">
        <v>32</v>
      </c>
      <c r="AX403" s="13" t="s">
        <v>77</v>
      </c>
      <c r="AY403" s="243" t="s">
        <v>157</v>
      </c>
    </row>
    <row r="404" s="13" customFormat="1">
      <c r="A404" s="13"/>
      <c r="B404" s="232"/>
      <c r="C404" s="233"/>
      <c r="D404" s="234" t="s">
        <v>165</v>
      </c>
      <c r="E404" s="233"/>
      <c r="F404" s="236" t="s">
        <v>700</v>
      </c>
      <c r="G404" s="233"/>
      <c r="H404" s="237">
        <v>1964.5909999999999</v>
      </c>
      <c r="I404" s="238"/>
      <c r="J404" s="233"/>
      <c r="K404" s="233"/>
      <c r="L404" s="239"/>
      <c r="M404" s="240"/>
      <c r="N404" s="241"/>
      <c r="O404" s="241"/>
      <c r="P404" s="241"/>
      <c r="Q404" s="241"/>
      <c r="R404" s="241"/>
      <c r="S404" s="241"/>
      <c r="T404" s="242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T404" s="243" t="s">
        <v>165</v>
      </c>
      <c r="AU404" s="243" t="s">
        <v>86</v>
      </c>
      <c r="AV404" s="13" t="s">
        <v>86</v>
      </c>
      <c r="AW404" s="13" t="s">
        <v>4</v>
      </c>
      <c r="AX404" s="13" t="s">
        <v>8</v>
      </c>
      <c r="AY404" s="243" t="s">
        <v>157</v>
      </c>
    </row>
    <row r="405" s="2" customFormat="1" ht="33" customHeight="1">
      <c r="A405" s="37"/>
      <c r="B405" s="38"/>
      <c r="C405" s="218" t="s">
        <v>701</v>
      </c>
      <c r="D405" s="218" t="s">
        <v>159</v>
      </c>
      <c r="E405" s="219" t="s">
        <v>702</v>
      </c>
      <c r="F405" s="220" t="s">
        <v>703</v>
      </c>
      <c r="G405" s="221" t="s">
        <v>193</v>
      </c>
      <c r="H405" s="222">
        <v>4.6669999999999998</v>
      </c>
      <c r="I405" s="223"/>
      <c r="J405" s="224">
        <f>ROUND(I405*H405,0)</f>
        <v>0</v>
      </c>
      <c r="K405" s="225"/>
      <c r="L405" s="43"/>
      <c r="M405" s="226" t="s">
        <v>1</v>
      </c>
      <c r="N405" s="227" t="s">
        <v>42</v>
      </c>
      <c r="O405" s="90"/>
      <c r="P405" s="228">
        <f>O405*H405</f>
        <v>0</v>
      </c>
      <c r="Q405" s="228">
        <v>0</v>
      </c>
      <c r="R405" s="228">
        <f>Q405*H405</f>
        <v>0</v>
      </c>
      <c r="S405" s="228">
        <v>0</v>
      </c>
      <c r="T405" s="229">
        <f>S405*H405</f>
        <v>0</v>
      </c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R405" s="230" t="s">
        <v>246</v>
      </c>
      <c r="AT405" s="230" t="s">
        <v>159</v>
      </c>
      <c r="AU405" s="230" t="s">
        <v>86</v>
      </c>
      <c r="AY405" s="16" t="s">
        <v>157</v>
      </c>
      <c r="BE405" s="231">
        <f>IF(N405="základní",J405,0)</f>
        <v>0</v>
      </c>
      <c r="BF405" s="231">
        <f>IF(N405="snížená",J405,0)</f>
        <v>0</v>
      </c>
      <c r="BG405" s="231">
        <f>IF(N405="zákl. přenesená",J405,0)</f>
        <v>0</v>
      </c>
      <c r="BH405" s="231">
        <f>IF(N405="sníž. přenesená",J405,0)</f>
        <v>0</v>
      </c>
      <c r="BI405" s="231">
        <f>IF(N405="nulová",J405,0)</f>
        <v>0</v>
      </c>
      <c r="BJ405" s="16" t="s">
        <v>8</v>
      </c>
      <c r="BK405" s="231">
        <f>ROUND(I405*H405,0)</f>
        <v>0</v>
      </c>
      <c r="BL405" s="16" t="s">
        <v>246</v>
      </c>
      <c r="BM405" s="230" t="s">
        <v>704</v>
      </c>
    </row>
    <row r="406" s="12" customFormat="1" ht="22.8" customHeight="1">
      <c r="A406" s="12"/>
      <c r="B406" s="202"/>
      <c r="C406" s="203"/>
      <c r="D406" s="204" t="s">
        <v>76</v>
      </c>
      <c r="E406" s="216" t="s">
        <v>705</v>
      </c>
      <c r="F406" s="216" t="s">
        <v>706</v>
      </c>
      <c r="G406" s="203"/>
      <c r="H406" s="203"/>
      <c r="I406" s="206"/>
      <c r="J406" s="217">
        <f>BK406</f>
        <v>0</v>
      </c>
      <c r="K406" s="203"/>
      <c r="L406" s="208"/>
      <c r="M406" s="209"/>
      <c r="N406" s="210"/>
      <c r="O406" s="210"/>
      <c r="P406" s="211">
        <f>SUM(P407:P459)</f>
        <v>0</v>
      </c>
      <c r="Q406" s="210"/>
      <c r="R406" s="211">
        <f>SUM(R407:R459)</f>
        <v>4.3288489900000009</v>
      </c>
      <c r="S406" s="210"/>
      <c r="T406" s="212">
        <f>SUM(T407:T459)</f>
        <v>0</v>
      </c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R406" s="213" t="s">
        <v>86</v>
      </c>
      <c r="AT406" s="214" t="s">
        <v>76</v>
      </c>
      <c r="AU406" s="214" t="s">
        <v>8</v>
      </c>
      <c r="AY406" s="213" t="s">
        <v>157</v>
      </c>
      <c r="BK406" s="215">
        <f>SUM(BK407:BK459)</f>
        <v>0</v>
      </c>
    </row>
    <row r="407" s="2" customFormat="1" ht="24.15" customHeight="1">
      <c r="A407" s="37"/>
      <c r="B407" s="38"/>
      <c r="C407" s="218" t="s">
        <v>707</v>
      </c>
      <c r="D407" s="218" t="s">
        <v>159</v>
      </c>
      <c r="E407" s="219" t="s">
        <v>708</v>
      </c>
      <c r="F407" s="220" t="s">
        <v>709</v>
      </c>
      <c r="G407" s="221" t="s">
        <v>209</v>
      </c>
      <c r="H407" s="222">
        <v>29.039999999999999</v>
      </c>
      <c r="I407" s="223"/>
      <c r="J407" s="224">
        <f>ROUND(I407*H407,0)</f>
        <v>0</v>
      </c>
      <c r="K407" s="225"/>
      <c r="L407" s="43"/>
      <c r="M407" s="226" t="s">
        <v>1</v>
      </c>
      <c r="N407" s="227" t="s">
        <v>42</v>
      </c>
      <c r="O407" s="90"/>
      <c r="P407" s="228">
        <f>O407*H407</f>
        <v>0</v>
      </c>
      <c r="Q407" s="228">
        <v>0</v>
      </c>
      <c r="R407" s="228">
        <f>Q407*H407</f>
        <v>0</v>
      </c>
      <c r="S407" s="228">
        <v>0</v>
      </c>
      <c r="T407" s="229">
        <f>S407*H407</f>
        <v>0</v>
      </c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R407" s="230" t="s">
        <v>246</v>
      </c>
      <c r="AT407" s="230" t="s">
        <v>159</v>
      </c>
      <c r="AU407" s="230" t="s">
        <v>86</v>
      </c>
      <c r="AY407" s="16" t="s">
        <v>157</v>
      </c>
      <c r="BE407" s="231">
        <f>IF(N407="základní",J407,0)</f>
        <v>0</v>
      </c>
      <c r="BF407" s="231">
        <f>IF(N407="snížená",J407,0)</f>
        <v>0</v>
      </c>
      <c r="BG407" s="231">
        <f>IF(N407="zákl. přenesená",J407,0)</f>
        <v>0</v>
      </c>
      <c r="BH407" s="231">
        <f>IF(N407="sníž. přenesená",J407,0)</f>
        <v>0</v>
      </c>
      <c r="BI407" s="231">
        <f>IF(N407="nulová",J407,0)</f>
        <v>0</v>
      </c>
      <c r="BJ407" s="16" t="s">
        <v>8</v>
      </c>
      <c r="BK407" s="231">
        <f>ROUND(I407*H407,0)</f>
        <v>0</v>
      </c>
      <c r="BL407" s="16" t="s">
        <v>246</v>
      </c>
      <c r="BM407" s="230" t="s">
        <v>710</v>
      </c>
    </row>
    <row r="408" s="13" customFormat="1">
      <c r="A408" s="13"/>
      <c r="B408" s="232"/>
      <c r="C408" s="233"/>
      <c r="D408" s="234" t="s">
        <v>165</v>
      </c>
      <c r="E408" s="235" t="s">
        <v>1</v>
      </c>
      <c r="F408" s="236" t="s">
        <v>555</v>
      </c>
      <c r="G408" s="233"/>
      <c r="H408" s="237">
        <v>29.039999999999999</v>
      </c>
      <c r="I408" s="238"/>
      <c r="J408" s="233"/>
      <c r="K408" s="233"/>
      <c r="L408" s="239"/>
      <c r="M408" s="240"/>
      <c r="N408" s="241"/>
      <c r="O408" s="241"/>
      <c r="P408" s="241"/>
      <c r="Q408" s="241"/>
      <c r="R408" s="241"/>
      <c r="S408" s="241"/>
      <c r="T408" s="242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T408" s="243" t="s">
        <v>165</v>
      </c>
      <c r="AU408" s="243" t="s">
        <v>86</v>
      </c>
      <c r="AV408" s="13" t="s">
        <v>86</v>
      </c>
      <c r="AW408" s="13" t="s">
        <v>32</v>
      </c>
      <c r="AX408" s="13" t="s">
        <v>77</v>
      </c>
      <c r="AY408" s="243" t="s">
        <v>157</v>
      </c>
    </row>
    <row r="409" s="2" customFormat="1" ht="16.5" customHeight="1">
      <c r="A409" s="37"/>
      <c r="B409" s="38"/>
      <c r="C409" s="254" t="s">
        <v>711</v>
      </c>
      <c r="D409" s="254" t="s">
        <v>229</v>
      </c>
      <c r="E409" s="255" t="s">
        <v>712</v>
      </c>
      <c r="F409" s="256" t="s">
        <v>713</v>
      </c>
      <c r="G409" s="257" t="s">
        <v>193</v>
      </c>
      <c r="H409" s="258">
        <v>0.0089999999999999993</v>
      </c>
      <c r="I409" s="259"/>
      <c r="J409" s="260">
        <f>ROUND(I409*H409,0)</f>
        <v>0</v>
      </c>
      <c r="K409" s="261"/>
      <c r="L409" s="262"/>
      <c r="M409" s="263" t="s">
        <v>1</v>
      </c>
      <c r="N409" s="264" t="s">
        <v>42</v>
      </c>
      <c r="O409" s="90"/>
      <c r="P409" s="228">
        <f>O409*H409</f>
        <v>0</v>
      </c>
      <c r="Q409" s="228">
        <v>1</v>
      </c>
      <c r="R409" s="228">
        <f>Q409*H409</f>
        <v>0.0089999999999999993</v>
      </c>
      <c r="S409" s="228">
        <v>0</v>
      </c>
      <c r="T409" s="229">
        <f>S409*H409</f>
        <v>0</v>
      </c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R409" s="230" t="s">
        <v>329</v>
      </c>
      <c r="AT409" s="230" t="s">
        <v>229</v>
      </c>
      <c r="AU409" s="230" t="s">
        <v>86</v>
      </c>
      <c r="AY409" s="16" t="s">
        <v>157</v>
      </c>
      <c r="BE409" s="231">
        <f>IF(N409="základní",J409,0)</f>
        <v>0</v>
      </c>
      <c r="BF409" s="231">
        <f>IF(N409="snížená",J409,0)</f>
        <v>0</v>
      </c>
      <c r="BG409" s="231">
        <f>IF(N409="zákl. přenesená",J409,0)</f>
        <v>0</v>
      </c>
      <c r="BH409" s="231">
        <f>IF(N409="sníž. přenesená",J409,0)</f>
        <v>0</v>
      </c>
      <c r="BI409" s="231">
        <f>IF(N409="nulová",J409,0)</f>
        <v>0</v>
      </c>
      <c r="BJ409" s="16" t="s">
        <v>8</v>
      </c>
      <c r="BK409" s="231">
        <f>ROUND(I409*H409,0)</f>
        <v>0</v>
      </c>
      <c r="BL409" s="16" t="s">
        <v>246</v>
      </c>
      <c r="BM409" s="230" t="s">
        <v>714</v>
      </c>
    </row>
    <row r="410" s="13" customFormat="1">
      <c r="A410" s="13"/>
      <c r="B410" s="232"/>
      <c r="C410" s="233"/>
      <c r="D410" s="234" t="s">
        <v>165</v>
      </c>
      <c r="E410" s="235" t="s">
        <v>1</v>
      </c>
      <c r="F410" s="236" t="s">
        <v>560</v>
      </c>
      <c r="G410" s="233"/>
      <c r="H410" s="237">
        <v>29.039999999999999</v>
      </c>
      <c r="I410" s="238"/>
      <c r="J410" s="233"/>
      <c r="K410" s="233"/>
      <c r="L410" s="239"/>
      <c r="M410" s="240"/>
      <c r="N410" s="241"/>
      <c r="O410" s="241"/>
      <c r="P410" s="241"/>
      <c r="Q410" s="241"/>
      <c r="R410" s="241"/>
      <c r="S410" s="241"/>
      <c r="T410" s="242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T410" s="243" t="s">
        <v>165</v>
      </c>
      <c r="AU410" s="243" t="s">
        <v>86</v>
      </c>
      <c r="AV410" s="13" t="s">
        <v>86</v>
      </c>
      <c r="AW410" s="13" t="s">
        <v>32</v>
      </c>
      <c r="AX410" s="13" t="s">
        <v>8</v>
      </c>
      <c r="AY410" s="243" t="s">
        <v>157</v>
      </c>
    </row>
    <row r="411" s="13" customFormat="1">
      <c r="A411" s="13"/>
      <c r="B411" s="232"/>
      <c r="C411" s="233"/>
      <c r="D411" s="234" t="s">
        <v>165</v>
      </c>
      <c r="E411" s="233"/>
      <c r="F411" s="236" t="s">
        <v>715</v>
      </c>
      <c r="G411" s="233"/>
      <c r="H411" s="237">
        <v>0.0089999999999999993</v>
      </c>
      <c r="I411" s="238"/>
      <c r="J411" s="233"/>
      <c r="K411" s="233"/>
      <c r="L411" s="239"/>
      <c r="M411" s="240"/>
      <c r="N411" s="241"/>
      <c r="O411" s="241"/>
      <c r="P411" s="241"/>
      <c r="Q411" s="241"/>
      <c r="R411" s="241"/>
      <c r="S411" s="241"/>
      <c r="T411" s="242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T411" s="243" t="s">
        <v>165</v>
      </c>
      <c r="AU411" s="243" t="s">
        <v>86</v>
      </c>
      <c r="AV411" s="13" t="s">
        <v>86</v>
      </c>
      <c r="AW411" s="13" t="s">
        <v>4</v>
      </c>
      <c r="AX411" s="13" t="s">
        <v>8</v>
      </c>
      <c r="AY411" s="243" t="s">
        <v>157</v>
      </c>
    </row>
    <row r="412" s="2" customFormat="1" ht="24.15" customHeight="1">
      <c r="A412" s="37"/>
      <c r="B412" s="38"/>
      <c r="C412" s="218" t="s">
        <v>716</v>
      </c>
      <c r="D412" s="218" t="s">
        <v>159</v>
      </c>
      <c r="E412" s="219" t="s">
        <v>717</v>
      </c>
      <c r="F412" s="220" t="s">
        <v>718</v>
      </c>
      <c r="G412" s="221" t="s">
        <v>209</v>
      </c>
      <c r="H412" s="222">
        <v>29.039999999999999</v>
      </c>
      <c r="I412" s="223"/>
      <c r="J412" s="224">
        <f>ROUND(I412*H412,0)</f>
        <v>0</v>
      </c>
      <c r="K412" s="225"/>
      <c r="L412" s="43"/>
      <c r="M412" s="226" t="s">
        <v>1</v>
      </c>
      <c r="N412" s="227" t="s">
        <v>42</v>
      </c>
      <c r="O412" s="90"/>
      <c r="P412" s="228">
        <f>O412*H412</f>
        <v>0</v>
      </c>
      <c r="Q412" s="228">
        <v>0.00088000000000000003</v>
      </c>
      <c r="R412" s="228">
        <f>Q412*H412</f>
        <v>0.0255552</v>
      </c>
      <c r="S412" s="228">
        <v>0</v>
      </c>
      <c r="T412" s="229">
        <f>S412*H412</f>
        <v>0</v>
      </c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R412" s="230" t="s">
        <v>246</v>
      </c>
      <c r="AT412" s="230" t="s">
        <v>159</v>
      </c>
      <c r="AU412" s="230" t="s">
        <v>86</v>
      </c>
      <c r="AY412" s="16" t="s">
        <v>157</v>
      </c>
      <c r="BE412" s="231">
        <f>IF(N412="základní",J412,0)</f>
        <v>0</v>
      </c>
      <c r="BF412" s="231">
        <f>IF(N412="snížená",J412,0)</f>
        <v>0</v>
      </c>
      <c r="BG412" s="231">
        <f>IF(N412="zákl. přenesená",J412,0)</f>
        <v>0</v>
      </c>
      <c r="BH412" s="231">
        <f>IF(N412="sníž. přenesená",J412,0)</f>
        <v>0</v>
      </c>
      <c r="BI412" s="231">
        <f>IF(N412="nulová",J412,0)</f>
        <v>0</v>
      </c>
      <c r="BJ412" s="16" t="s">
        <v>8</v>
      </c>
      <c r="BK412" s="231">
        <f>ROUND(I412*H412,0)</f>
        <v>0</v>
      </c>
      <c r="BL412" s="16" t="s">
        <v>246</v>
      </c>
      <c r="BM412" s="230" t="s">
        <v>719</v>
      </c>
    </row>
    <row r="413" s="13" customFormat="1">
      <c r="A413" s="13"/>
      <c r="B413" s="232"/>
      <c r="C413" s="233"/>
      <c r="D413" s="234" t="s">
        <v>165</v>
      </c>
      <c r="E413" s="235" t="s">
        <v>1</v>
      </c>
      <c r="F413" s="236" t="s">
        <v>555</v>
      </c>
      <c r="G413" s="233"/>
      <c r="H413" s="237">
        <v>29.039999999999999</v>
      </c>
      <c r="I413" s="238"/>
      <c r="J413" s="233"/>
      <c r="K413" s="233"/>
      <c r="L413" s="239"/>
      <c r="M413" s="240"/>
      <c r="N413" s="241"/>
      <c r="O413" s="241"/>
      <c r="P413" s="241"/>
      <c r="Q413" s="241"/>
      <c r="R413" s="241"/>
      <c r="S413" s="241"/>
      <c r="T413" s="242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T413" s="243" t="s">
        <v>165</v>
      </c>
      <c r="AU413" s="243" t="s">
        <v>86</v>
      </c>
      <c r="AV413" s="13" t="s">
        <v>86</v>
      </c>
      <c r="AW413" s="13" t="s">
        <v>32</v>
      </c>
      <c r="AX413" s="13" t="s">
        <v>77</v>
      </c>
      <c r="AY413" s="243" t="s">
        <v>157</v>
      </c>
    </row>
    <row r="414" s="2" customFormat="1" ht="49.05" customHeight="1">
      <c r="A414" s="37"/>
      <c r="B414" s="38"/>
      <c r="C414" s="254" t="s">
        <v>720</v>
      </c>
      <c r="D414" s="254" t="s">
        <v>229</v>
      </c>
      <c r="E414" s="255" t="s">
        <v>721</v>
      </c>
      <c r="F414" s="256" t="s">
        <v>722</v>
      </c>
      <c r="G414" s="257" t="s">
        <v>209</v>
      </c>
      <c r="H414" s="258">
        <v>33.845999999999997</v>
      </c>
      <c r="I414" s="259"/>
      <c r="J414" s="260">
        <f>ROUND(I414*H414,0)</f>
        <v>0</v>
      </c>
      <c r="K414" s="261"/>
      <c r="L414" s="262"/>
      <c r="M414" s="263" t="s">
        <v>1</v>
      </c>
      <c r="N414" s="264" t="s">
        <v>42</v>
      </c>
      <c r="O414" s="90"/>
      <c r="P414" s="228">
        <f>O414*H414</f>
        <v>0</v>
      </c>
      <c r="Q414" s="228">
        <v>0.0054000000000000003</v>
      </c>
      <c r="R414" s="228">
        <f>Q414*H414</f>
        <v>0.1827684</v>
      </c>
      <c r="S414" s="228">
        <v>0</v>
      </c>
      <c r="T414" s="229">
        <f>S414*H414</f>
        <v>0</v>
      </c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R414" s="230" t="s">
        <v>329</v>
      </c>
      <c r="AT414" s="230" t="s">
        <v>229</v>
      </c>
      <c r="AU414" s="230" t="s">
        <v>86</v>
      </c>
      <c r="AY414" s="16" t="s">
        <v>157</v>
      </c>
      <c r="BE414" s="231">
        <f>IF(N414="základní",J414,0)</f>
        <v>0</v>
      </c>
      <c r="BF414" s="231">
        <f>IF(N414="snížená",J414,0)</f>
        <v>0</v>
      </c>
      <c r="BG414" s="231">
        <f>IF(N414="zákl. přenesená",J414,0)</f>
        <v>0</v>
      </c>
      <c r="BH414" s="231">
        <f>IF(N414="sníž. přenesená",J414,0)</f>
        <v>0</v>
      </c>
      <c r="BI414" s="231">
        <f>IF(N414="nulová",J414,0)</f>
        <v>0</v>
      </c>
      <c r="BJ414" s="16" t="s">
        <v>8</v>
      </c>
      <c r="BK414" s="231">
        <f>ROUND(I414*H414,0)</f>
        <v>0</v>
      </c>
      <c r="BL414" s="16" t="s">
        <v>246</v>
      </c>
      <c r="BM414" s="230" t="s">
        <v>723</v>
      </c>
    </row>
    <row r="415" s="13" customFormat="1">
      <c r="A415" s="13"/>
      <c r="B415" s="232"/>
      <c r="C415" s="233"/>
      <c r="D415" s="234" t="s">
        <v>165</v>
      </c>
      <c r="E415" s="235" t="s">
        <v>1</v>
      </c>
      <c r="F415" s="236" t="s">
        <v>560</v>
      </c>
      <c r="G415" s="233"/>
      <c r="H415" s="237">
        <v>29.039999999999999</v>
      </c>
      <c r="I415" s="238"/>
      <c r="J415" s="233"/>
      <c r="K415" s="233"/>
      <c r="L415" s="239"/>
      <c r="M415" s="240"/>
      <c r="N415" s="241"/>
      <c r="O415" s="241"/>
      <c r="P415" s="241"/>
      <c r="Q415" s="241"/>
      <c r="R415" s="241"/>
      <c r="S415" s="241"/>
      <c r="T415" s="242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T415" s="243" t="s">
        <v>165</v>
      </c>
      <c r="AU415" s="243" t="s">
        <v>86</v>
      </c>
      <c r="AV415" s="13" t="s">
        <v>86</v>
      </c>
      <c r="AW415" s="13" t="s">
        <v>32</v>
      </c>
      <c r="AX415" s="13" t="s">
        <v>8</v>
      </c>
      <c r="AY415" s="243" t="s">
        <v>157</v>
      </c>
    </row>
    <row r="416" s="13" customFormat="1">
      <c r="A416" s="13"/>
      <c r="B416" s="232"/>
      <c r="C416" s="233"/>
      <c r="D416" s="234" t="s">
        <v>165</v>
      </c>
      <c r="E416" s="233"/>
      <c r="F416" s="236" t="s">
        <v>724</v>
      </c>
      <c r="G416" s="233"/>
      <c r="H416" s="237">
        <v>33.845999999999997</v>
      </c>
      <c r="I416" s="238"/>
      <c r="J416" s="233"/>
      <c r="K416" s="233"/>
      <c r="L416" s="239"/>
      <c r="M416" s="240"/>
      <c r="N416" s="241"/>
      <c r="O416" s="241"/>
      <c r="P416" s="241"/>
      <c r="Q416" s="241"/>
      <c r="R416" s="241"/>
      <c r="S416" s="241"/>
      <c r="T416" s="242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T416" s="243" t="s">
        <v>165</v>
      </c>
      <c r="AU416" s="243" t="s">
        <v>86</v>
      </c>
      <c r="AV416" s="13" t="s">
        <v>86</v>
      </c>
      <c r="AW416" s="13" t="s">
        <v>4</v>
      </c>
      <c r="AX416" s="13" t="s">
        <v>8</v>
      </c>
      <c r="AY416" s="243" t="s">
        <v>157</v>
      </c>
    </row>
    <row r="417" s="2" customFormat="1" ht="24.15" customHeight="1">
      <c r="A417" s="37"/>
      <c r="B417" s="38"/>
      <c r="C417" s="218" t="s">
        <v>725</v>
      </c>
      <c r="D417" s="218" t="s">
        <v>159</v>
      </c>
      <c r="E417" s="219" t="s">
        <v>726</v>
      </c>
      <c r="F417" s="220" t="s">
        <v>727</v>
      </c>
      <c r="G417" s="221" t="s">
        <v>209</v>
      </c>
      <c r="H417" s="222">
        <v>858.452</v>
      </c>
      <c r="I417" s="223"/>
      <c r="J417" s="224">
        <f>ROUND(I417*H417,0)</f>
        <v>0</v>
      </c>
      <c r="K417" s="225"/>
      <c r="L417" s="43"/>
      <c r="M417" s="226" t="s">
        <v>1</v>
      </c>
      <c r="N417" s="227" t="s">
        <v>42</v>
      </c>
      <c r="O417" s="90"/>
      <c r="P417" s="228">
        <f>O417*H417</f>
        <v>0</v>
      </c>
      <c r="Q417" s="228">
        <v>0.00019000000000000001</v>
      </c>
      <c r="R417" s="228">
        <f>Q417*H417</f>
        <v>0.16310588000000001</v>
      </c>
      <c r="S417" s="228">
        <v>0</v>
      </c>
      <c r="T417" s="229">
        <f>S417*H417</f>
        <v>0</v>
      </c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R417" s="230" t="s">
        <v>246</v>
      </c>
      <c r="AT417" s="230" t="s">
        <v>159</v>
      </c>
      <c r="AU417" s="230" t="s">
        <v>86</v>
      </c>
      <c r="AY417" s="16" t="s">
        <v>157</v>
      </c>
      <c r="BE417" s="231">
        <f>IF(N417="základní",J417,0)</f>
        <v>0</v>
      </c>
      <c r="BF417" s="231">
        <f>IF(N417="snížená",J417,0)</f>
        <v>0</v>
      </c>
      <c r="BG417" s="231">
        <f>IF(N417="zákl. přenesená",J417,0)</f>
        <v>0</v>
      </c>
      <c r="BH417" s="231">
        <f>IF(N417="sníž. přenesená",J417,0)</f>
        <v>0</v>
      </c>
      <c r="BI417" s="231">
        <f>IF(N417="nulová",J417,0)</f>
        <v>0</v>
      </c>
      <c r="BJ417" s="16" t="s">
        <v>8</v>
      </c>
      <c r="BK417" s="231">
        <f>ROUND(I417*H417,0)</f>
        <v>0</v>
      </c>
      <c r="BL417" s="16" t="s">
        <v>246</v>
      </c>
      <c r="BM417" s="230" t="s">
        <v>728</v>
      </c>
    </row>
    <row r="418" s="13" customFormat="1">
      <c r="A418" s="13"/>
      <c r="B418" s="232"/>
      <c r="C418" s="233"/>
      <c r="D418" s="234" t="s">
        <v>165</v>
      </c>
      <c r="E418" s="235" t="s">
        <v>1</v>
      </c>
      <c r="F418" s="236" t="s">
        <v>729</v>
      </c>
      <c r="G418" s="233"/>
      <c r="H418" s="237">
        <v>661.44899999999996</v>
      </c>
      <c r="I418" s="238"/>
      <c r="J418" s="233"/>
      <c r="K418" s="233"/>
      <c r="L418" s="239"/>
      <c r="M418" s="240"/>
      <c r="N418" s="241"/>
      <c r="O418" s="241"/>
      <c r="P418" s="241"/>
      <c r="Q418" s="241"/>
      <c r="R418" s="241"/>
      <c r="S418" s="241"/>
      <c r="T418" s="242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T418" s="243" t="s">
        <v>165</v>
      </c>
      <c r="AU418" s="243" t="s">
        <v>86</v>
      </c>
      <c r="AV418" s="13" t="s">
        <v>86</v>
      </c>
      <c r="AW418" s="13" t="s">
        <v>32</v>
      </c>
      <c r="AX418" s="13" t="s">
        <v>77</v>
      </c>
      <c r="AY418" s="243" t="s">
        <v>157</v>
      </c>
    </row>
    <row r="419" s="13" customFormat="1">
      <c r="A419" s="13"/>
      <c r="B419" s="232"/>
      <c r="C419" s="233"/>
      <c r="D419" s="234" t="s">
        <v>165</v>
      </c>
      <c r="E419" s="235" t="s">
        <v>1</v>
      </c>
      <c r="F419" s="236" t="s">
        <v>730</v>
      </c>
      <c r="G419" s="233"/>
      <c r="H419" s="237">
        <v>170.505</v>
      </c>
      <c r="I419" s="238"/>
      <c r="J419" s="233"/>
      <c r="K419" s="233"/>
      <c r="L419" s="239"/>
      <c r="M419" s="240"/>
      <c r="N419" s="241"/>
      <c r="O419" s="241"/>
      <c r="P419" s="241"/>
      <c r="Q419" s="241"/>
      <c r="R419" s="241"/>
      <c r="S419" s="241"/>
      <c r="T419" s="242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T419" s="243" t="s">
        <v>165</v>
      </c>
      <c r="AU419" s="243" t="s">
        <v>86</v>
      </c>
      <c r="AV419" s="13" t="s">
        <v>86</v>
      </c>
      <c r="AW419" s="13" t="s">
        <v>32</v>
      </c>
      <c r="AX419" s="13" t="s">
        <v>77</v>
      </c>
      <c r="AY419" s="243" t="s">
        <v>157</v>
      </c>
    </row>
    <row r="420" s="13" customFormat="1">
      <c r="A420" s="13"/>
      <c r="B420" s="232"/>
      <c r="C420" s="233"/>
      <c r="D420" s="234" t="s">
        <v>165</v>
      </c>
      <c r="E420" s="235" t="s">
        <v>1</v>
      </c>
      <c r="F420" s="236" t="s">
        <v>731</v>
      </c>
      <c r="G420" s="233"/>
      <c r="H420" s="237">
        <v>26.498000000000001</v>
      </c>
      <c r="I420" s="238"/>
      <c r="J420" s="233"/>
      <c r="K420" s="233"/>
      <c r="L420" s="239"/>
      <c r="M420" s="240"/>
      <c r="N420" s="241"/>
      <c r="O420" s="241"/>
      <c r="P420" s="241"/>
      <c r="Q420" s="241"/>
      <c r="R420" s="241"/>
      <c r="S420" s="241"/>
      <c r="T420" s="242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T420" s="243" t="s">
        <v>165</v>
      </c>
      <c r="AU420" s="243" t="s">
        <v>86</v>
      </c>
      <c r="AV420" s="13" t="s">
        <v>86</v>
      </c>
      <c r="AW420" s="13" t="s">
        <v>32</v>
      </c>
      <c r="AX420" s="13" t="s">
        <v>77</v>
      </c>
      <c r="AY420" s="243" t="s">
        <v>157</v>
      </c>
    </row>
    <row r="421" s="2" customFormat="1" ht="24.15" customHeight="1">
      <c r="A421" s="37"/>
      <c r="B421" s="38"/>
      <c r="C421" s="254" t="s">
        <v>732</v>
      </c>
      <c r="D421" s="254" t="s">
        <v>229</v>
      </c>
      <c r="E421" s="255" t="s">
        <v>733</v>
      </c>
      <c r="F421" s="256" t="s">
        <v>734</v>
      </c>
      <c r="G421" s="257" t="s">
        <v>209</v>
      </c>
      <c r="H421" s="258">
        <v>1000.526</v>
      </c>
      <c r="I421" s="259"/>
      <c r="J421" s="260">
        <f>ROUND(I421*H421,0)</f>
        <v>0</v>
      </c>
      <c r="K421" s="261"/>
      <c r="L421" s="262"/>
      <c r="M421" s="263" t="s">
        <v>1</v>
      </c>
      <c r="N421" s="264" t="s">
        <v>42</v>
      </c>
      <c r="O421" s="90"/>
      <c r="P421" s="228">
        <f>O421*H421</f>
        <v>0</v>
      </c>
      <c r="Q421" s="228">
        <v>0.00016000000000000001</v>
      </c>
      <c r="R421" s="228">
        <f>Q421*H421</f>
        <v>0.16008416</v>
      </c>
      <c r="S421" s="228">
        <v>0</v>
      </c>
      <c r="T421" s="229">
        <f>S421*H421</f>
        <v>0</v>
      </c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R421" s="230" t="s">
        <v>329</v>
      </c>
      <c r="AT421" s="230" t="s">
        <v>229</v>
      </c>
      <c r="AU421" s="230" t="s">
        <v>86</v>
      </c>
      <c r="AY421" s="16" t="s">
        <v>157</v>
      </c>
      <c r="BE421" s="231">
        <f>IF(N421="základní",J421,0)</f>
        <v>0</v>
      </c>
      <c r="BF421" s="231">
        <f>IF(N421="snížená",J421,0)</f>
        <v>0</v>
      </c>
      <c r="BG421" s="231">
        <f>IF(N421="zákl. přenesená",J421,0)</f>
        <v>0</v>
      </c>
      <c r="BH421" s="231">
        <f>IF(N421="sníž. přenesená",J421,0)</f>
        <v>0</v>
      </c>
      <c r="BI421" s="231">
        <f>IF(N421="nulová",J421,0)</f>
        <v>0</v>
      </c>
      <c r="BJ421" s="16" t="s">
        <v>8</v>
      </c>
      <c r="BK421" s="231">
        <f>ROUND(I421*H421,0)</f>
        <v>0</v>
      </c>
      <c r="BL421" s="16" t="s">
        <v>246</v>
      </c>
      <c r="BM421" s="230" t="s">
        <v>735</v>
      </c>
    </row>
    <row r="422" s="13" customFormat="1">
      <c r="A422" s="13"/>
      <c r="B422" s="232"/>
      <c r="C422" s="233"/>
      <c r="D422" s="234" t="s">
        <v>165</v>
      </c>
      <c r="E422" s="235" t="s">
        <v>1</v>
      </c>
      <c r="F422" s="236" t="s">
        <v>736</v>
      </c>
      <c r="G422" s="233"/>
      <c r="H422" s="237">
        <v>858.452</v>
      </c>
      <c r="I422" s="238"/>
      <c r="J422" s="233"/>
      <c r="K422" s="233"/>
      <c r="L422" s="239"/>
      <c r="M422" s="240"/>
      <c r="N422" s="241"/>
      <c r="O422" s="241"/>
      <c r="P422" s="241"/>
      <c r="Q422" s="241"/>
      <c r="R422" s="241"/>
      <c r="S422" s="241"/>
      <c r="T422" s="242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T422" s="243" t="s">
        <v>165</v>
      </c>
      <c r="AU422" s="243" t="s">
        <v>86</v>
      </c>
      <c r="AV422" s="13" t="s">
        <v>86</v>
      </c>
      <c r="AW422" s="13" t="s">
        <v>32</v>
      </c>
      <c r="AX422" s="13" t="s">
        <v>8</v>
      </c>
      <c r="AY422" s="243" t="s">
        <v>157</v>
      </c>
    </row>
    <row r="423" s="13" customFormat="1">
      <c r="A423" s="13"/>
      <c r="B423" s="232"/>
      <c r="C423" s="233"/>
      <c r="D423" s="234" t="s">
        <v>165</v>
      </c>
      <c r="E423" s="233"/>
      <c r="F423" s="236" t="s">
        <v>737</v>
      </c>
      <c r="G423" s="233"/>
      <c r="H423" s="237">
        <v>1000.526</v>
      </c>
      <c r="I423" s="238"/>
      <c r="J423" s="233"/>
      <c r="K423" s="233"/>
      <c r="L423" s="239"/>
      <c r="M423" s="240"/>
      <c r="N423" s="241"/>
      <c r="O423" s="241"/>
      <c r="P423" s="241"/>
      <c r="Q423" s="241"/>
      <c r="R423" s="241"/>
      <c r="S423" s="241"/>
      <c r="T423" s="242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T423" s="243" t="s">
        <v>165</v>
      </c>
      <c r="AU423" s="243" t="s">
        <v>86</v>
      </c>
      <c r="AV423" s="13" t="s">
        <v>86</v>
      </c>
      <c r="AW423" s="13" t="s">
        <v>4</v>
      </c>
      <c r="AX423" s="13" t="s">
        <v>8</v>
      </c>
      <c r="AY423" s="243" t="s">
        <v>157</v>
      </c>
    </row>
    <row r="424" s="2" customFormat="1" ht="37.8" customHeight="1">
      <c r="A424" s="37"/>
      <c r="B424" s="38"/>
      <c r="C424" s="218" t="s">
        <v>738</v>
      </c>
      <c r="D424" s="218" t="s">
        <v>159</v>
      </c>
      <c r="E424" s="219" t="s">
        <v>739</v>
      </c>
      <c r="F424" s="220" t="s">
        <v>740</v>
      </c>
      <c r="G424" s="221" t="s">
        <v>209</v>
      </c>
      <c r="H424" s="222">
        <v>29.039999999999999</v>
      </c>
      <c r="I424" s="223"/>
      <c r="J424" s="224">
        <f>ROUND(I424*H424,0)</f>
        <v>0</v>
      </c>
      <c r="K424" s="225"/>
      <c r="L424" s="43"/>
      <c r="M424" s="226" t="s">
        <v>1</v>
      </c>
      <c r="N424" s="227" t="s">
        <v>42</v>
      </c>
      <c r="O424" s="90"/>
      <c r="P424" s="228">
        <f>O424*H424</f>
        <v>0</v>
      </c>
      <c r="Q424" s="228">
        <v>0</v>
      </c>
      <c r="R424" s="228">
        <f>Q424*H424</f>
        <v>0</v>
      </c>
      <c r="S424" s="228">
        <v>0</v>
      </c>
      <c r="T424" s="229">
        <f>S424*H424</f>
        <v>0</v>
      </c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R424" s="230" t="s">
        <v>246</v>
      </c>
      <c r="AT424" s="230" t="s">
        <v>159</v>
      </c>
      <c r="AU424" s="230" t="s">
        <v>86</v>
      </c>
      <c r="AY424" s="16" t="s">
        <v>157</v>
      </c>
      <c r="BE424" s="231">
        <f>IF(N424="základní",J424,0)</f>
        <v>0</v>
      </c>
      <c r="BF424" s="231">
        <f>IF(N424="snížená",J424,0)</f>
        <v>0</v>
      </c>
      <c r="BG424" s="231">
        <f>IF(N424="zákl. přenesená",J424,0)</f>
        <v>0</v>
      </c>
      <c r="BH424" s="231">
        <f>IF(N424="sníž. přenesená",J424,0)</f>
        <v>0</v>
      </c>
      <c r="BI424" s="231">
        <f>IF(N424="nulová",J424,0)</f>
        <v>0</v>
      </c>
      <c r="BJ424" s="16" t="s">
        <v>8</v>
      </c>
      <c r="BK424" s="231">
        <f>ROUND(I424*H424,0)</f>
        <v>0</v>
      </c>
      <c r="BL424" s="16" t="s">
        <v>246</v>
      </c>
      <c r="BM424" s="230" t="s">
        <v>741</v>
      </c>
    </row>
    <row r="425" s="13" customFormat="1">
      <c r="A425" s="13"/>
      <c r="B425" s="232"/>
      <c r="C425" s="233"/>
      <c r="D425" s="234" t="s">
        <v>165</v>
      </c>
      <c r="E425" s="235" t="s">
        <v>1</v>
      </c>
      <c r="F425" s="236" t="s">
        <v>555</v>
      </c>
      <c r="G425" s="233"/>
      <c r="H425" s="237">
        <v>29.039999999999999</v>
      </c>
      <c r="I425" s="238"/>
      <c r="J425" s="233"/>
      <c r="K425" s="233"/>
      <c r="L425" s="239"/>
      <c r="M425" s="240"/>
      <c r="N425" s="241"/>
      <c r="O425" s="241"/>
      <c r="P425" s="241"/>
      <c r="Q425" s="241"/>
      <c r="R425" s="241"/>
      <c r="S425" s="241"/>
      <c r="T425" s="242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T425" s="243" t="s">
        <v>165</v>
      </c>
      <c r="AU425" s="243" t="s">
        <v>86</v>
      </c>
      <c r="AV425" s="13" t="s">
        <v>86</v>
      </c>
      <c r="AW425" s="13" t="s">
        <v>32</v>
      </c>
      <c r="AX425" s="13" t="s">
        <v>77</v>
      </c>
      <c r="AY425" s="243" t="s">
        <v>157</v>
      </c>
    </row>
    <row r="426" s="2" customFormat="1" ht="33" customHeight="1">
      <c r="A426" s="37"/>
      <c r="B426" s="38"/>
      <c r="C426" s="254" t="s">
        <v>742</v>
      </c>
      <c r="D426" s="254" t="s">
        <v>229</v>
      </c>
      <c r="E426" s="255" t="s">
        <v>743</v>
      </c>
      <c r="F426" s="256" t="s">
        <v>744</v>
      </c>
      <c r="G426" s="257" t="s">
        <v>209</v>
      </c>
      <c r="H426" s="258">
        <v>33.845999999999997</v>
      </c>
      <c r="I426" s="259"/>
      <c r="J426" s="260">
        <f>ROUND(I426*H426,0)</f>
        <v>0</v>
      </c>
      <c r="K426" s="261"/>
      <c r="L426" s="262"/>
      <c r="M426" s="263" t="s">
        <v>1</v>
      </c>
      <c r="N426" s="264" t="s">
        <v>42</v>
      </c>
      <c r="O426" s="90"/>
      <c r="P426" s="228">
        <f>O426*H426</f>
        <v>0</v>
      </c>
      <c r="Q426" s="228">
        <v>0.0025000000000000001</v>
      </c>
      <c r="R426" s="228">
        <f>Q426*H426</f>
        <v>0.084614999999999996</v>
      </c>
      <c r="S426" s="228">
        <v>0</v>
      </c>
      <c r="T426" s="229">
        <f>S426*H426</f>
        <v>0</v>
      </c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R426" s="230" t="s">
        <v>329</v>
      </c>
      <c r="AT426" s="230" t="s">
        <v>229</v>
      </c>
      <c r="AU426" s="230" t="s">
        <v>86</v>
      </c>
      <c r="AY426" s="16" t="s">
        <v>157</v>
      </c>
      <c r="BE426" s="231">
        <f>IF(N426="základní",J426,0)</f>
        <v>0</v>
      </c>
      <c r="BF426" s="231">
        <f>IF(N426="snížená",J426,0)</f>
        <v>0</v>
      </c>
      <c r="BG426" s="231">
        <f>IF(N426="zákl. přenesená",J426,0)</f>
        <v>0</v>
      </c>
      <c r="BH426" s="231">
        <f>IF(N426="sníž. přenesená",J426,0)</f>
        <v>0</v>
      </c>
      <c r="BI426" s="231">
        <f>IF(N426="nulová",J426,0)</f>
        <v>0</v>
      </c>
      <c r="BJ426" s="16" t="s">
        <v>8</v>
      </c>
      <c r="BK426" s="231">
        <f>ROUND(I426*H426,0)</f>
        <v>0</v>
      </c>
      <c r="BL426" s="16" t="s">
        <v>246</v>
      </c>
      <c r="BM426" s="230" t="s">
        <v>745</v>
      </c>
    </row>
    <row r="427" s="13" customFormat="1">
      <c r="A427" s="13"/>
      <c r="B427" s="232"/>
      <c r="C427" s="233"/>
      <c r="D427" s="234" t="s">
        <v>165</v>
      </c>
      <c r="E427" s="235" t="s">
        <v>1</v>
      </c>
      <c r="F427" s="236" t="s">
        <v>560</v>
      </c>
      <c r="G427" s="233"/>
      <c r="H427" s="237">
        <v>29.039999999999999</v>
      </c>
      <c r="I427" s="238"/>
      <c r="J427" s="233"/>
      <c r="K427" s="233"/>
      <c r="L427" s="239"/>
      <c r="M427" s="240"/>
      <c r="N427" s="241"/>
      <c r="O427" s="241"/>
      <c r="P427" s="241"/>
      <c r="Q427" s="241"/>
      <c r="R427" s="241"/>
      <c r="S427" s="241"/>
      <c r="T427" s="242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T427" s="243" t="s">
        <v>165</v>
      </c>
      <c r="AU427" s="243" t="s">
        <v>86</v>
      </c>
      <c r="AV427" s="13" t="s">
        <v>86</v>
      </c>
      <c r="AW427" s="13" t="s">
        <v>32</v>
      </c>
      <c r="AX427" s="13" t="s">
        <v>8</v>
      </c>
      <c r="AY427" s="243" t="s">
        <v>157</v>
      </c>
    </row>
    <row r="428" s="13" customFormat="1">
      <c r="A428" s="13"/>
      <c r="B428" s="232"/>
      <c r="C428" s="233"/>
      <c r="D428" s="234" t="s">
        <v>165</v>
      </c>
      <c r="E428" s="233"/>
      <c r="F428" s="236" t="s">
        <v>724</v>
      </c>
      <c r="G428" s="233"/>
      <c r="H428" s="237">
        <v>33.845999999999997</v>
      </c>
      <c r="I428" s="238"/>
      <c r="J428" s="233"/>
      <c r="K428" s="233"/>
      <c r="L428" s="239"/>
      <c r="M428" s="240"/>
      <c r="N428" s="241"/>
      <c r="O428" s="241"/>
      <c r="P428" s="241"/>
      <c r="Q428" s="241"/>
      <c r="R428" s="241"/>
      <c r="S428" s="241"/>
      <c r="T428" s="242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T428" s="243" t="s">
        <v>165</v>
      </c>
      <c r="AU428" s="243" t="s">
        <v>86</v>
      </c>
      <c r="AV428" s="13" t="s">
        <v>86</v>
      </c>
      <c r="AW428" s="13" t="s">
        <v>4</v>
      </c>
      <c r="AX428" s="13" t="s">
        <v>8</v>
      </c>
      <c r="AY428" s="243" t="s">
        <v>157</v>
      </c>
    </row>
    <row r="429" s="2" customFormat="1" ht="24.15" customHeight="1">
      <c r="A429" s="37"/>
      <c r="B429" s="38"/>
      <c r="C429" s="218" t="s">
        <v>746</v>
      </c>
      <c r="D429" s="218" t="s">
        <v>159</v>
      </c>
      <c r="E429" s="219" t="s">
        <v>747</v>
      </c>
      <c r="F429" s="220" t="s">
        <v>748</v>
      </c>
      <c r="G429" s="221" t="s">
        <v>216</v>
      </c>
      <c r="H429" s="222">
        <v>24.199999999999999</v>
      </c>
      <c r="I429" s="223"/>
      <c r="J429" s="224">
        <f>ROUND(I429*H429,0)</f>
        <v>0</v>
      </c>
      <c r="K429" s="225"/>
      <c r="L429" s="43"/>
      <c r="M429" s="226" t="s">
        <v>1</v>
      </c>
      <c r="N429" s="227" t="s">
        <v>42</v>
      </c>
      <c r="O429" s="90"/>
      <c r="P429" s="228">
        <f>O429*H429</f>
        <v>0</v>
      </c>
      <c r="Q429" s="228">
        <v>0</v>
      </c>
      <c r="R429" s="228">
        <f>Q429*H429</f>
        <v>0</v>
      </c>
      <c r="S429" s="228">
        <v>0</v>
      </c>
      <c r="T429" s="229">
        <f>S429*H429</f>
        <v>0</v>
      </c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R429" s="230" t="s">
        <v>246</v>
      </c>
      <c r="AT429" s="230" t="s">
        <v>159</v>
      </c>
      <c r="AU429" s="230" t="s">
        <v>86</v>
      </c>
      <c r="AY429" s="16" t="s">
        <v>157</v>
      </c>
      <c r="BE429" s="231">
        <f>IF(N429="základní",J429,0)</f>
        <v>0</v>
      </c>
      <c r="BF429" s="231">
        <f>IF(N429="snížená",J429,0)</f>
        <v>0</v>
      </c>
      <c r="BG429" s="231">
        <f>IF(N429="zákl. přenesená",J429,0)</f>
        <v>0</v>
      </c>
      <c r="BH429" s="231">
        <f>IF(N429="sníž. přenesená",J429,0)</f>
        <v>0</v>
      </c>
      <c r="BI429" s="231">
        <f>IF(N429="nulová",J429,0)</f>
        <v>0</v>
      </c>
      <c r="BJ429" s="16" t="s">
        <v>8</v>
      </c>
      <c r="BK429" s="231">
        <f>ROUND(I429*H429,0)</f>
        <v>0</v>
      </c>
      <c r="BL429" s="16" t="s">
        <v>246</v>
      </c>
      <c r="BM429" s="230" t="s">
        <v>749</v>
      </c>
    </row>
    <row r="430" s="13" customFormat="1">
      <c r="A430" s="13"/>
      <c r="B430" s="232"/>
      <c r="C430" s="233"/>
      <c r="D430" s="234" t="s">
        <v>165</v>
      </c>
      <c r="E430" s="235" t="s">
        <v>1</v>
      </c>
      <c r="F430" s="236" t="s">
        <v>750</v>
      </c>
      <c r="G430" s="233"/>
      <c r="H430" s="237">
        <v>24.199999999999999</v>
      </c>
      <c r="I430" s="238"/>
      <c r="J430" s="233"/>
      <c r="K430" s="233"/>
      <c r="L430" s="239"/>
      <c r="M430" s="240"/>
      <c r="N430" s="241"/>
      <c r="O430" s="241"/>
      <c r="P430" s="241"/>
      <c r="Q430" s="241"/>
      <c r="R430" s="241"/>
      <c r="S430" s="241"/>
      <c r="T430" s="242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T430" s="243" t="s">
        <v>165</v>
      </c>
      <c r="AU430" s="243" t="s">
        <v>86</v>
      </c>
      <c r="AV430" s="13" t="s">
        <v>86</v>
      </c>
      <c r="AW430" s="13" t="s">
        <v>32</v>
      </c>
      <c r="AX430" s="13" t="s">
        <v>77</v>
      </c>
      <c r="AY430" s="243" t="s">
        <v>157</v>
      </c>
    </row>
    <row r="431" s="2" customFormat="1" ht="37.8" customHeight="1">
      <c r="A431" s="37"/>
      <c r="B431" s="38"/>
      <c r="C431" s="218" t="s">
        <v>751</v>
      </c>
      <c r="D431" s="218" t="s">
        <v>159</v>
      </c>
      <c r="E431" s="219" t="s">
        <v>752</v>
      </c>
      <c r="F431" s="220" t="s">
        <v>753</v>
      </c>
      <c r="G431" s="221" t="s">
        <v>216</v>
      </c>
      <c r="H431" s="222">
        <v>372.5</v>
      </c>
      <c r="I431" s="223"/>
      <c r="J431" s="224">
        <f>ROUND(I431*H431,0)</f>
        <v>0</v>
      </c>
      <c r="K431" s="225"/>
      <c r="L431" s="43"/>
      <c r="M431" s="226" t="s">
        <v>1</v>
      </c>
      <c r="N431" s="227" t="s">
        <v>42</v>
      </c>
      <c r="O431" s="90"/>
      <c r="P431" s="228">
        <f>O431*H431</f>
        <v>0</v>
      </c>
      <c r="Q431" s="228">
        <v>0.00115</v>
      </c>
      <c r="R431" s="228">
        <f>Q431*H431</f>
        <v>0.42837500000000001</v>
      </c>
      <c r="S431" s="228">
        <v>0</v>
      </c>
      <c r="T431" s="229">
        <f>S431*H431</f>
        <v>0</v>
      </c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R431" s="230" t="s">
        <v>246</v>
      </c>
      <c r="AT431" s="230" t="s">
        <v>159</v>
      </c>
      <c r="AU431" s="230" t="s">
        <v>86</v>
      </c>
      <c r="AY431" s="16" t="s">
        <v>157</v>
      </c>
      <c r="BE431" s="231">
        <f>IF(N431="základní",J431,0)</f>
        <v>0</v>
      </c>
      <c r="BF431" s="231">
        <f>IF(N431="snížená",J431,0)</f>
        <v>0</v>
      </c>
      <c r="BG431" s="231">
        <f>IF(N431="zákl. přenesená",J431,0)</f>
        <v>0</v>
      </c>
      <c r="BH431" s="231">
        <f>IF(N431="sníž. přenesená",J431,0)</f>
        <v>0</v>
      </c>
      <c r="BI431" s="231">
        <f>IF(N431="nulová",J431,0)</f>
        <v>0</v>
      </c>
      <c r="BJ431" s="16" t="s">
        <v>8</v>
      </c>
      <c r="BK431" s="231">
        <f>ROUND(I431*H431,0)</f>
        <v>0</v>
      </c>
      <c r="BL431" s="16" t="s">
        <v>246</v>
      </c>
      <c r="BM431" s="230" t="s">
        <v>754</v>
      </c>
    </row>
    <row r="432" s="13" customFormat="1">
      <c r="A432" s="13"/>
      <c r="B432" s="232"/>
      <c r="C432" s="233"/>
      <c r="D432" s="234" t="s">
        <v>165</v>
      </c>
      <c r="E432" s="235" t="s">
        <v>1</v>
      </c>
      <c r="F432" s="236" t="s">
        <v>755</v>
      </c>
      <c r="G432" s="233"/>
      <c r="H432" s="237">
        <v>284.17500000000001</v>
      </c>
      <c r="I432" s="238"/>
      <c r="J432" s="233"/>
      <c r="K432" s="233"/>
      <c r="L432" s="239"/>
      <c r="M432" s="240"/>
      <c r="N432" s="241"/>
      <c r="O432" s="241"/>
      <c r="P432" s="241"/>
      <c r="Q432" s="241"/>
      <c r="R432" s="241"/>
      <c r="S432" s="241"/>
      <c r="T432" s="242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T432" s="243" t="s">
        <v>165</v>
      </c>
      <c r="AU432" s="243" t="s">
        <v>86</v>
      </c>
      <c r="AV432" s="13" t="s">
        <v>86</v>
      </c>
      <c r="AW432" s="13" t="s">
        <v>32</v>
      </c>
      <c r="AX432" s="13" t="s">
        <v>77</v>
      </c>
      <c r="AY432" s="243" t="s">
        <v>157</v>
      </c>
    </row>
    <row r="433" s="13" customFormat="1">
      <c r="A433" s="13"/>
      <c r="B433" s="232"/>
      <c r="C433" s="233"/>
      <c r="D433" s="234" t="s">
        <v>165</v>
      </c>
      <c r="E433" s="235" t="s">
        <v>1</v>
      </c>
      <c r="F433" s="236" t="s">
        <v>756</v>
      </c>
      <c r="G433" s="233"/>
      <c r="H433" s="237">
        <v>88.325000000000003</v>
      </c>
      <c r="I433" s="238"/>
      <c r="J433" s="233"/>
      <c r="K433" s="233"/>
      <c r="L433" s="239"/>
      <c r="M433" s="240"/>
      <c r="N433" s="241"/>
      <c r="O433" s="241"/>
      <c r="P433" s="241"/>
      <c r="Q433" s="241"/>
      <c r="R433" s="241"/>
      <c r="S433" s="241"/>
      <c r="T433" s="242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T433" s="243" t="s">
        <v>165</v>
      </c>
      <c r="AU433" s="243" t="s">
        <v>86</v>
      </c>
      <c r="AV433" s="13" t="s">
        <v>86</v>
      </c>
      <c r="AW433" s="13" t="s">
        <v>32</v>
      </c>
      <c r="AX433" s="13" t="s">
        <v>77</v>
      </c>
      <c r="AY433" s="243" t="s">
        <v>157</v>
      </c>
    </row>
    <row r="434" s="2" customFormat="1" ht="37.8" customHeight="1">
      <c r="A434" s="37"/>
      <c r="B434" s="38"/>
      <c r="C434" s="218" t="s">
        <v>757</v>
      </c>
      <c r="D434" s="218" t="s">
        <v>159</v>
      </c>
      <c r="E434" s="219" t="s">
        <v>758</v>
      </c>
      <c r="F434" s="220" t="s">
        <v>759</v>
      </c>
      <c r="G434" s="221" t="s">
        <v>216</v>
      </c>
      <c r="H434" s="222">
        <v>372.5</v>
      </c>
      <c r="I434" s="223"/>
      <c r="J434" s="224">
        <f>ROUND(I434*H434,0)</f>
        <v>0</v>
      </c>
      <c r="K434" s="225"/>
      <c r="L434" s="43"/>
      <c r="M434" s="226" t="s">
        <v>1</v>
      </c>
      <c r="N434" s="227" t="s">
        <v>42</v>
      </c>
      <c r="O434" s="90"/>
      <c r="P434" s="228">
        <f>O434*H434</f>
        <v>0</v>
      </c>
      <c r="Q434" s="228">
        <v>0.00063000000000000003</v>
      </c>
      <c r="R434" s="228">
        <f>Q434*H434</f>
        <v>0.23467500000000002</v>
      </c>
      <c r="S434" s="228">
        <v>0</v>
      </c>
      <c r="T434" s="229">
        <f>S434*H434</f>
        <v>0</v>
      </c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R434" s="230" t="s">
        <v>246</v>
      </c>
      <c r="AT434" s="230" t="s">
        <v>159</v>
      </c>
      <c r="AU434" s="230" t="s">
        <v>86</v>
      </c>
      <c r="AY434" s="16" t="s">
        <v>157</v>
      </c>
      <c r="BE434" s="231">
        <f>IF(N434="základní",J434,0)</f>
        <v>0</v>
      </c>
      <c r="BF434" s="231">
        <f>IF(N434="snížená",J434,0)</f>
        <v>0</v>
      </c>
      <c r="BG434" s="231">
        <f>IF(N434="zákl. přenesená",J434,0)</f>
        <v>0</v>
      </c>
      <c r="BH434" s="231">
        <f>IF(N434="sníž. přenesená",J434,0)</f>
        <v>0</v>
      </c>
      <c r="BI434" s="231">
        <f>IF(N434="nulová",J434,0)</f>
        <v>0</v>
      </c>
      <c r="BJ434" s="16" t="s">
        <v>8</v>
      </c>
      <c r="BK434" s="231">
        <f>ROUND(I434*H434,0)</f>
        <v>0</v>
      </c>
      <c r="BL434" s="16" t="s">
        <v>246</v>
      </c>
      <c r="BM434" s="230" t="s">
        <v>760</v>
      </c>
    </row>
    <row r="435" s="13" customFormat="1">
      <c r="A435" s="13"/>
      <c r="B435" s="232"/>
      <c r="C435" s="233"/>
      <c r="D435" s="234" t="s">
        <v>165</v>
      </c>
      <c r="E435" s="235" t="s">
        <v>1</v>
      </c>
      <c r="F435" s="236" t="s">
        <v>761</v>
      </c>
      <c r="G435" s="233"/>
      <c r="H435" s="237">
        <v>372.5</v>
      </c>
      <c r="I435" s="238"/>
      <c r="J435" s="233"/>
      <c r="K435" s="233"/>
      <c r="L435" s="239"/>
      <c r="M435" s="240"/>
      <c r="N435" s="241"/>
      <c r="O435" s="241"/>
      <c r="P435" s="241"/>
      <c r="Q435" s="241"/>
      <c r="R435" s="241"/>
      <c r="S435" s="241"/>
      <c r="T435" s="242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T435" s="243" t="s">
        <v>165</v>
      </c>
      <c r="AU435" s="243" t="s">
        <v>86</v>
      </c>
      <c r="AV435" s="13" t="s">
        <v>86</v>
      </c>
      <c r="AW435" s="13" t="s">
        <v>32</v>
      </c>
      <c r="AX435" s="13" t="s">
        <v>77</v>
      </c>
      <c r="AY435" s="243" t="s">
        <v>157</v>
      </c>
    </row>
    <row r="436" s="2" customFormat="1" ht="37.8" customHeight="1">
      <c r="A436" s="37"/>
      <c r="B436" s="38"/>
      <c r="C436" s="218" t="s">
        <v>762</v>
      </c>
      <c r="D436" s="218" t="s">
        <v>159</v>
      </c>
      <c r="E436" s="219" t="s">
        <v>763</v>
      </c>
      <c r="F436" s="220" t="s">
        <v>764</v>
      </c>
      <c r="G436" s="221" t="s">
        <v>216</v>
      </c>
      <c r="H436" s="222">
        <v>88.325000000000003</v>
      </c>
      <c r="I436" s="223"/>
      <c r="J436" s="224">
        <f>ROUND(I436*H436,0)</f>
        <v>0</v>
      </c>
      <c r="K436" s="225"/>
      <c r="L436" s="43"/>
      <c r="M436" s="226" t="s">
        <v>1</v>
      </c>
      <c r="N436" s="227" t="s">
        <v>42</v>
      </c>
      <c r="O436" s="90"/>
      <c r="P436" s="228">
        <f>O436*H436</f>
        <v>0</v>
      </c>
      <c r="Q436" s="228">
        <v>0.00044999999999999999</v>
      </c>
      <c r="R436" s="228">
        <f>Q436*H436</f>
        <v>0.039746249999999997</v>
      </c>
      <c r="S436" s="228">
        <v>0</v>
      </c>
      <c r="T436" s="229">
        <f>S436*H436</f>
        <v>0</v>
      </c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R436" s="230" t="s">
        <v>246</v>
      </c>
      <c r="AT436" s="230" t="s">
        <v>159</v>
      </c>
      <c r="AU436" s="230" t="s">
        <v>86</v>
      </c>
      <c r="AY436" s="16" t="s">
        <v>157</v>
      </c>
      <c r="BE436" s="231">
        <f>IF(N436="základní",J436,0)</f>
        <v>0</v>
      </c>
      <c r="BF436" s="231">
        <f>IF(N436="snížená",J436,0)</f>
        <v>0</v>
      </c>
      <c r="BG436" s="231">
        <f>IF(N436="zákl. přenesená",J436,0)</f>
        <v>0</v>
      </c>
      <c r="BH436" s="231">
        <f>IF(N436="sníž. přenesená",J436,0)</f>
        <v>0</v>
      </c>
      <c r="BI436" s="231">
        <f>IF(N436="nulová",J436,0)</f>
        <v>0</v>
      </c>
      <c r="BJ436" s="16" t="s">
        <v>8</v>
      </c>
      <c r="BK436" s="231">
        <f>ROUND(I436*H436,0)</f>
        <v>0</v>
      </c>
      <c r="BL436" s="16" t="s">
        <v>246</v>
      </c>
      <c r="BM436" s="230" t="s">
        <v>765</v>
      </c>
    </row>
    <row r="437" s="13" customFormat="1">
      <c r="A437" s="13"/>
      <c r="B437" s="232"/>
      <c r="C437" s="233"/>
      <c r="D437" s="234" t="s">
        <v>165</v>
      </c>
      <c r="E437" s="235" t="s">
        <v>1</v>
      </c>
      <c r="F437" s="236" t="s">
        <v>756</v>
      </c>
      <c r="G437" s="233"/>
      <c r="H437" s="237">
        <v>88.325000000000003</v>
      </c>
      <c r="I437" s="238"/>
      <c r="J437" s="233"/>
      <c r="K437" s="233"/>
      <c r="L437" s="239"/>
      <c r="M437" s="240"/>
      <c r="N437" s="241"/>
      <c r="O437" s="241"/>
      <c r="P437" s="241"/>
      <c r="Q437" s="241"/>
      <c r="R437" s="241"/>
      <c r="S437" s="241"/>
      <c r="T437" s="242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T437" s="243" t="s">
        <v>165</v>
      </c>
      <c r="AU437" s="243" t="s">
        <v>86</v>
      </c>
      <c r="AV437" s="13" t="s">
        <v>86</v>
      </c>
      <c r="AW437" s="13" t="s">
        <v>32</v>
      </c>
      <c r="AX437" s="13" t="s">
        <v>8</v>
      </c>
      <c r="AY437" s="243" t="s">
        <v>157</v>
      </c>
    </row>
    <row r="438" s="2" customFormat="1" ht="37.8" customHeight="1">
      <c r="A438" s="37"/>
      <c r="B438" s="38"/>
      <c r="C438" s="218" t="s">
        <v>766</v>
      </c>
      <c r="D438" s="218" t="s">
        <v>159</v>
      </c>
      <c r="E438" s="219" t="s">
        <v>767</v>
      </c>
      <c r="F438" s="220" t="s">
        <v>768</v>
      </c>
      <c r="G438" s="221" t="s">
        <v>216</v>
      </c>
      <c r="H438" s="222">
        <v>6.125</v>
      </c>
      <c r="I438" s="223"/>
      <c r="J438" s="224">
        <f>ROUND(I438*H438,0)</f>
        <v>0</v>
      </c>
      <c r="K438" s="225"/>
      <c r="L438" s="43"/>
      <c r="M438" s="226" t="s">
        <v>1</v>
      </c>
      <c r="N438" s="227" t="s">
        <v>42</v>
      </c>
      <c r="O438" s="90"/>
      <c r="P438" s="228">
        <f>O438*H438</f>
        <v>0</v>
      </c>
      <c r="Q438" s="228">
        <v>0.0028600000000000001</v>
      </c>
      <c r="R438" s="228">
        <f>Q438*H438</f>
        <v>0.017517500000000002</v>
      </c>
      <c r="S438" s="228">
        <v>0</v>
      </c>
      <c r="T438" s="229">
        <f>S438*H438</f>
        <v>0</v>
      </c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R438" s="230" t="s">
        <v>246</v>
      </c>
      <c r="AT438" s="230" t="s">
        <v>159</v>
      </c>
      <c r="AU438" s="230" t="s">
        <v>86</v>
      </c>
      <c r="AY438" s="16" t="s">
        <v>157</v>
      </c>
      <c r="BE438" s="231">
        <f>IF(N438="základní",J438,0)</f>
        <v>0</v>
      </c>
      <c r="BF438" s="231">
        <f>IF(N438="snížená",J438,0)</f>
        <v>0</v>
      </c>
      <c r="BG438" s="231">
        <f>IF(N438="zákl. přenesená",J438,0)</f>
        <v>0</v>
      </c>
      <c r="BH438" s="231">
        <f>IF(N438="sníž. přenesená",J438,0)</f>
        <v>0</v>
      </c>
      <c r="BI438" s="231">
        <f>IF(N438="nulová",J438,0)</f>
        <v>0</v>
      </c>
      <c r="BJ438" s="16" t="s">
        <v>8</v>
      </c>
      <c r="BK438" s="231">
        <f>ROUND(I438*H438,0)</f>
        <v>0</v>
      </c>
      <c r="BL438" s="16" t="s">
        <v>246</v>
      </c>
      <c r="BM438" s="230" t="s">
        <v>769</v>
      </c>
    </row>
    <row r="439" s="13" customFormat="1">
      <c r="A439" s="13"/>
      <c r="B439" s="232"/>
      <c r="C439" s="233"/>
      <c r="D439" s="234" t="s">
        <v>165</v>
      </c>
      <c r="E439" s="235" t="s">
        <v>1</v>
      </c>
      <c r="F439" s="236" t="s">
        <v>770</v>
      </c>
      <c r="G439" s="233"/>
      <c r="H439" s="237">
        <v>6.125</v>
      </c>
      <c r="I439" s="238"/>
      <c r="J439" s="233"/>
      <c r="K439" s="233"/>
      <c r="L439" s="239"/>
      <c r="M439" s="240"/>
      <c r="N439" s="241"/>
      <c r="O439" s="241"/>
      <c r="P439" s="241"/>
      <c r="Q439" s="241"/>
      <c r="R439" s="241"/>
      <c r="S439" s="241"/>
      <c r="T439" s="242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T439" s="243" t="s">
        <v>165</v>
      </c>
      <c r="AU439" s="243" t="s">
        <v>86</v>
      </c>
      <c r="AV439" s="13" t="s">
        <v>86</v>
      </c>
      <c r="AW439" s="13" t="s">
        <v>32</v>
      </c>
      <c r="AX439" s="13" t="s">
        <v>77</v>
      </c>
      <c r="AY439" s="243" t="s">
        <v>157</v>
      </c>
    </row>
    <row r="440" s="2" customFormat="1" ht="33" customHeight="1">
      <c r="A440" s="37"/>
      <c r="B440" s="38"/>
      <c r="C440" s="218" t="s">
        <v>771</v>
      </c>
      <c r="D440" s="218" t="s">
        <v>159</v>
      </c>
      <c r="E440" s="219" t="s">
        <v>772</v>
      </c>
      <c r="F440" s="220" t="s">
        <v>773</v>
      </c>
      <c r="G440" s="221" t="s">
        <v>216</v>
      </c>
      <c r="H440" s="222">
        <v>2.7000000000000002</v>
      </c>
      <c r="I440" s="223"/>
      <c r="J440" s="224">
        <f>ROUND(I440*H440,0)</f>
        <v>0</v>
      </c>
      <c r="K440" s="225"/>
      <c r="L440" s="43"/>
      <c r="M440" s="226" t="s">
        <v>1</v>
      </c>
      <c r="N440" s="227" t="s">
        <v>42</v>
      </c>
      <c r="O440" s="90"/>
      <c r="P440" s="228">
        <f>O440*H440</f>
        <v>0</v>
      </c>
      <c r="Q440" s="228">
        <v>0.00165</v>
      </c>
      <c r="R440" s="228">
        <f>Q440*H440</f>
        <v>0.0044550000000000006</v>
      </c>
      <c r="S440" s="228">
        <v>0</v>
      </c>
      <c r="T440" s="229">
        <f>S440*H440</f>
        <v>0</v>
      </c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R440" s="230" t="s">
        <v>246</v>
      </c>
      <c r="AT440" s="230" t="s">
        <v>159</v>
      </c>
      <c r="AU440" s="230" t="s">
        <v>86</v>
      </c>
      <c r="AY440" s="16" t="s">
        <v>157</v>
      </c>
      <c r="BE440" s="231">
        <f>IF(N440="základní",J440,0)</f>
        <v>0</v>
      </c>
      <c r="BF440" s="231">
        <f>IF(N440="snížená",J440,0)</f>
        <v>0</v>
      </c>
      <c r="BG440" s="231">
        <f>IF(N440="zákl. přenesená",J440,0)</f>
        <v>0</v>
      </c>
      <c r="BH440" s="231">
        <f>IF(N440="sníž. přenesená",J440,0)</f>
        <v>0</v>
      </c>
      <c r="BI440" s="231">
        <f>IF(N440="nulová",J440,0)</f>
        <v>0</v>
      </c>
      <c r="BJ440" s="16" t="s">
        <v>8</v>
      </c>
      <c r="BK440" s="231">
        <f>ROUND(I440*H440,0)</f>
        <v>0</v>
      </c>
      <c r="BL440" s="16" t="s">
        <v>246</v>
      </c>
      <c r="BM440" s="230" t="s">
        <v>774</v>
      </c>
    </row>
    <row r="441" s="13" customFormat="1">
      <c r="A441" s="13"/>
      <c r="B441" s="232"/>
      <c r="C441" s="233"/>
      <c r="D441" s="234" t="s">
        <v>165</v>
      </c>
      <c r="E441" s="235" t="s">
        <v>1</v>
      </c>
      <c r="F441" s="236" t="s">
        <v>775</v>
      </c>
      <c r="G441" s="233"/>
      <c r="H441" s="237">
        <v>2.7000000000000002</v>
      </c>
      <c r="I441" s="238"/>
      <c r="J441" s="233"/>
      <c r="K441" s="233"/>
      <c r="L441" s="239"/>
      <c r="M441" s="240"/>
      <c r="N441" s="241"/>
      <c r="O441" s="241"/>
      <c r="P441" s="241"/>
      <c r="Q441" s="241"/>
      <c r="R441" s="241"/>
      <c r="S441" s="241"/>
      <c r="T441" s="242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T441" s="243" t="s">
        <v>165</v>
      </c>
      <c r="AU441" s="243" t="s">
        <v>86</v>
      </c>
      <c r="AV441" s="13" t="s">
        <v>86</v>
      </c>
      <c r="AW441" s="13" t="s">
        <v>32</v>
      </c>
      <c r="AX441" s="13" t="s">
        <v>77</v>
      </c>
      <c r="AY441" s="243" t="s">
        <v>157</v>
      </c>
    </row>
    <row r="442" s="2" customFormat="1" ht="33" customHeight="1">
      <c r="A442" s="37"/>
      <c r="B442" s="38"/>
      <c r="C442" s="218" t="s">
        <v>776</v>
      </c>
      <c r="D442" s="218" t="s">
        <v>159</v>
      </c>
      <c r="E442" s="219" t="s">
        <v>777</v>
      </c>
      <c r="F442" s="220" t="s">
        <v>778</v>
      </c>
      <c r="G442" s="221" t="s">
        <v>209</v>
      </c>
      <c r="H442" s="222">
        <v>134.42599999999999</v>
      </c>
      <c r="I442" s="223"/>
      <c r="J442" s="224">
        <f>ROUND(I442*H442,0)</f>
        <v>0</v>
      </c>
      <c r="K442" s="225"/>
      <c r="L442" s="43"/>
      <c r="M442" s="226" t="s">
        <v>1</v>
      </c>
      <c r="N442" s="227" t="s">
        <v>42</v>
      </c>
      <c r="O442" s="90"/>
      <c r="P442" s="228">
        <f>O442*H442</f>
        <v>0</v>
      </c>
      <c r="Q442" s="228">
        <v>0.00014999999999999999</v>
      </c>
      <c r="R442" s="228">
        <f>Q442*H442</f>
        <v>0.020163899999999995</v>
      </c>
      <c r="S442" s="228">
        <v>0</v>
      </c>
      <c r="T442" s="229">
        <f>S442*H442</f>
        <v>0</v>
      </c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R442" s="230" t="s">
        <v>246</v>
      </c>
      <c r="AT442" s="230" t="s">
        <v>159</v>
      </c>
      <c r="AU442" s="230" t="s">
        <v>86</v>
      </c>
      <c r="AY442" s="16" t="s">
        <v>157</v>
      </c>
      <c r="BE442" s="231">
        <f>IF(N442="základní",J442,0)</f>
        <v>0</v>
      </c>
      <c r="BF442" s="231">
        <f>IF(N442="snížená",J442,0)</f>
        <v>0</v>
      </c>
      <c r="BG442" s="231">
        <f>IF(N442="zákl. přenesená",J442,0)</f>
        <v>0</v>
      </c>
      <c r="BH442" s="231">
        <f>IF(N442="sníž. přenesená",J442,0)</f>
        <v>0</v>
      </c>
      <c r="BI442" s="231">
        <f>IF(N442="nulová",J442,0)</f>
        <v>0</v>
      </c>
      <c r="BJ442" s="16" t="s">
        <v>8</v>
      </c>
      <c r="BK442" s="231">
        <f>ROUND(I442*H442,0)</f>
        <v>0</v>
      </c>
      <c r="BL442" s="16" t="s">
        <v>246</v>
      </c>
      <c r="BM442" s="230" t="s">
        <v>779</v>
      </c>
    </row>
    <row r="443" s="13" customFormat="1">
      <c r="A443" s="13"/>
      <c r="B443" s="232"/>
      <c r="C443" s="233"/>
      <c r="D443" s="234" t="s">
        <v>165</v>
      </c>
      <c r="E443" s="235" t="s">
        <v>1</v>
      </c>
      <c r="F443" s="236" t="s">
        <v>780</v>
      </c>
      <c r="G443" s="233"/>
      <c r="H443" s="237">
        <v>134.42599999999999</v>
      </c>
      <c r="I443" s="238"/>
      <c r="J443" s="233"/>
      <c r="K443" s="233"/>
      <c r="L443" s="239"/>
      <c r="M443" s="240"/>
      <c r="N443" s="241"/>
      <c r="O443" s="241"/>
      <c r="P443" s="241"/>
      <c r="Q443" s="241"/>
      <c r="R443" s="241"/>
      <c r="S443" s="241"/>
      <c r="T443" s="242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T443" s="243" t="s">
        <v>165</v>
      </c>
      <c r="AU443" s="243" t="s">
        <v>86</v>
      </c>
      <c r="AV443" s="13" t="s">
        <v>86</v>
      </c>
      <c r="AW443" s="13" t="s">
        <v>32</v>
      </c>
      <c r="AX443" s="13" t="s">
        <v>77</v>
      </c>
      <c r="AY443" s="243" t="s">
        <v>157</v>
      </c>
    </row>
    <row r="444" s="2" customFormat="1" ht="37.8" customHeight="1">
      <c r="A444" s="37"/>
      <c r="B444" s="38"/>
      <c r="C444" s="218" t="s">
        <v>781</v>
      </c>
      <c r="D444" s="218" t="s">
        <v>159</v>
      </c>
      <c r="E444" s="219" t="s">
        <v>782</v>
      </c>
      <c r="F444" s="220" t="s">
        <v>783</v>
      </c>
      <c r="G444" s="221" t="s">
        <v>209</v>
      </c>
      <c r="H444" s="222">
        <v>814.625</v>
      </c>
      <c r="I444" s="223"/>
      <c r="J444" s="224">
        <f>ROUND(I444*H444,0)</f>
        <v>0</v>
      </c>
      <c r="K444" s="225"/>
      <c r="L444" s="43"/>
      <c r="M444" s="226" t="s">
        <v>1</v>
      </c>
      <c r="N444" s="227" t="s">
        <v>42</v>
      </c>
      <c r="O444" s="90"/>
      <c r="P444" s="228">
        <f>O444*H444</f>
        <v>0</v>
      </c>
      <c r="Q444" s="228">
        <v>0.00036000000000000002</v>
      </c>
      <c r="R444" s="228">
        <f>Q444*H444</f>
        <v>0.293265</v>
      </c>
      <c r="S444" s="228">
        <v>0</v>
      </c>
      <c r="T444" s="229">
        <f>S444*H444</f>
        <v>0</v>
      </c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R444" s="230" t="s">
        <v>246</v>
      </c>
      <c r="AT444" s="230" t="s">
        <v>159</v>
      </c>
      <c r="AU444" s="230" t="s">
        <v>86</v>
      </c>
      <c r="AY444" s="16" t="s">
        <v>157</v>
      </c>
      <c r="BE444" s="231">
        <f>IF(N444="základní",J444,0)</f>
        <v>0</v>
      </c>
      <c r="BF444" s="231">
        <f>IF(N444="snížená",J444,0)</f>
        <v>0</v>
      </c>
      <c r="BG444" s="231">
        <f>IF(N444="zákl. přenesená",J444,0)</f>
        <v>0</v>
      </c>
      <c r="BH444" s="231">
        <f>IF(N444="sníž. přenesená",J444,0)</f>
        <v>0</v>
      </c>
      <c r="BI444" s="231">
        <f>IF(N444="nulová",J444,0)</f>
        <v>0</v>
      </c>
      <c r="BJ444" s="16" t="s">
        <v>8</v>
      </c>
      <c r="BK444" s="231">
        <f>ROUND(I444*H444,0)</f>
        <v>0</v>
      </c>
      <c r="BL444" s="16" t="s">
        <v>246</v>
      </c>
      <c r="BM444" s="230" t="s">
        <v>784</v>
      </c>
    </row>
    <row r="445" s="13" customFormat="1">
      <c r="A445" s="13"/>
      <c r="B445" s="232"/>
      <c r="C445" s="233"/>
      <c r="D445" s="234" t="s">
        <v>165</v>
      </c>
      <c r="E445" s="235" t="s">
        <v>1</v>
      </c>
      <c r="F445" s="236" t="s">
        <v>785</v>
      </c>
      <c r="G445" s="233"/>
      <c r="H445" s="237">
        <v>691.70000000000005</v>
      </c>
      <c r="I445" s="238"/>
      <c r="J445" s="233"/>
      <c r="K445" s="233"/>
      <c r="L445" s="239"/>
      <c r="M445" s="240"/>
      <c r="N445" s="241"/>
      <c r="O445" s="241"/>
      <c r="P445" s="241"/>
      <c r="Q445" s="241"/>
      <c r="R445" s="241"/>
      <c r="S445" s="241"/>
      <c r="T445" s="242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T445" s="243" t="s">
        <v>165</v>
      </c>
      <c r="AU445" s="243" t="s">
        <v>86</v>
      </c>
      <c r="AV445" s="13" t="s">
        <v>86</v>
      </c>
      <c r="AW445" s="13" t="s">
        <v>32</v>
      </c>
      <c r="AX445" s="13" t="s">
        <v>77</v>
      </c>
      <c r="AY445" s="243" t="s">
        <v>157</v>
      </c>
    </row>
    <row r="446" s="13" customFormat="1">
      <c r="A446" s="13"/>
      <c r="B446" s="232"/>
      <c r="C446" s="233"/>
      <c r="D446" s="234" t="s">
        <v>165</v>
      </c>
      <c r="E446" s="235" t="s">
        <v>1</v>
      </c>
      <c r="F446" s="236" t="s">
        <v>786</v>
      </c>
      <c r="G446" s="233"/>
      <c r="H446" s="237">
        <v>93.778000000000006</v>
      </c>
      <c r="I446" s="238"/>
      <c r="J446" s="233"/>
      <c r="K446" s="233"/>
      <c r="L446" s="239"/>
      <c r="M446" s="240"/>
      <c r="N446" s="241"/>
      <c r="O446" s="241"/>
      <c r="P446" s="241"/>
      <c r="Q446" s="241"/>
      <c r="R446" s="241"/>
      <c r="S446" s="241"/>
      <c r="T446" s="242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T446" s="243" t="s">
        <v>165</v>
      </c>
      <c r="AU446" s="243" t="s">
        <v>86</v>
      </c>
      <c r="AV446" s="13" t="s">
        <v>86</v>
      </c>
      <c r="AW446" s="13" t="s">
        <v>32</v>
      </c>
      <c r="AX446" s="13" t="s">
        <v>77</v>
      </c>
      <c r="AY446" s="243" t="s">
        <v>157</v>
      </c>
    </row>
    <row r="447" s="13" customFormat="1">
      <c r="A447" s="13"/>
      <c r="B447" s="232"/>
      <c r="C447" s="233"/>
      <c r="D447" s="234" t="s">
        <v>165</v>
      </c>
      <c r="E447" s="235" t="s">
        <v>1</v>
      </c>
      <c r="F447" s="236" t="s">
        <v>787</v>
      </c>
      <c r="G447" s="233"/>
      <c r="H447" s="237">
        <v>29.146999999999998</v>
      </c>
      <c r="I447" s="238"/>
      <c r="J447" s="233"/>
      <c r="K447" s="233"/>
      <c r="L447" s="239"/>
      <c r="M447" s="240"/>
      <c r="N447" s="241"/>
      <c r="O447" s="241"/>
      <c r="P447" s="241"/>
      <c r="Q447" s="241"/>
      <c r="R447" s="241"/>
      <c r="S447" s="241"/>
      <c r="T447" s="242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T447" s="243" t="s">
        <v>165</v>
      </c>
      <c r="AU447" s="243" t="s">
        <v>86</v>
      </c>
      <c r="AV447" s="13" t="s">
        <v>86</v>
      </c>
      <c r="AW447" s="13" t="s">
        <v>32</v>
      </c>
      <c r="AX447" s="13" t="s">
        <v>77</v>
      </c>
      <c r="AY447" s="243" t="s">
        <v>157</v>
      </c>
    </row>
    <row r="448" s="2" customFormat="1" ht="24.15" customHeight="1">
      <c r="A448" s="37"/>
      <c r="B448" s="38"/>
      <c r="C448" s="254" t="s">
        <v>788</v>
      </c>
      <c r="D448" s="254" t="s">
        <v>229</v>
      </c>
      <c r="E448" s="255" t="s">
        <v>789</v>
      </c>
      <c r="F448" s="256" t="s">
        <v>790</v>
      </c>
      <c r="G448" s="257" t="s">
        <v>209</v>
      </c>
      <c r="H448" s="258">
        <v>949.44500000000005</v>
      </c>
      <c r="I448" s="259"/>
      <c r="J448" s="260">
        <f>ROUND(I448*H448,0)</f>
        <v>0</v>
      </c>
      <c r="K448" s="261"/>
      <c r="L448" s="262"/>
      <c r="M448" s="263" t="s">
        <v>1</v>
      </c>
      <c r="N448" s="264" t="s">
        <v>42</v>
      </c>
      <c r="O448" s="90"/>
      <c r="P448" s="228">
        <f>O448*H448</f>
        <v>0</v>
      </c>
      <c r="Q448" s="228">
        <v>0.0025000000000000001</v>
      </c>
      <c r="R448" s="228">
        <f>Q448*H448</f>
        <v>2.3736125000000001</v>
      </c>
      <c r="S448" s="228">
        <v>0</v>
      </c>
      <c r="T448" s="229">
        <f>S448*H448</f>
        <v>0</v>
      </c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R448" s="230" t="s">
        <v>329</v>
      </c>
      <c r="AT448" s="230" t="s">
        <v>229</v>
      </c>
      <c r="AU448" s="230" t="s">
        <v>86</v>
      </c>
      <c r="AY448" s="16" t="s">
        <v>157</v>
      </c>
      <c r="BE448" s="231">
        <f>IF(N448="základní",J448,0)</f>
        <v>0</v>
      </c>
      <c r="BF448" s="231">
        <f>IF(N448="snížená",J448,0)</f>
        <v>0</v>
      </c>
      <c r="BG448" s="231">
        <f>IF(N448="zákl. přenesená",J448,0)</f>
        <v>0</v>
      </c>
      <c r="BH448" s="231">
        <f>IF(N448="sníž. přenesená",J448,0)</f>
        <v>0</v>
      </c>
      <c r="BI448" s="231">
        <f>IF(N448="nulová",J448,0)</f>
        <v>0</v>
      </c>
      <c r="BJ448" s="16" t="s">
        <v>8</v>
      </c>
      <c r="BK448" s="231">
        <f>ROUND(I448*H448,0)</f>
        <v>0</v>
      </c>
      <c r="BL448" s="16" t="s">
        <v>246</v>
      </c>
      <c r="BM448" s="230" t="s">
        <v>791</v>
      </c>
    </row>
    <row r="449" s="13" customFormat="1">
      <c r="A449" s="13"/>
      <c r="B449" s="232"/>
      <c r="C449" s="233"/>
      <c r="D449" s="234" t="s">
        <v>165</v>
      </c>
      <c r="E449" s="235" t="s">
        <v>1</v>
      </c>
      <c r="F449" s="236" t="s">
        <v>792</v>
      </c>
      <c r="G449" s="233"/>
      <c r="H449" s="237">
        <v>814.625</v>
      </c>
      <c r="I449" s="238"/>
      <c r="J449" s="233"/>
      <c r="K449" s="233"/>
      <c r="L449" s="239"/>
      <c r="M449" s="240"/>
      <c r="N449" s="241"/>
      <c r="O449" s="241"/>
      <c r="P449" s="241"/>
      <c r="Q449" s="241"/>
      <c r="R449" s="241"/>
      <c r="S449" s="241"/>
      <c r="T449" s="242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T449" s="243" t="s">
        <v>165</v>
      </c>
      <c r="AU449" s="243" t="s">
        <v>86</v>
      </c>
      <c r="AV449" s="13" t="s">
        <v>86</v>
      </c>
      <c r="AW449" s="13" t="s">
        <v>32</v>
      </c>
      <c r="AX449" s="13" t="s">
        <v>8</v>
      </c>
      <c r="AY449" s="243" t="s">
        <v>157</v>
      </c>
    </row>
    <row r="450" s="13" customFormat="1">
      <c r="A450" s="13"/>
      <c r="B450" s="232"/>
      <c r="C450" s="233"/>
      <c r="D450" s="234" t="s">
        <v>165</v>
      </c>
      <c r="E450" s="233"/>
      <c r="F450" s="236" t="s">
        <v>793</v>
      </c>
      <c r="G450" s="233"/>
      <c r="H450" s="237">
        <v>949.44500000000005</v>
      </c>
      <c r="I450" s="238"/>
      <c r="J450" s="233"/>
      <c r="K450" s="233"/>
      <c r="L450" s="239"/>
      <c r="M450" s="240"/>
      <c r="N450" s="241"/>
      <c r="O450" s="241"/>
      <c r="P450" s="241"/>
      <c r="Q450" s="241"/>
      <c r="R450" s="241"/>
      <c r="S450" s="241"/>
      <c r="T450" s="242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T450" s="243" t="s">
        <v>165</v>
      </c>
      <c r="AU450" s="243" t="s">
        <v>86</v>
      </c>
      <c r="AV450" s="13" t="s">
        <v>86</v>
      </c>
      <c r="AW450" s="13" t="s">
        <v>4</v>
      </c>
      <c r="AX450" s="13" t="s">
        <v>8</v>
      </c>
      <c r="AY450" s="243" t="s">
        <v>157</v>
      </c>
    </row>
    <row r="451" s="2" customFormat="1" ht="24.15" customHeight="1">
      <c r="A451" s="37"/>
      <c r="B451" s="38"/>
      <c r="C451" s="218" t="s">
        <v>794</v>
      </c>
      <c r="D451" s="218" t="s">
        <v>159</v>
      </c>
      <c r="E451" s="219" t="s">
        <v>795</v>
      </c>
      <c r="F451" s="220" t="s">
        <v>796</v>
      </c>
      <c r="G451" s="221" t="s">
        <v>209</v>
      </c>
      <c r="H451" s="222">
        <v>842.45399999999995</v>
      </c>
      <c r="I451" s="223"/>
      <c r="J451" s="224">
        <f>ROUND(I451*H451,0)</f>
        <v>0</v>
      </c>
      <c r="K451" s="225"/>
      <c r="L451" s="43"/>
      <c r="M451" s="226" t="s">
        <v>1</v>
      </c>
      <c r="N451" s="227" t="s">
        <v>42</v>
      </c>
      <c r="O451" s="90"/>
      <c r="P451" s="228">
        <f>O451*H451</f>
        <v>0</v>
      </c>
      <c r="Q451" s="228">
        <v>0</v>
      </c>
      <c r="R451" s="228">
        <f>Q451*H451</f>
        <v>0</v>
      </c>
      <c r="S451" s="228">
        <v>0</v>
      </c>
      <c r="T451" s="229">
        <f>S451*H451</f>
        <v>0</v>
      </c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R451" s="230" t="s">
        <v>246</v>
      </c>
      <c r="AT451" s="230" t="s">
        <v>159</v>
      </c>
      <c r="AU451" s="230" t="s">
        <v>86</v>
      </c>
      <c r="AY451" s="16" t="s">
        <v>157</v>
      </c>
      <c r="BE451" s="231">
        <f>IF(N451="základní",J451,0)</f>
        <v>0</v>
      </c>
      <c r="BF451" s="231">
        <f>IF(N451="snížená",J451,0)</f>
        <v>0</v>
      </c>
      <c r="BG451" s="231">
        <f>IF(N451="zákl. přenesená",J451,0)</f>
        <v>0</v>
      </c>
      <c r="BH451" s="231">
        <f>IF(N451="sníž. přenesená",J451,0)</f>
        <v>0</v>
      </c>
      <c r="BI451" s="231">
        <f>IF(N451="nulová",J451,0)</f>
        <v>0</v>
      </c>
      <c r="BJ451" s="16" t="s">
        <v>8</v>
      </c>
      <c r="BK451" s="231">
        <f>ROUND(I451*H451,0)</f>
        <v>0</v>
      </c>
      <c r="BL451" s="16" t="s">
        <v>246</v>
      </c>
      <c r="BM451" s="230" t="s">
        <v>797</v>
      </c>
    </row>
    <row r="452" s="13" customFormat="1">
      <c r="A452" s="13"/>
      <c r="B452" s="232"/>
      <c r="C452" s="233"/>
      <c r="D452" s="234" t="s">
        <v>165</v>
      </c>
      <c r="E452" s="235" t="s">
        <v>1</v>
      </c>
      <c r="F452" s="236" t="s">
        <v>729</v>
      </c>
      <c r="G452" s="233"/>
      <c r="H452" s="237">
        <v>661.44899999999996</v>
      </c>
      <c r="I452" s="238"/>
      <c r="J452" s="233"/>
      <c r="K452" s="233"/>
      <c r="L452" s="239"/>
      <c r="M452" s="240"/>
      <c r="N452" s="241"/>
      <c r="O452" s="241"/>
      <c r="P452" s="241"/>
      <c r="Q452" s="241"/>
      <c r="R452" s="241"/>
      <c r="S452" s="241"/>
      <c r="T452" s="242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T452" s="243" t="s">
        <v>165</v>
      </c>
      <c r="AU452" s="243" t="s">
        <v>86</v>
      </c>
      <c r="AV452" s="13" t="s">
        <v>86</v>
      </c>
      <c r="AW452" s="13" t="s">
        <v>32</v>
      </c>
      <c r="AX452" s="13" t="s">
        <v>77</v>
      </c>
      <c r="AY452" s="243" t="s">
        <v>157</v>
      </c>
    </row>
    <row r="453" s="13" customFormat="1">
      <c r="A453" s="13"/>
      <c r="B453" s="232"/>
      <c r="C453" s="233"/>
      <c r="D453" s="234" t="s">
        <v>165</v>
      </c>
      <c r="E453" s="235" t="s">
        <v>1</v>
      </c>
      <c r="F453" s="236" t="s">
        <v>786</v>
      </c>
      <c r="G453" s="233"/>
      <c r="H453" s="237">
        <v>93.778000000000006</v>
      </c>
      <c r="I453" s="238"/>
      <c r="J453" s="233"/>
      <c r="K453" s="233"/>
      <c r="L453" s="239"/>
      <c r="M453" s="240"/>
      <c r="N453" s="241"/>
      <c r="O453" s="241"/>
      <c r="P453" s="241"/>
      <c r="Q453" s="241"/>
      <c r="R453" s="241"/>
      <c r="S453" s="241"/>
      <c r="T453" s="242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T453" s="243" t="s">
        <v>165</v>
      </c>
      <c r="AU453" s="243" t="s">
        <v>86</v>
      </c>
      <c r="AV453" s="13" t="s">
        <v>86</v>
      </c>
      <c r="AW453" s="13" t="s">
        <v>32</v>
      </c>
      <c r="AX453" s="13" t="s">
        <v>77</v>
      </c>
      <c r="AY453" s="243" t="s">
        <v>157</v>
      </c>
    </row>
    <row r="454" s="13" customFormat="1">
      <c r="A454" s="13"/>
      <c r="B454" s="232"/>
      <c r="C454" s="233"/>
      <c r="D454" s="234" t="s">
        <v>165</v>
      </c>
      <c r="E454" s="235" t="s">
        <v>1</v>
      </c>
      <c r="F454" s="236" t="s">
        <v>787</v>
      </c>
      <c r="G454" s="233"/>
      <c r="H454" s="237">
        <v>29.146999999999998</v>
      </c>
      <c r="I454" s="238"/>
      <c r="J454" s="233"/>
      <c r="K454" s="233"/>
      <c r="L454" s="239"/>
      <c r="M454" s="240"/>
      <c r="N454" s="241"/>
      <c r="O454" s="241"/>
      <c r="P454" s="241"/>
      <c r="Q454" s="241"/>
      <c r="R454" s="241"/>
      <c r="S454" s="241"/>
      <c r="T454" s="242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T454" s="243" t="s">
        <v>165</v>
      </c>
      <c r="AU454" s="243" t="s">
        <v>86</v>
      </c>
      <c r="AV454" s="13" t="s">
        <v>86</v>
      </c>
      <c r="AW454" s="13" t="s">
        <v>32</v>
      </c>
      <c r="AX454" s="13" t="s">
        <v>77</v>
      </c>
      <c r="AY454" s="243" t="s">
        <v>157</v>
      </c>
    </row>
    <row r="455" s="13" customFormat="1">
      <c r="A455" s="13"/>
      <c r="B455" s="232"/>
      <c r="C455" s="233"/>
      <c r="D455" s="234" t="s">
        <v>165</v>
      </c>
      <c r="E455" s="235" t="s">
        <v>1</v>
      </c>
      <c r="F455" s="236" t="s">
        <v>798</v>
      </c>
      <c r="G455" s="233"/>
      <c r="H455" s="237">
        <v>58.079999999999998</v>
      </c>
      <c r="I455" s="238"/>
      <c r="J455" s="233"/>
      <c r="K455" s="233"/>
      <c r="L455" s="239"/>
      <c r="M455" s="240"/>
      <c r="N455" s="241"/>
      <c r="O455" s="241"/>
      <c r="P455" s="241"/>
      <c r="Q455" s="241"/>
      <c r="R455" s="241"/>
      <c r="S455" s="241"/>
      <c r="T455" s="242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T455" s="243" t="s">
        <v>165</v>
      </c>
      <c r="AU455" s="243" t="s">
        <v>86</v>
      </c>
      <c r="AV455" s="13" t="s">
        <v>86</v>
      </c>
      <c r="AW455" s="13" t="s">
        <v>32</v>
      </c>
      <c r="AX455" s="13" t="s">
        <v>77</v>
      </c>
      <c r="AY455" s="243" t="s">
        <v>157</v>
      </c>
    </row>
    <row r="456" s="2" customFormat="1" ht="24.15" customHeight="1">
      <c r="A456" s="37"/>
      <c r="B456" s="38"/>
      <c r="C456" s="254" t="s">
        <v>799</v>
      </c>
      <c r="D456" s="254" t="s">
        <v>229</v>
      </c>
      <c r="E456" s="255" t="s">
        <v>800</v>
      </c>
      <c r="F456" s="256" t="s">
        <v>801</v>
      </c>
      <c r="G456" s="257" t="s">
        <v>209</v>
      </c>
      <c r="H456" s="258">
        <v>973.03399999999999</v>
      </c>
      <c r="I456" s="259"/>
      <c r="J456" s="260">
        <f>ROUND(I456*H456,0)</f>
        <v>0</v>
      </c>
      <c r="K456" s="261"/>
      <c r="L456" s="262"/>
      <c r="M456" s="263" t="s">
        <v>1</v>
      </c>
      <c r="N456" s="264" t="s">
        <v>42</v>
      </c>
      <c r="O456" s="90"/>
      <c r="P456" s="228">
        <f>O456*H456</f>
        <v>0</v>
      </c>
      <c r="Q456" s="228">
        <v>0.00029999999999999997</v>
      </c>
      <c r="R456" s="228">
        <f>Q456*H456</f>
        <v>0.29191019999999995</v>
      </c>
      <c r="S456" s="228">
        <v>0</v>
      </c>
      <c r="T456" s="229">
        <f>S456*H456</f>
        <v>0</v>
      </c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R456" s="230" t="s">
        <v>329</v>
      </c>
      <c r="AT456" s="230" t="s">
        <v>229</v>
      </c>
      <c r="AU456" s="230" t="s">
        <v>86</v>
      </c>
      <c r="AY456" s="16" t="s">
        <v>157</v>
      </c>
      <c r="BE456" s="231">
        <f>IF(N456="základní",J456,0)</f>
        <v>0</v>
      </c>
      <c r="BF456" s="231">
        <f>IF(N456="snížená",J456,0)</f>
        <v>0</v>
      </c>
      <c r="BG456" s="231">
        <f>IF(N456="zákl. přenesená",J456,0)</f>
        <v>0</v>
      </c>
      <c r="BH456" s="231">
        <f>IF(N456="sníž. přenesená",J456,0)</f>
        <v>0</v>
      </c>
      <c r="BI456" s="231">
        <f>IF(N456="nulová",J456,0)</f>
        <v>0</v>
      </c>
      <c r="BJ456" s="16" t="s">
        <v>8</v>
      </c>
      <c r="BK456" s="231">
        <f>ROUND(I456*H456,0)</f>
        <v>0</v>
      </c>
      <c r="BL456" s="16" t="s">
        <v>246</v>
      </c>
      <c r="BM456" s="230" t="s">
        <v>802</v>
      </c>
    </row>
    <row r="457" s="13" customFormat="1">
      <c r="A457" s="13"/>
      <c r="B457" s="232"/>
      <c r="C457" s="233"/>
      <c r="D457" s="234" t="s">
        <v>165</v>
      </c>
      <c r="E457" s="235" t="s">
        <v>1</v>
      </c>
      <c r="F457" s="236" t="s">
        <v>803</v>
      </c>
      <c r="G457" s="233"/>
      <c r="H457" s="237">
        <v>842.45399999999995</v>
      </c>
      <c r="I457" s="238"/>
      <c r="J457" s="233"/>
      <c r="K457" s="233"/>
      <c r="L457" s="239"/>
      <c r="M457" s="240"/>
      <c r="N457" s="241"/>
      <c r="O457" s="241"/>
      <c r="P457" s="241"/>
      <c r="Q457" s="241"/>
      <c r="R457" s="241"/>
      <c r="S457" s="241"/>
      <c r="T457" s="242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T457" s="243" t="s">
        <v>165</v>
      </c>
      <c r="AU457" s="243" t="s">
        <v>86</v>
      </c>
      <c r="AV457" s="13" t="s">
        <v>86</v>
      </c>
      <c r="AW457" s="13" t="s">
        <v>32</v>
      </c>
      <c r="AX457" s="13" t="s">
        <v>8</v>
      </c>
      <c r="AY457" s="243" t="s">
        <v>157</v>
      </c>
    </row>
    <row r="458" s="13" customFormat="1">
      <c r="A458" s="13"/>
      <c r="B458" s="232"/>
      <c r="C458" s="233"/>
      <c r="D458" s="234" t="s">
        <v>165</v>
      </c>
      <c r="E458" s="233"/>
      <c r="F458" s="236" t="s">
        <v>804</v>
      </c>
      <c r="G458" s="233"/>
      <c r="H458" s="237">
        <v>973.03399999999999</v>
      </c>
      <c r="I458" s="238"/>
      <c r="J458" s="233"/>
      <c r="K458" s="233"/>
      <c r="L458" s="239"/>
      <c r="M458" s="240"/>
      <c r="N458" s="241"/>
      <c r="O458" s="241"/>
      <c r="P458" s="241"/>
      <c r="Q458" s="241"/>
      <c r="R458" s="241"/>
      <c r="S458" s="241"/>
      <c r="T458" s="242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T458" s="243" t="s">
        <v>165</v>
      </c>
      <c r="AU458" s="243" t="s">
        <v>86</v>
      </c>
      <c r="AV458" s="13" t="s">
        <v>86</v>
      </c>
      <c r="AW458" s="13" t="s">
        <v>4</v>
      </c>
      <c r="AX458" s="13" t="s">
        <v>8</v>
      </c>
      <c r="AY458" s="243" t="s">
        <v>157</v>
      </c>
    </row>
    <row r="459" s="2" customFormat="1" ht="24.15" customHeight="1">
      <c r="A459" s="37"/>
      <c r="B459" s="38"/>
      <c r="C459" s="218" t="s">
        <v>805</v>
      </c>
      <c r="D459" s="218" t="s">
        <v>159</v>
      </c>
      <c r="E459" s="219" t="s">
        <v>806</v>
      </c>
      <c r="F459" s="220" t="s">
        <v>807</v>
      </c>
      <c r="G459" s="221" t="s">
        <v>193</v>
      </c>
      <c r="H459" s="222">
        <v>4.3289999999999997</v>
      </c>
      <c r="I459" s="223"/>
      <c r="J459" s="224">
        <f>ROUND(I459*H459,0)</f>
        <v>0</v>
      </c>
      <c r="K459" s="225"/>
      <c r="L459" s="43"/>
      <c r="M459" s="226" t="s">
        <v>1</v>
      </c>
      <c r="N459" s="227" t="s">
        <v>42</v>
      </c>
      <c r="O459" s="90"/>
      <c r="P459" s="228">
        <f>O459*H459</f>
        <v>0</v>
      </c>
      <c r="Q459" s="228">
        <v>0</v>
      </c>
      <c r="R459" s="228">
        <f>Q459*H459</f>
        <v>0</v>
      </c>
      <c r="S459" s="228">
        <v>0</v>
      </c>
      <c r="T459" s="229">
        <f>S459*H459</f>
        <v>0</v>
      </c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R459" s="230" t="s">
        <v>246</v>
      </c>
      <c r="AT459" s="230" t="s">
        <v>159</v>
      </c>
      <c r="AU459" s="230" t="s">
        <v>86</v>
      </c>
      <c r="AY459" s="16" t="s">
        <v>157</v>
      </c>
      <c r="BE459" s="231">
        <f>IF(N459="základní",J459,0)</f>
        <v>0</v>
      </c>
      <c r="BF459" s="231">
        <f>IF(N459="snížená",J459,0)</f>
        <v>0</v>
      </c>
      <c r="BG459" s="231">
        <f>IF(N459="zákl. přenesená",J459,0)</f>
        <v>0</v>
      </c>
      <c r="BH459" s="231">
        <f>IF(N459="sníž. přenesená",J459,0)</f>
        <v>0</v>
      </c>
      <c r="BI459" s="231">
        <f>IF(N459="nulová",J459,0)</f>
        <v>0</v>
      </c>
      <c r="BJ459" s="16" t="s">
        <v>8</v>
      </c>
      <c r="BK459" s="231">
        <f>ROUND(I459*H459,0)</f>
        <v>0</v>
      </c>
      <c r="BL459" s="16" t="s">
        <v>246</v>
      </c>
      <c r="BM459" s="230" t="s">
        <v>808</v>
      </c>
    </row>
    <row r="460" s="12" customFormat="1" ht="22.8" customHeight="1">
      <c r="A460" s="12"/>
      <c r="B460" s="202"/>
      <c r="C460" s="203"/>
      <c r="D460" s="204" t="s">
        <v>76</v>
      </c>
      <c r="E460" s="216" t="s">
        <v>809</v>
      </c>
      <c r="F460" s="216" t="s">
        <v>810</v>
      </c>
      <c r="G460" s="203"/>
      <c r="H460" s="203"/>
      <c r="I460" s="206"/>
      <c r="J460" s="217">
        <f>BK460</f>
        <v>0</v>
      </c>
      <c r="K460" s="203"/>
      <c r="L460" s="208"/>
      <c r="M460" s="209"/>
      <c r="N460" s="210"/>
      <c r="O460" s="210"/>
      <c r="P460" s="211">
        <f>SUM(P461:P543)</f>
        <v>0</v>
      </c>
      <c r="Q460" s="210"/>
      <c r="R460" s="211">
        <f>SUM(R461:R543)</f>
        <v>47.29763853</v>
      </c>
      <c r="S460" s="210"/>
      <c r="T460" s="212">
        <f>SUM(T461:T543)</f>
        <v>0</v>
      </c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R460" s="213" t="s">
        <v>86</v>
      </c>
      <c r="AT460" s="214" t="s">
        <v>76</v>
      </c>
      <c r="AU460" s="214" t="s">
        <v>8</v>
      </c>
      <c r="AY460" s="213" t="s">
        <v>157</v>
      </c>
      <c r="BK460" s="215">
        <f>SUM(BK461:BK543)</f>
        <v>0</v>
      </c>
    </row>
    <row r="461" s="2" customFormat="1" ht="24.15" customHeight="1">
      <c r="A461" s="37"/>
      <c r="B461" s="38"/>
      <c r="C461" s="218" t="s">
        <v>811</v>
      </c>
      <c r="D461" s="218" t="s">
        <v>159</v>
      </c>
      <c r="E461" s="219" t="s">
        <v>812</v>
      </c>
      <c r="F461" s="220" t="s">
        <v>813</v>
      </c>
      <c r="G461" s="221" t="s">
        <v>209</v>
      </c>
      <c r="H461" s="222">
        <v>35.240000000000002</v>
      </c>
      <c r="I461" s="223"/>
      <c r="J461" s="224">
        <f>ROUND(I461*H461,0)</f>
        <v>0</v>
      </c>
      <c r="K461" s="225"/>
      <c r="L461" s="43"/>
      <c r="M461" s="226" t="s">
        <v>1</v>
      </c>
      <c r="N461" s="227" t="s">
        <v>42</v>
      </c>
      <c r="O461" s="90"/>
      <c r="P461" s="228">
        <f>O461*H461</f>
        <v>0</v>
      </c>
      <c r="Q461" s="228">
        <v>0</v>
      </c>
      <c r="R461" s="228">
        <f>Q461*H461</f>
        <v>0</v>
      </c>
      <c r="S461" s="228">
        <v>0</v>
      </c>
      <c r="T461" s="229">
        <f>S461*H461</f>
        <v>0</v>
      </c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R461" s="230" t="s">
        <v>246</v>
      </c>
      <c r="AT461" s="230" t="s">
        <v>159</v>
      </c>
      <c r="AU461" s="230" t="s">
        <v>86</v>
      </c>
      <c r="AY461" s="16" t="s">
        <v>157</v>
      </c>
      <c r="BE461" s="231">
        <f>IF(N461="základní",J461,0)</f>
        <v>0</v>
      </c>
      <c r="BF461" s="231">
        <f>IF(N461="snížená",J461,0)</f>
        <v>0</v>
      </c>
      <c r="BG461" s="231">
        <f>IF(N461="zákl. přenesená",J461,0)</f>
        <v>0</v>
      </c>
      <c r="BH461" s="231">
        <f>IF(N461="sníž. přenesená",J461,0)</f>
        <v>0</v>
      </c>
      <c r="BI461" s="231">
        <f>IF(N461="nulová",J461,0)</f>
        <v>0</v>
      </c>
      <c r="BJ461" s="16" t="s">
        <v>8</v>
      </c>
      <c r="BK461" s="231">
        <f>ROUND(I461*H461,0)</f>
        <v>0</v>
      </c>
      <c r="BL461" s="16" t="s">
        <v>246</v>
      </c>
      <c r="BM461" s="230" t="s">
        <v>814</v>
      </c>
    </row>
    <row r="462" s="13" customFormat="1">
      <c r="A462" s="13"/>
      <c r="B462" s="232"/>
      <c r="C462" s="233"/>
      <c r="D462" s="234" t="s">
        <v>165</v>
      </c>
      <c r="E462" s="235" t="s">
        <v>1</v>
      </c>
      <c r="F462" s="236" t="s">
        <v>815</v>
      </c>
      <c r="G462" s="233"/>
      <c r="H462" s="237">
        <v>35.240000000000002</v>
      </c>
      <c r="I462" s="238"/>
      <c r="J462" s="233"/>
      <c r="K462" s="233"/>
      <c r="L462" s="239"/>
      <c r="M462" s="240"/>
      <c r="N462" s="241"/>
      <c r="O462" s="241"/>
      <c r="P462" s="241"/>
      <c r="Q462" s="241"/>
      <c r="R462" s="241"/>
      <c r="S462" s="241"/>
      <c r="T462" s="242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T462" s="243" t="s">
        <v>165</v>
      </c>
      <c r="AU462" s="243" t="s">
        <v>86</v>
      </c>
      <c r="AV462" s="13" t="s">
        <v>86</v>
      </c>
      <c r="AW462" s="13" t="s">
        <v>32</v>
      </c>
      <c r="AX462" s="13" t="s">
        <v>77</v>
      </c>
      <c r="AY462" s="243" t="s">
        <v>157</v>
      </c>
    </row>
    <row r="463" s="2" customFormat="1" ht="49.05" customHeight="1">
      <c r="A463" s="37"/>
      <c r="B463" s="38"/>
      <c r="C463" s="254" t="s">
        <v>816</v>
      </c>
      <c r="D463" s="254" t="s">
        <v>229</v>
      </c>
      <c r="E463" s="255" t="s">
        <v>817</v>
      </c>
      <c r="F463" s="256" t="s">
        <v>818</v>
      </c>
      <c r="G463" s="257" t="s">
        <v>209</v>
      </c>
      <c r="H463" s="258">
        <v>37.002000000000002</v>
      </c>
      <c r="I463" s="259"/>
      <c r="J463" s="260">
        <f>ROUND(I463*H463,0)</f>
        <v>0</v>
      </c>
      <c r="K463" s="261"/>
      <c r="L463" s="262"/>
      <c r="M463" s="263" t="s">
        <v>1</v>
      </c>
      <c r="N463" s="264" t="s">
        <v>42</v>
      </c>
      <c r="O463" s="90"/>
      <c r="P463" s="228">
        <f>O463*H463</f>
        <v>0</v>
      </c>
      <c r="Q463" s="228">
        <v>0.01</v>
      </c>
      <c r="R463" s="228">
        <f>Q463*H463</f>
        <v>0.37002000000000002</v>
      </c>
      <c r="S463" s="228">
        <v>0</v>
      </c>
      <c r="T463" s="229">
        <f>S463*H463</f>
        <v>0</v>
      </c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R463" s="230" t="s">
        <v>329</v>
      </c>
      <c r="AT463" s="230" t="s">
        <v>229</v>
      </c>
      <c r="AU463" s="230" t="s">
        <v>86</v>
      </c>
      <c r="AY463" s="16" t="s">
        <v>157</v>
      </c>
      <c r="BE463" s="231">
        <f>IF(N463="základní",J463,0)</f>
        <v>0</v>
      </c>
      <c r="BF463" s="231">
        <f>IF(N463="snížená",J463,0)</f>
        <v>0</v>
      </c>
      <c r="BG463" s="231">
        <f>IF(N463="zákl. přenesená",J463,0)</f>
        <v>0</v>
      </c>
      <c r="BH463" s="231">
        <f>IF(N463="sníž. přenesená",J463,0)</f>
        <v>0</v>
      </c>
      <c r="BI463" s="231">
        <f>IF(N463="nulová",J463,0)</f>
        <v>0</v>
      </c>
      <c r="BJ463" s="16" t="s">
        <v>8</v>
      </c>
      <c r="BK463" s="231">
        <f>ROUND(I463*H463,0)</f>
        <v>0</v>
      </c>
      <c r="BL463" s="16" t="s">
        <v>246</v>
      </c>
      <c r="BM463" s="230" t="s">
        <v>819</v>
      </c>
    </row>
    <row r="464" s="13" customFormat="1">
      <c r="A464" s="13"/>
      <c r="B464" s="232"/>
      <c r="C464" s="233"/>
      <c r="D464" s="234" t="s">
        <v>165</v>
      </c>
      <c r="E464" s="235" t="s">
        <v>1</v>
      </c>
      <c r="F464" s="236" t="s">
        <v>820</v>
      </c>
      <c r="G464" s="233"/>
      <c r="H464" s="237">
        <v>35.240000000000002</v>
      </c>
      <c r="I464" s="238"/>
      <c r="J464" s="233"/>
      <c r="K464" s="233"/>
      <c r="L464" s="239"/>
      <c r="M464" s="240"/>
      <c r="N464" s="241"/>
      <c r="O464" s="241"/>
      <c r="P464" s="241"/>
      <c r="Q464" s="241"/>
      <c r="R464" s="241"/>
      <c r="S464" s="241"/>
      <c r="T464" s="242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T464" s="243" t="s">
        <v>165</v>
      </c>
      <c r="AU464" s="243" t="s">
        <v>86</v>
      </c>
      <c r="AV464" s="13" t="s">
        <v>86</v>
      </c>
      <c r="AW464" s="13" t="s">
        <v>32</v>
      </c>
      <c r="AX464" s="13" t="s">
        <v>8</v>
      </c>
      <c r="AY464" s="243" t="s">
        <v>157</v>
      </c>
    </row>
    <row r="465" s="13" customFormat="1">
      <c r="A465" s="13"/>
      <c r="B465" s="232"/>
      <c r="C465" s="233"/>
      <c r="D465" s="234" t="s">
        <v>165</v>
      </c>
      <c r="E465" s="233"/>
      <c r="F465" s="236" t="s">
        <v>821</v>
      </c>
      <c r="G465" s="233"/>
      <c r="H465" s="237">
        <v>37.002000000000002</v>
      </c>
      <c r="I465" s="238"/>
      <c r="J465" s="233"/>
      <c r="K465" s="233"/>
      <c r="L465" s="239"/>
      <c r="M465" s="240"/>
      <c r="N465" s="241"/>
      <c r="O465" s="241"/>
      <c r="P465" s="241"/>
      <c r="Q465" s="241"/>
      <c r="R465" s="241"/>
      <c r="S465" s="241"/>
      <c r="T465" s="242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T465" s="243" t="s">
        <v>165</v>
      </c>
      <c r="AU465" s="243" t="s">
        <v>86</v>
      </c>
      <c r="AV465" s="13" t="s">
        <v>86</v>
      </c>
      <c r="AW465" s="13" t="s">
        <v>4</v>
      </c>
      <c r="AX465" s="13" t="s">
        <v>8</v>
      </c>
      <c r="AY465" s="243" t="s">
        <v>157</v>
      </c>
    </row>
    <row r="466" s="2" customFormat="1" ht="24.15" customHeight="1">
      <c r="A466" s="37"/>
      <c r="B466" s="38"/>
      <c r="C466" s="218" t="s">
        <v>822</v>
      </c>
      <c r="D466" s="218" t="s">
        <v>159</v>
      </c>
      <c r="E466" s="219" t="s">
        <v>823</v>
      </c>
      <c r="F466" s="220" t="s">
        <v>824</v>
      </c>
      <c r="G466" s="221" t="s">
        <v>209</v>
      </c>
      <c r="H466" s="222">
        <v>659.80999999999995</v>
      </c>
      <c r="I466" s="223"/>
      <c r="J466" s="224">
        <f>ROUND(I466*H466,0)</f>
        <v>0</v>
      </c>
      <c r="K466" s="225"/>
      <c r="L466" s="43"/>
      <c r="M466" s="226" t="s">
        <v>1</v>
      </c>
      <c r="N466" s="227" t="s">
        <v>42</v>
      </c>
      <c r="O466" s="90"/>
      <c r="P466" s="228">
        <f>O466*H466</f>
        <v>0</v>
      </c>
      <c r="Q466" s="228">
        <v>0</v>
      </c>
      <c r="R466" s="228">
        <f>Q466*H466</f>
        <v>0</v>
      </c>
      <c r="S466" s="228">
        <v>0</v>
      </c>
      <c r="T466" s="229">
        <f>S466*H466</f>
        <v>0</v>
      </c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R466" s="230" t="s">
        <v>246</v>
      </c>
      <c r="AT466" s="230" t="s">
        <v>159</v>
      </c>
      <c r="AU466" s="230" t="s">
        <v>86</v>
      </c>
      <c r="AY466" s="16" t="s">
        <v>157</v>
      </c>
      <c r="BE466" s="231">
        <f>IF(N466="základní",J466,0)</f>
        <v>0</v>
      </c>
      <c r="BF466" s="231">
        <f>IF(N466="snížená",J466,0)</f>
        <v>0</v>
      </c>
      <c r="BG466" s="231">
        <f>IF(N466="zákl. přenesená",J466,0)</f>
        <v>0</v>
      </c>
      <c r="BH466" s="231">
        <f>IF(N466="sníž. přenesená",J466,0)</f>
        <v>0</v>
      </c>
      <c r="BI466" s="231">
        <f>IF(N466="nulová",J466,0)</f>
        <v>0</v>
      </c>
      <c r="BJ466" s="16" t="s">
        <v>8</v>
      </c>
      <c r="BK466" s="231">
        <f>ROUND(I466*H466,0)</f>
        <v>0</v>
      </c>
      <c r="BL466" s="16" t="s">
        <v>246</v>
      </c>
      <c r="BM466" s="230" t="s">
        <v>825</v>
      </c>
    </row>
    <row r="467" s="13" customFormat="1">
      <c r="A467" s="13"/>
      <c r="B467" s="232"/>
      <c r="C467" s="233"/>
      <c r="D467" s="234" t="s">
        <v>165</v>
      </c>
      <c r="E467" s="235" t="s">
        <v>1</v>
      </c>
      <c r="F467" s="236" t="s">
        <v>826</v>
      </c>
      <c r="G467" s="233"/>
      <c r="H467" s="237">
        <v>567.55999999999995</v>
      </c>
      <c r="I467" s="238"/>
      <c r="J467" s="233"/>
      <c r="K467" s="233"/>
      <c r="L467" s="239"/>
      <c r="M467" s="240"/>
      <c r="N467" s="241"/>
      <c r="O467" s="241"/>
      <c r="P467" s="241"/>
      <c r="Q467" s="241"/>
      <c r="R467" s="241"/>
      <c r="S467" s="241"/>
      <c r="T467" s="242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T467" s="243" t="s">
        <v>165</v>
      </c>
      <c r="AU467" s="243" t="s">
        <v>86</v>
      </c>
      <c r="AV467" s="13" t="s">
        <v>86</v>
      </c>
      <c r="AW467" s="13" t="s">
        <v>32</v>
      </c>
      <c r="AX467" s="13" t="s">
        <v>77</v>
      </c>
      <c r="AY467" s="243" t="s">
        <v>157</v>
      </c>
    </row>
    <row r="468" s="13" customFormat="1">
      <c r="A468" s="13"/>
      <c r="B468" s="232"/>
      <c r="C468" s="233"/>
      <c r="D468" s="234" t="s">
        <v>165</v>
      </c>
      <c r="E468" s="235" t="s">
        <v>1</v>
      </c>
      <c r="F468" s="236" t="s">
        <v>538</v>
      </c>
      <c r="G468" s="233"/>
      <c r="H468" s="237">
        <v>92.25</v>
      </c>
      <c r="I468" s="238"/>
      <c r="J468" s="233"/>
      <c r="K468" s="233"/>
      <c r="L468" s="239"/>
      <c r="M468" s="240"/>
      <c r="N468" s="241"/>
      <c r="O468" s="241"/>
      <c r="P468" s="241"/>
      <c r="Q468" s="241"/>
      <c r="R468" s="241"/>
      <c r="S468" s="241"/>
      <c r="T468" s="242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T468" s="243" t="s">
        <v>165</v>
      </c>
      <c r="AU468" s="243" t="s">
        <v>86</v>
      </c>
      <c r="AV468" s="13" t="s">
        <v>86</v>
      </c>
      <c r="AW468" s="13" t="s">
        <v>32</v>
      </c>
      <c r="AX468" s="13" t="s">
        <v>77</v>
      </c>
      <c r="AY468" s="243" t="s">
        <v>157</v>
      </c>
    </row>
    <row r="469" s="2" customFormat="1" ht="24.15" customHeight="1">
      <c r="A469" s="37"/>
      <c r="B469" s="38"/>
      <c r="C469" s="254" t="s">
        <v>827</v>
      </c>
      <c r="D469" s="254" t="s">
        <v>229</v>
      </c>
      <c r="E469" s="255" t="s">
        <v>828</v>
      </c>
      <c r="F469" s="256" t="s">
        <v>829</v>
      </c>
      <c r="G469" s="257" t="s">
        <v>209</v>
      </c>
      <c r="H469" s="258">
        <v>595.93799999999999</v>
      </c>
      <c r="I469" s="259"/>
      <c r="J469" s="260">
        <f>ROUND(I469*H469,0)</f>
        <v>0</v>
      </c>
      <c r="K469" s="261"/>
      <c r="L469" s="262"/>
      <c r="M469" s="263" t="s">
        <v>1</v>
      </c>
      <c r="N469" s="264" t="s">
        <v>42</v>
      </c>
      <c r="O469" s="90"/>
      <c r="P469" s="228">
        <f>O469*H469</f>
        <v>0</v>
      </c>
      <c r="Q469" s="228">
        <v>0.0050000000000000001</v>
      </c>
      <c r="R469" s="228">
        <f>Q469*H469</f>
        <v>2.9796900000000002</v>
      </c>
      <c r="S469" s="228">
        <v>0</v>
      </c>
      <c r="T469" s="229">
        <f>S469*H469</f>
        <v>0</v>
      </c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R469" s="230" t="s">
        <v>329</v>
      </c>
      <c r="AT469" s="230" t="s">
        <v>229</v>
      </c>
      <c r="AU469" s="230" t="s">
        <v>86</v>
      </c>
      <c r="AY469" s="16" t="s">
        <v>157</v>
      </c>
      <c r="BE469" s="231">
        <f>IF(N469="základní",J469,0)</f>
        <v>0</v>
      </c>
      <c r="BF469" s="231">
        <f>IF(N469="snížená",J469,0)</f>
        <v>0</v>
      </c>
      <c r="BG469" s="231">
        <f>IF(N469="zákl. přenesená",J469,0)</f>
        <v>0</v>
      </c>
      <c r="BH469" s="231">
        <f>IF(N469="sníž. přenesená",J469,0)</f>
        <v>0</v>
      </c>
      <c r="BI469" s="231">
        <f>IF(N469="nulová",J469,0)</f>
        <v>0</v>
      </c>
      <c r="BJ469" s="16" t="s">
        <v>8</v>
      </c>
      <c r="BK469" s="231">
        <f>ROUND(I469*H469,0)</f>
        <v>0</v>
      </c>
      <c r="BL469" s="16" t="s">
        <v>246</v>
      </c>
      <c r="BM469" s="230" t="s">
        <v>830</v>
      </c>
    </row>
    <row r="470" s="13" customFormat="1">
      <c r="A470" s="13"/>
      <c r="B470" s="232"/>
      <c r="C470" s="233"/>
      <c r="D470" s="234" t="s">
        <v>165</v>
      </c>
      <c r="E470" s="235" t="s">
        <v>1</v>
      </c>
      <c r="F470" s="236" t="s">
        <v>831</v>
      </c>
      <c r="G470" s="233"/>
      <c r="H470" s="237">
        <v>567.55999999999995</v>
      </c>
      <c r="I470" s="238"/>
      <c r="J470" s="233"/>
      <c r="K470" s="233"/>
      <c r="L470" s="239"/>
      <c r="M470" s="240"/>
      <c r="N470" s="241"/>
      <c r="O470" s="241"/>
      <c r="P470" s="241"/>
      <c r="Q470" s="241"/>
      <c r="R470" s="241"/>
      <c r="S470" s="241"/>
      <c r="T470" s="242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T470" s="243" t="s">
        <v>165</v>
      </c>
      <c r="AU470" s="243" t="s">
        <v>86</v>
      </c>
      <c r="AV470" s="13" t="s">
        <v>86</v>
      </c>
      <c r="AW470" s="13" t="s">
        <v>32</v>
      </c>
      <c r="AX470" s="13" t="s">
        <v>8</v>
      </c>
      <c r="AY470" s="243" t="s">
        <v>157</v>
      </c>
    </row>
    <row r="471" s="13" customFormat="1">
      <c r="A471" s="13"/>
      <c r="B471" s="232"/>
      <c r="C471" s="233"/>
      <c r="D471" s="234" t="s">
        <v>165</v>
      </c>
      <c r="E471" s="233"/>
      <c r="F471" s="236" t="s">
        <v>832</v>
      </c>
      <c r="G471" s="233"/>
      <c r="H471" s="237">
        <v>595.93799999999999</v>
      </c>
      <c r="I471" s="238"/>
      <c r="J471" s="233"/>
      <c r="K471" s="233"/>
      <c r="L471" s="239"/>
      <c r="M471" s="240"/>
      <c r="N471" s="241"/>
      <c r="O471" s="241"/>
      <c r="P471" s="241"/>
      <c r="Q471" s="241"/>
      <c r="R471" s="241"/>
      <c r="S471" s="241"/>
      <c r="T471" s="242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T471" s="243" t="s">
        <v>165</v>
      </c>
      <c r="AU471" s="243" t="s">
        <v>86</v>
      </c>
      <c r="AV471" s="13" t="s">
        <v>86</v>
      </c>
      <c r="AW471" s="13" t="s">
        <v>4</v>
      </c>
      <c r="AX471" s="13" t="s">
        <v>8</v>
      </c>
      <c r="AY471" s="243" t="s">
        <v>157</v>
      </c>
    </row>
    <row r="472" s="2" customFormat="1" ht="24.15" customHeight="1">
      <c r="A472" s="37"/>
      <c r="B472" s="38"/>
      <c r="C472" s="254" t="s">
        <v>833</v>
      </c>
      <c r="D472" s="254" t="s">
        <v>229</v>
      </c>
      <c r="E472" s="255" t="s">
        <v>834</v>
      </c>
      <c r="F472" s="256" t="s">
        <v>835</v>
      </c>
      <c r="G472" s="257" t="s">
        <v>209</v>
      </c>
      <c r="H472" s="258">
        <v>96.863</v>
      </c>
      <c r="I472" s="259"/>
      <c r="J472" s="260">
        <f>ROUND(I472*H472,0)</f>
        <v>0</v>
      </c>
      <c r="K472" s="261"/>
      <c r="L472" s="262"/>
      <c r="M472" s="263" t="s">
        <v>1</v>
      </c>
      <c r="N472" s="264" t="s">
        <v>42</v>
      </c>
      <c r="O472" s="90"/>
      <c r="P472" s="228">
        <f>O472*H472</f>
        <v>0</v>
      </c>
      <c r="Q472" s="228">
        <v>0.0011999999999999999</v>
      </c>
      <c r="R472" s="228">
        <f>Q472*H472</f>
        <v>0.11623559999999999</v>
      </c>
      <c r="S472" s="228">
        <v>0</v>
      </c>
      <c r="T472" s="229">
        <f>S472*H472</f>
        <v>0</v>
      </c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R472" s="230" t="s">
        <v>329</v>
      </c>
      <c r="AT472" s="230" t="s">
        <v>229</v>
      </c>
      <c r="AU472" s="230" t="s">
        <v>86</v>
      </c>
      <c r="AY472" s="16" t="s">
        <v>157</v>
      </c>
      <c r="BE472" s="231">
        <f>IF(N472="základní",J472,0)</f>
        <v>0</v>
      </c>
      <c r="BF472" s="231">
        <f>IF(N472="snížená",J472,0)</f>
        <v>0</v>
      </c>
      <c r="BG472" s="231">
        <f>IF(N472="zákl. přenesená",J472,0)</f>
        <v>0</v>
      </c>
      <c r="BH472" s="231">
        <f>IF(N472="sníž. přenesená",J472,0)</f>
        <v>0</v>
      </c>
      <c r="BI472" s="231">
        <f>IF(N472="nulová",J472,0)</f>
        <v>0</v>
      </c>
      <c r="BJ472" s="16" t="s">
        <v>8</v>
      </c>
      <c r="BK472" s="231">
        <f>ROUND(I472*H472,0)</f>
        <v>0</v>
      </c>
      <c r="BL472" s="16" t="s">
        <v>246</v>
      </c>
      <c r="BM472" s="230" t="s">
        <v>836</v>
      </c>
    </row>
    <row r="473" s="13" customFormat="1">
      <c r="A473" s="13"/>
      <c r="B473" s="232"/>
      <c r="C473" s="233"/>
      <c r="D473" s="234" t="s">
        <v>165</v>
      </c>
      <c r="E473" s="235" t="s">
        <v>1</v>
      </c>
      <c r="F473" s="236" t="s">
        <v>837</v>
      </c>
      <c r="G473" s="233"/>
      <c r="H473" s="237">
        <v>92.25</v>
      </c>
      <c r="I473" s="238"/>
      <c r="J473" s="233"/>
      <c r="K473" s="233"/>
      <c r="L473" s="239"/>
      <c r="M473" s="240"/>
      <c r="N473" s="241"/>
      <c r="O473" s="241"/>
      <c r="P473" s="241"/>
      <c r="Q473" s="241"/>
      <c r="R473" s="241"/>
      <c r="S473" s="241"/>
      <c r="T473" s="242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T473" s="243" t="s">
        <v>165</v>
      </c>
      <c r="AU473" s="243" t="s">
        <v>86</v>
      </c>
      <c r="AV473" s="13" t="s">
        <v>86</v>
      </c>
      <c r="AW473" s="13" t="s">
        <v>32</v>
      </c>
      <c r="AX473" s="13" t="s">
        <v>77</v>
      </c>
      <c r="AY473" s="243" t="s">
        <v>157</v>
      </c>
    </row>
    <row r="474" s="13" customFormat="1">
      <c r="A474" s="13"/>
      <c r="B474" s="232"/>
      <c r="C474" s="233"/>
      <c r="D474" s="234" t="s">
        <v>165</v>
      </c>
      <c r="E474" s="233"/>
      <c r="F474" s="236" t="s">
        <v>838</v>
      </c>
      <c r="G474" s="233"/>
      <c r="H474" s="237">
        <v>96.863</v>
      </c>
      <c r="I474" s="238"/>
      <c r="J474" s="233"/>
      <c r="K474" s="233"/>
      <c r="L474" s="239"/>
      <c r="M474" s="240"/>
      <c r="N474" s="241"/>
      <c r="O474" s="241"/>
      <c r="P474" s="241"/>
      <c r="Q474" s="241"/>
      <c r="R474" s="241"/>
      <c r="S474" s="241"/>
      <c r="T474" s="242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T474" s="243" t="s">
        <v>165</v>
      </c>
      <c r="AU474" s="243" t="s">
        <v>86</v>
      </c>
      <c r="AV474" s="13" t="s">
        <v>86</v>
      </c>
      <c r="AW474" s="13" t="s">
        <v>4</v>
      </c>
      <c r="AX474" s="13" t="s">
        <v>8</v>
      </c>
      <c r="AY474" s="243" t="s">
        <v>157</v>
      </c>
    </row>
    <row r="475" s="2" customFormat="1" ht="24.15" customHeight="1">
      <c r="A475" s="37"/>
      <c r="B475" s="38"/>
      <c r="C475" s="218" t="s">
        <v>839</v>
      </c>
      <c r="D475" s="218" t="s">
        <v>159</v>
      </c>
      <c r="E475" s="219" t="s">
        <v>840</v>
      </c>
      <c r="F475" s="220" t="s">
        <v>841</v>
      </c>
      <c r="G475" s="221" t="s">
        <v>209</v>
      </c>
      <c r="H475" s="222">
        <v>607.77999999999997</v>
      </c>
      <c r="I475" s="223"/>
      <c r="J475" s="224">
        <f>ROUND(I475*H475,0)</f>
        <v>0</v>
      </c>
      <c r="K475" s="225"/>
      <c r="L475" s="43"/>
      <c r="M475" s="226" t="s">
        <v>1</v>
      </c>
      <c r="N475" s="227" t="s">
        <v>42</v>
      </c>
      <c r="O475" s="90"/>
      <c r="P475" s="228">
        <f>O475*H475</f>
        <v>0</v>
      </c>
      <c r="Q475" s="228">
        <v>0</v>
      </c>
      <c r="R475" s="228">
        <f>Q475*H475</f>
        <v>0</v>
      </c>
      <c r="S475" s="228">
        <v>0</v>
      </c>
      <c r="T475" s="229">
        <f>S475*H475</f>
        <v>0</v>
      </c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R475" s="230" t="s">
        <v>246</v>
      </c>
      <c r="AT475" s="230" t="s">
        <v>159</v>
      </c>
      <c r="AU475" s="230" t="s">
        <v>86</v>
      </c>
      <c r="AY475" s="16" t="s">
        <v>157</v>
      </c>
      <c r="BE475" s="231">
        <f>IF(N475="základní",J475,0)</f>
        <v>0</v>
      </c>
      <c r="BF475" s="231">
        <f>IF(N475="snížená",J475,0)</f>
        <v>0</v>
      </c>
      <c r="BG475" s="231">
        <f>IF(N475="zákl. přenesená",J475,0)</f>
        <v>0</v>
      </c>
      <c r="BH475" s="231">
        <f>IF(N475="sníž. přenesená",J475,0)</f>
        <v>0</v>
      </c>
      <c r="BI475" s="231">
        <f>IF(N475="nulová",J475,0)</f>
        <v>0</v>
      </c>
      <c r="BJ475" s="16" t="s">
        <v>8</v>
      </c>
      <c r="BK475" s="231">
        <f>ROUND(I475*H475,0)</f>
        <v>0</v>
      </c>
      <c r="BL475" s="16" t="s">
        <v>246</v>
      </c>
      <c r="BM475" s="230" t="s">
        <v>842</v>
      </c>
    </row>
    <row r="476" s="13" customFormat="1">
      <c r="A476" s="13"/>
      <c r="B476" s="232"/>
      <c r="C476" s="233"/>
      <c r="D476" s="234" t="s">
        <v>165</v>
      </c>
      <c r="E476" s="235" t="s">
        <v>1</v>
      </c>
      <c r="F476" s="236" t="s">
        <v>536</v>
      </c>
      <c r="G476" s="233"/>
      <c r="H476" s="237">
        <v>607.77999999999997</v>
      </c>
      <c r="I476" s="238"/>
      <c r="J476" s="233"/>
      <c r="K476" s="233"/>
      <c r="L476" s="239"/>
      <c r="M476" s="240"/>
      <c r="N476" s="241"/>
      <c r="O476" s="241"/>
      <c r="P476" s="241"/>
      <c r="Q476" s="241"/>
      <c r="R476" s="241"/>
      <c r="S476" s="241"/>
      <c r="T476" s="242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T476" s="243" t="s">
        <v>165</v>
      </c>
      <c r="AU476" s="243" t="s">
        <v>86</v>
      </c>
      <c r="AV476" s="13" t="s">
        <v>86</v>
      </c>
      <c r="AW476" s="13" t="s">
        <v>32</v>
      </c>
      <c r="AX476" s="13" t="s">
        <v>77</v>
      </c>
      <c r="AY476" s="243" t="s">
        <v>157</v>
      </c>
    </row>
    <row r="477" s="2" customFormat="1" ht="24.15" customHeight="1">
      <c r="A477" s="37"/>
      <c r="B477" s="38"/>
      <c r="C477" s="254" t="s">
        <v>843</v>
      </c>
      <c r="D477" s="254" t="s">
        <v>229</v>
      </c>
      <c r="E477" s="255" t="s">
        <v>844</v>
      </c>
      <c r="F477" s="256" t="s">
        <v>845</v>
      </c>
      <c r="G477" s="257" t="s">
        <v>209</v>
      </c>
      <c r="H477" s="258">
        <v>1276.338</v>
      </c>
      <c r="I477" s="259"/>
      <c r="J477" s="260">
        <f>ROUND(I477*H477,0)</f>
        <v>0</v>
      </c>
      <c r="K477" s="261"/>
      <c r="L477" s="262"/>
      <c r="M477" s="263" t="s">
        <v>1</v>
      </c>
      <c r="N477" s="264" t="s">
        <v>42</v>
      </c>
      <c r="O477" s="90"/>
      <c r="P477" s="228">
        <f>O477*H477</f>
        <v>0</v>
      </c>
      <c r="Q477" s="228">
        <v>0.0027000000000000001</v>
      </c>
      <c r="R477" s="228">
        <f>Q477*H477</f>
        <v>3.4461126000000002</v>
      </c>
      <c r="S477" s="228">
        <v>0</v>
      </c>
      <c r="T477" s="229">
        <f>S477*H477</f>
        <v>0</v>
      </c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R477" s="230" t="s">
        <v>329</v>
      </c>
      <c r="AT477" s="230" t="s">
        <v>229</v>
      </c>
      <c r="AU477" s="230" t="s">
        <v>86</v>
      </c>
      <c r="AY477" s="16" t="s">
        <v>157</v>
      </c>
      <c r="BE477" s="231">
        <f>IF(N477="základní",J477,0)</f>
        <v>0</v>
      </c>
      <c r="BF477" s="231">
        <f>IF(N477="snížená",J477,0)</f>
        <v>0</v>
      </c>
      <c r="BG477" s="231">
        <f>IF(N477="zákl. přenesená",J477,0)</f>
        <v>0</v>
      </c>
      <c r="BH477" s="231">
        <f>IF(N477="sníž. přenesená",J477,0)</f>
        <v>0</v>
      </c>
      <c r="BI477" s="231">
        <f>IF(N477="nulová",J477,0)</f>
        <v>0</v>
      </c>
      <c r="BJ477" s="16" t="s">
        <v>8</v>
      </c>
      <c r="BK477" s="231">
        <f>ROUND(I477*H477,0)</f>
        <v>0</v>
      </c>
      <c r="BL477" s="16" t="s">
        <v>246</v>
      </c>
      <c r="BM477" s="230" t="s">
        <v>846</v>
      </c>
    </row>
    <row r="478" s="13" customFormat="1">
      <c r="A478" s="13"/>
      <c r="B478" s="232"/>
      <c r="C478" s="233"/>
      <c r="D478" s="234" t="s">
        <v>165</v>
      </c>
      <c r="E478" s="235" t="s">
        <v>1</v>
      </c>
      <c r="F478" s="236" t="s">
        <v>847</v>
      </c>
      <c r="G478" s="233"/>
      <c r="H478" s="237">
        <v>607.77999999999997</v>
      </c>
      <c r="I478" s="238"/>
      <c r="J478" s="233"/>
      <c r="K478" s="233"/>
      <c r="L478" s="239"/>
      <c r="M478" s="240"/>
      <c r="N478" s="241"/>
      <c r="O478" s="241"/>
      <c r="P478" s="241"/>
      <c r="Q478" s="241"/>
      <c r="R478" s="241"/>
      <c r="S478" s="241"/>
      <c r="T478" s="242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T478" s="243" t="s">
        <v>165</v>
      </c>
      <c r="AU478" s="243" t="s">
        <v>86</v>
      </c>
      <c r="AV478" s="13" t="s">
        <v>86</v>
      </c>
      <c r="AW478" s="13" t="s">
        <v>32</v>
      </c>
      <c r="AX478" s="13" t="s">
        <v>8</v>
      </c>
      <c r="AY478" s="243" t="s">
        <v>157</v>
      </c>
    </row>
    <row r="479" s="13" customFormat="1">
      <c r="A479" s="13"/>
      <c r="B479" s="232"/>
      <c r="C479" s="233"/>
      <c r="D479" s="234" t="s">
        <v>165</v>
      </c>
      <c r="E479" s="233"/>
      <c r="F479" s="236" t="s">
        <v>848</v>
      </c>
      <c r="G479" s="233"/>
      <c r="H479" s="237">
        <v>1276.338</v>
      </c>
      <c r="I479" s="238"/>
      <c r="J479" s="233"/>
      <c r="K479" s="233"/>
      <c r="L479" s="239"/>
      <c r="M479" s="240"/>
      <c r="N479" s="241"/>
      <c r="O479" s="241"/>
      <c r="P479" s="241"/>
      <c r="Q479" s="241"/>
      <c r="R479" s="241"/>
      <c r="S479" s="241"/>
      <c r="T479" s="242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T479" s="243" t="s">
        <v>165</v>
      </c>
      <c r="AU479" s="243" t="s">
        <v>86</v>
      </c>
      <c r="AV479" s="13" t="s">
        <v>86</v>
      </c>
      <c r="AW479" s="13" t="s">
        <v>4</v>
      </c>
      <c r="AX479" s="13" t="s">
        <v>8</v>
      </c>
      <c r="AY479" s="243" t="s">
        <v>157</v>
      </c>
    </row>
    <row r="480" s="2" customFormat="1" ht="33" customHeight="1">
      <c r="A480" s="37"/>
      <c r="B480" s="38"/>
      <c r="C480" s="218" t="s">
        <v>849</v>
      </c>
      <c r="D480" s="218" t="s">
        <v>159</v>
      </c>
      <c r="E480" s="219" t="s">
        <v>850</v>
      </c>
      <c r="F480" s="220" t="s">
        <v>851</v>
      </c>
      <c r="G480" s="221" t="s">
        <v>209</v>
      </c>
      <c r="H480" s="222">
        <v>27.120000000000001</v>
      </c>
      <c r="I480" s="223"/>
      <c r="J480" s="224">
        <f>ROUND(I480*H480,0)</f>
        <v>0</v>
      </c>
      <c r="K480" s="225"/>
      <c r="L480" s="43"/>
      <c r="M480" s="226" t="s">
        <v>1</v>
      </c>
      <c r="N480" s="227" t="s">
        <v>42</v>
      </c>
      <c r="O480" s="90"/>
      <c r="P480" s="228">
        <f>O480*H480</f>
        <v>0</v>
      </c>
      <c r="Q480" s="228">
        <v>5.0000000000000002E-05</v>
      </c>
      <c r="R480" s="228">
        <f>Q480*H480</f>
        <v>0.0013560000000000002</v>
      </c>
      <c r="S480" s="228">
        <v>0</v>
      </c>
      <c r="T480" s="229">
        <f>S480*H480</f>
        <v>0</v>
      </c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R480" s="230" t="s">
        <v>246</v>
      </c>
      <c r="AT480" s="230" t="s">
        <v>159</v>
      </c>
      <c r="AU480" s="230" t="s">
        <v>86</v>
      </c>
      <c r="AY480" s="16" t="s">
        <v>157</v>
      </c>
      <c r="BE480" s="231">
        <f>IF(N480="základní",J480,0)</f>
        <v>0</v>
      </c>
      <c r="BF480" s="231">
        <f>IF(N480="snížená",J480,0)</f>
        <v>0</v>
      </c>
      <c r="BG480" s="231">
        <f>IF(N480="zákl. přenesená",J480,0)</f>
        <v>0</v>
      </c>
      <c r="BH480" s="231">
        <f>IF(N480="sníž. přenesená",J480,0)</f>
        <v>0</v>
      </c>
      <c r="BI480" s="231">
        <f>IF(N480="nulová",J480,0)</f>
        <v>0</v>
      </c>
      <c r="BJ480" s="16" t="s">
        <v>8</v>
      </c>
      <c r="BK480" s="231">
        <f>ROUND(I480*H480,0)</f>
        <v>0</v>
      </c>
      <c r="BL480" s="16" t="s">
        <v>246</v>
      </c>
      <c r="BM480" s="230" t="s">
        <v>852</v>
      </c>
    </row>
    <row r="481" s="13" customFormat="1">
      <c r="A481" s="13"/>
      <c r="B481" s="232"/>
      <c r="C481" s="233"/>
      <c r="D481" s="234" t="s">
        <v>165</v>
      </c>
      <c r="E481" s="235" t="s">
        <v>1</v>
      </c>
      <c r="F481" s="236" t="s">
        <v>853</v>
      </c>
      <c r="G481" s="233"/>
      <c r="H481" s="237">
        <v>27.120000000000001</v>
      </c>
      <c r="I481" s="238"/>
      <c r="J481" s="233"/>
      <c r="K481" s="233"/>
      <c r="L481" s="239"/>
      <c r="M481" s="240"/>
      <c r="N481" s="241"/>
      <c r="O481" s="241"/>
      <c r="P481" s="241"/>
      <c r="Q481" s="241"/>
      <c r="R481" s="241"/>
      <c r="S481" s="241"/>
      <c r="T481" s="242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T481" s="243" t="s">
        <v>165</v>
      </c>
      <c r="AU481" s="243" t="s">
        <v>86</v>
      </c>
      <c r="AV481" s="13" t="s">
        <v>86</v>
      </c>
      <c r="AW481" s="13" t="s">
        <v>32</v>
      </c>
      <c r="AX481" s="13" t="s">
        <v>77</v>
      </c>
      <c r="AY481" s="243" t="s">
        <v>157</v>
      </c>
    </row>
    <row r="482" s="2" customFormat="1" ht="24.15" customHeight="1">
      <c r="A482" s="37"/>
      <c r="B482" s="38"/>
      <c r="C482" s="254" t="s">
        <v>854</v>
      </c>
      <c r="D482" s="254" t="s">
        <v>229</v>
      </c>
      <c r="E482" s="255" t="s">
        <v>855</v>
      </c>
      <c r="F482" s="256" t="s">
        <v>856</v>
      </c>
      <c r="G482" s="257" t="s">
        <v>209</v>
      </c>
      <c r="H482" s="258">
        <v>29.289999999999999</v>
      </c>
      <c r="I482" s="259"/>
      <c r="J482" s="260">
        <f>ROUND(I482*H482,0)</f>
        <v>0</v>
      </c>
      <c r="K482" s="261"/>
      <c r="L482" s="262"/>
      <c r="M482" s="263" t="s">
        <v>1</v>
      </c>
      <c r="N482" s="264" t="s">
        <v>42</v>
      </c>
      <c r="O482" s="90"/>
      <c r="P482" s="228">
        <f>O482*H482</f>
        <v>0</v>
      </c>
      <c r="Q482" s="228">
        <v>0.0030000000000000001</v>
      </c>
      <c r="R482" s="228">
        <f>Q482*H482</f>
        <v>0.087870000000000004</v>
      </c>
      <c r="S482" s="228">
        <v>0</v>
      </c>
      <c r="T482" s="229">
        <f>S482*H482</f>
        <v>0</v>
      </c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R482" s="230" t="s">
        <v>329</v>
      </c>
      <c r="AT482" s="230" t="s">
        <v>229</v>
      </c>
      <c r="AU482" s="230" t="s">
        <v>86</v>
      </c>
      <c r="AY482" s="16" t="s">
        <v>157</v>
      </c>
      <c r="BE482" s="231">
        <f>IF(N482="základní",J482,0)</f>
        <v>0</v>
      </c>
      <c r="BF482" s="231">
        <f>IF(N482="snížená",J482,0)</f>
        <v>0</v>
      </c>
      <c r="BG482" s="231">
        <f>IF(N482="zákl. přenesená",J482,0)</f>
        <v>0</v>
      </c>
      <c r="BH482" s="231">
        <f>IF(N482="sníž. přenesená",J482,0)</f>
        <v>0</v>
      </c>
      <c r="BI482" s="231">
        <f>IF(N482="nulová",J482,0)</f>
        <v>0</v>
      </c>
      <c r="BJ482" s="16" t="s">
        <v>8</v>
      </c>
      <c r="BK482" s="231">
        <f>ROUND(I482*H482,0)</f>
        <v>0</v>
      </c>
      <c r="BL482" s="16" t="s">
        <v>246</v>
      </c>
      <c r="BM482" s="230" t="s">
        <v>857</v>
      </c>
    </row>
    <row r="483" s="13" customFormat="1">
      <c r="A483" s="13"/>
      <c r="B483" s="232"/>
      <c r="C483" s="233"/>
      <c r="D483" s="234" t="s">
        <v>165</v>
      </c>
      <c r="E483" s="235" t="s">
        <v>1</v>
      </c>
      <c r="F483" s="236" t="s">
        <v>858</v>
      </c>
      <c r="G483" s="233"/>
      <c r="H483" s="237">
        <v>27.120000000000001</v>
      </c>
      <c r="I483" s="238"/>
      <c r="J483" s="233"/>
      <c r="K483" s="233"/>
      <c r="L483" s="239"/>
      <c r="M483" s="240"/>
      <c r="N483" s="241"/>
      <c r="O483" s="241"/>
      <c r="P483" s="241"/>
      <c r="Q483" s="241"/>
      <c r="R483" s="241"/>
      <c r="S483" s="241"/>
      <c r="T483" s="242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T483" s="243" t="s">
        <v>165</v>
      </c>
      <c r="AU483" s="243" t="s">
        <v>86</v>
      </c>
      <c r="AV483" s="13" t="s">
        <v>86</v>
      </c>
      <c r="AW483" s="13" t="s">
        <v>32</v>
      </c>
      <c r="AX483" s="13" t="s">
        <v>8</v>
      </c>
      <c r="AY483" s="243" t="s">
        <v>157</v>
      </c>
    </row>
    <row r="484" s="13" customFormat="1">
      <c r="A484" s="13"/>
      <c r="B484" s="232"/>
      <c r="C484" s="233"/>
      <c r="D484" s="234" t="s">
        <v>165</v>
      </c>
      <c r="E484" s="233"/>
      <c r="F484" s="236" t="s">
        <v>859</v>
      </c>
      <c r="G484" s="233"/>
      <c r="H484" s="237">
        <v>29.289999999999999</v>
      </c>
      <c r="I484" s="238"/>
      <c r="J484" s="233"/>
      <c r="K484" s="233"/>
      <c r="L484" s="239"/>
      <c r="M484" s="240"/>
      <c r="N484" s="241"/>
      <c r="O484" s="241"/>
      <c r="P484" s="241"/>
      <c r="Q484" s="241"/>
      <c r="R484" s="241"/>
      <c r="S484" s="241"/>
      <c r="T484" s="242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T484" s="243" t="s">
        <v>165</v>
      </c>
      <c r="AU484" s="243" t="s">
        <v>86</v>
      </c>
      <c r="AV484" s="13" t="s">
        <v>86</v>
      </c>
      <c r="AW484" s="13" t="s">
        <v>4</v>
      </c>
      <c r="AX484" s="13" t="s">
        <v>8</v>
      </c>
      <c r="AY484" s="243" t="s">
        <v>157</v>
      </c>
    </row>
    <row r="485" s="2" customFormat="1" ht="37.8" customHeight="1">
      <c r="A485" s="37"/>
      <c r="B485" s="38"/>
      <c r="C485" s="218" t="s">
        <v>860</v>
      </c>
      <c r="D485" s="218" t="s">
        <v>159</v>
      </c>
      <c r="E485" s="219" t="s">
        <v>861</v>
      </c>
      <c r="F485" s="220" t="s">
        <v>862</v>
      </c>
      <c r="G485" s="221" t="s">
        <v>209</v>
      </c>
      <c r="H485" s="222">
        <v>176.98500000000001</v>
      </c>
      <c r="I485" s="223"/>
      <c r="J485" s="224">
        <f>ROUND(I485*H485,0)</f>
        <v>0</v>
      </c>
      <c r="K485" s="225"/>
      <c r="L485" s="43"/>
      <c r="M485" s="226" t="s">
        <v>1</v>
      </c>
      <c r="N485" s="227" t="s">
        <v>42</v>
      </c>
      <c r="O485" s="90"/>
      <c r="P485" s="228">
        <f>O485*H485</f>
        <v>0</v>
      </c>
      <c r="Q485" s="228">
        <v>5.0000000000000002E-05</v>
      </c>
      <c r="R485" s="228">
        <f>Q485*H485</f>
        <v>0.0088492500000000012</v>
      </c>
      <c r="S485" s="228">
        <v>0</v>
      </c>
      <c r="T485" s="229">
        <f>S485*H485</f>
        <v>0</v>
      </c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R485" s="230" t="s">
        <v>246</v>
      </c>
      <c r="AT485" s="230" t="s">
        <v>159</v>
      </c>
      <c r="AU485" s="230" t="s">
        <v>86</v>
      </c>
      <c r="AY485" s="16" t="s">
        <v>157</v>
      </c>
      <c r="BE485" s="231">
        <f>IF(N485="základní",J485,0)</f>
        <v>0</v>
      </c>
      <c r="BF485" s="231">
        <f>IF(N485="snížená",J485,0)</f>
        <v>0</v>
      </c>
      <c r="BG485" s="231">
        <f>IF(N485="zákl. přenesená",J485,0)</f>
        <v>0</v>
      </c>
      <c r="BH485" s="231">
        <f>IF(N485="sníž. přenesená",J485,0)</f>
        <v>0</v>
      </c>
      <c r="BI485" s="231">
        <f>IF(N485="nulová",J485,0)</f>
        <v>0</v>
      </c>
      <c r="BJ485" s="16" t="s">
        <v>8</v>
      </c>
      <c r="BK485" s="231">
        <f>ROUND(I485*H485,0)</f>
        <v>0</v>
      </c>
      <c r="BL485" s="16" t="s">
        <v>246</v>
      </c>
      <c r="BM485" s="230" t="s">
        <v>863</v>
      </c>
    </row>
    <row r="486" s="13" customFormat="1">
      <c r="A486" s="13"/>
      <c r="B486" s="232"/>
      <c r="C486" s="233"/>
      <c r="D486" s="234" t="s">
        <v>165</v>
      </c>
      <c r="E486" s="235" t="s">
        <v>1</v>
      </c>
      <c r="F486" s="236" t="s">
        <v>651</v>
      </c>
      <c r="G486" s="233"/>
      <c r="H486" s="237">
        <v>176.98500000000001</v>
      </c>
      <c r="I486" s="238"/>
      <c r="J486" s="233"/>
      <c r="K486" s="233"/>
      <c r="L486" s="239"/>
      <c r="M486" s="240"/>
      <c r="N486" s="241"/>
      <c r="O486" s="241"/>
      <c r="P486" s="241"/>
      <c r="Q486" s="241"/>
      <c r="R486" s="241"/>
      <c r="S486" s="241"/>
      <c r="T486" s="242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T486" s="243" t="s">
        <v>165</v>
      </c>
      <c r="AU486" s="243" t="s">
        <v>86</v>
      </c>
      <c r="AV486" s="13" t="s">
        <v>86</v>
      </c>
      <c r="AW486" s="13" t="s">
        <v>32</v>
      </c>
      <c r="AX486" s="13" t="s">
        <v>77</v>
      </c>
      <c r="AY486" s="243" t="s">
        <v>157</v>
      </c>
    </row>
    <row r="487" s="2" customFormat="1" ht="24.15" customHeight="1">
      <c r="A487" s="37"/>
      <c r="B487" s="38"/>
      <c r="C487" s="254" t="s">
        <v>864</v>
      </c>
      <c r="D487" s="254" t="s">
        <v>229</v>
      </c>
      <c r="E487" s="255" t="s">
        <v>459</v>
      </c>
      <c r="F487" s="256" t="s">
        <v>460</v>
      </c>
      <c r="G487" s="257" t="s">
        <v>209</v>
      </c>
      <c r="H487" s="258">
        <v>191.14400000000001</v>
      </c>
      <c r="I487" s="259"/>
      <c r="J487" s="260">
        <f>ROUND(I487*H487,0)</f>
        <v>0</v>
      </c>
      <c r="K487" s="261"/>
      <c r="L487" s="262"/>
      <c r="M487" s="263" t="s">
        <v>1</v>
      </c>
      <c r="N487" s="264" t="s">
        <v>42</v>
      </c>
      <c r="O487" s="90"/>
      <c r="P487" s="228">
        <f>O487*H487</f>
        <v>0</v>
      </c>
      <c r="Q487" s="228">
        <v>0.0060000000000000001</v>
      </c>
      <c r="R487" s="228">
        <f>Q487*H487</f>
        <v>1.1468640000000001</v>
      </c>
      <c r="S487" s="228">
        <v>0</v>
      </c>
      <c r="T487" s="229">
        <f>S487*H487</f>
        <v>0</v>
      </c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R487" s="230" t="s">
        <v>329</v>
      </c>
      <c r="AT487" s="230" t="s">
        <v>229</v>
      </c>
      <c r="AU487" s="230" t="s">
        <v>86</v>
      </c>
      <c r="AY487" s="16" t="s">
        <v>157</v>
      </c>
      <c r="BE487" s="231">
        <f>IF(N487="základní",J487,0)</f>
        <v>0</v>
      </c>
      <c r="BF487" s="231">
        <f>IF(N487="snížená",J487,0)</f>
        <v>0</v>
      </c>
      <c r="BG487" s="231">
        <f>IF(N487="zákl. přenesená",J487,0)</f>
        <v>0</v>
      </c>
      <c r="BH487" s="231">
        <f>IF(N487="sníž. přenesená",J487,0)</f>
        <v>0</v>
      </c>
      <c r="BI487" s="231">
        <f>IF(N487="nulová",J487,0)</f>
        <v>0</v>
      </c>
      <c r="BJ487" s="16" t="s">
        <v>8</v>
      </c>
      <c r="BK487" s="231">
        <f>ROUND(I487*H487,0)</f>
        <v>0</v>
      </c>
      <c r="BL487" s="16" t="s">
        <v>246</v>
      </c>
      <c r="BM487" s="230" t="s">
        <v>865</v>
      </c>
    </row>
    <row r="488" s="13" customFormat="1">
      <c r="A488" s="13"/>
      <c r="B488" s="232"/>
      <c r="C488" s="233"/>
      <c r="D488" s="234" t="s">
        <v>165</v>
      </c>
      <c r="E488" s="235" t="s">
        <v>1</v>
      </c>
      <c r="F488" s="236" t="s">
        <v>866</v>
      </c>
      <c r="G488" s="233"/>
      <c r="H488" s="237">
        <v>176.98500000000001</v>
      </c>
      <c r="I488" s="238"/>
      <c r="J488" s="233"/>
      <c r="K488" s="233"/>
      <c r="L488" s="239"/>
      <c r="M488" s="240"/>
      <c r="N488" s="241"/>
      <c r="O488" s="241"/>
      <c r="P488" s="241"/>
      <c r="Q488" s="241"/>
      <c r="R488" s="241"/>
      <c r="S488" s="241"/>
      <c r="T488" s="242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T488" s="243" t="s">
        <v>165</v>
      </c>
      <c r="AU488" s="243" t="s">
        <v>86</v>
      </c>
      <c r="AV488" s="13" t="s">
        <v>86</v>
      </c>
      <c r="AW488" s="13" t="s">
        <v>32</v>
      </c>
      <c r="AX488" s="13" t="s">
        <v>8</v>
      </c>
      <c r="AY488" s="243" t="s">
        <v>157</v>
      </c>
    </row>
    <row r="489" s="13" customFormat="1">
      <c r="A489" s="13"/>
      <c r="B489" s="232"/>
      <c r="C489" s="233"/>
      <c r="D489" s="234" t="s">
        <v>165</v>
      </c>
      <c r="E489" s="233"/>
      <c r="F489" s="236" t="s">
        <v>867</v>
      </c>
      <c r="G489" s="233"/>
      <c r="H489" s="237">
        <v>191.14400000000001</v>
      </c>
      <c r="I489" s="238"/>
      <c r="J489" s="233"/>
      <c r="K489" s="233"/>
      <c r="L489" s="239"/>
      <c r="M489" s="240"/>
      <c r="N489" s="241"/>
      <c r="O489" s="241"/>
      <c r="P489" s="241"/>
      <c r="Q489" s="241"/>
      <c r="R489" s="241"/>
      <c r="S489" s="241"/>
      <c r="T489" s="242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T489" s="243" t="s">
        <v>165</v>
      </c>
      <c r="AU489" s="243" t="s">
        <v>86</v>
      </c>
      <c r="AV489" s="13" t="s">
        <v>86</v>
      </c>
      <c r="AW489" s="13" t="s">
        <v>4</v>
      </c>
      <c r="AX489" s="13" t="s">
        <v>8</v>
      </c>
      <c r="AY489" s="243" t="s">
        <v>157</v>
      </c>
    </row>
    <row r="490" s="2" customFormat="1" ht="24.15" customHeight="1">
      <c r="A490" s="37"/>
      <c r="B490" s="38"/>
      <c r="C490" s="218" t="s">
        <v>868</v>
      </c>
      <c r="D490" s="218" t="s">
        <v>159</v>
      </c>
      <c r="E490" s="219" t="s">
        <v>869</v>
      </c>
      <c r="F490" s="220" t="s">
        <v>870</v>
      </c>
      <c r="G490" s="221" t="s">
        <v>209</v>
      </c>
      <c r="H490" s="222">
        <v>543.63999999999999</v>
      </c>
      <c r="I490" s="223"/>
      <c r="J490" s="224">
        <f>ROUND(I490*H490,0)</f>
        <v>0</v>
      </c>
      <c r="K490" s="225"/>
      <c r="L490" s="43"/>
      <c r="M490" s="226" t="s">
        <v>1</v>
      </c>
      <c r="N490" s="227" t="s">
        <v>42</v>
      </c>
      <c r="O490" s="90"/>
      <c r="P490" s="228">
        <f>O490*H490</f>
        <v>0</v>
      </c>
      <c r="Q490" s="228">
        <v>2.0000000000000002E-05</v>
      </c>
      <c r="R490" s="228">
        <f>Q490*H490</f>
        <v>0.0108728</v>
      </c>
      <c r="S490" s="228">
        <v>0</v>
      </c>
      <c r="T490" s="229">
        <f>S490*H490</f>
        <v>0</v>
      </c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R490" s="230" t="s">
        <v>246</v>
      </c>
      <c r="AT490" s="230" t="s">
        <v>159</v>
      </c>
      <c r="AU490" s="230" t="s">
        <v>86</v>
      </c>
      <c r="AY490" s="16" t="s">
        <v>157</v>
      </c>
      <c r="BE490" s="231">
        <f>IF(N490="základní",J490,0)</f>
        <v>0</v>
      </c>
      <c r="BF490" s="231">
        <f>IF(N490="snížená",J490,0)</f>
        <v>0</v>
      </c>
      <c r="BG490" s="231">
        <f>IF(N490="zákl. přenesená",J490,0)</f>
        <v>0</v>
      </c>
      <c r="BH490" s="231">
        <f>IF(N490="sníž. přenesená",J490,0)</f>
        <v>0</v>
      </c>
      <c r="BI490" s="231">
        <f>IF(N490="nulová",J490,0)</f>
        <v>0</v>
      </c>
      <c r="BJ490" s="16" t="s">
        <v>8</v>
      </c>
      <c r="BK490" s="231">
        <f>ROUND(I490*H490,0)</f>
        <v>0</v>
      </c>
      <c r="BL490" s="16" t="s">
        <v>246</v>
      </c>
      <c r="BM490" s="230" t="s">
        <v>871</v>
      </c>
    </row>
    <row r="491" s="13" customFormat="1">
      <c r="A491" s="13"/>
      <c r="B491" s="232"/>
      <c r="C491" s="233"/>
      <c r="D491" s="234" t="s">
        <v>165</v>
      </c>
      <c r="E491" s="235" t="s">
        <v>1</v>
      </c>
      <c r="F491" s="236" t="s">
        <v>872</v>
      </c>
      <c r="G491" s="233"/>
      <c r="H491" s="237">
        <v>133.75999999999999</v>
      </c>
      <c r="I491" s="238"/>
      <c r="J491" s="233"/>
      <c r="K491" s="233"/>
      <c r="L491" s="239"/>
      <c r="M491" s="240"/>
      <c r="N491" s="241"/>
      <c r="O491" s="241"/>
      <c r="P491" s="241"/>
      <c r="Q491" s="241"/>
      <c r="R491" s="241"/>
      <c r="S491" s="241"/>
      <c r="T491" s="242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T491" s="243" t="s">
        <v>165</v>
      </c>
      <c r="AU491" s="243" t="s">
        <v>86</v>
      </c>
      <c r="AV491" s="13" t="s">
        <v>86</v>
      </c>
      <c r="AW491" s="13" t="s">
        <v>32</v>
      </c>
      <c r="AX491" s="13" t="s">
        <v>77</v>
      </c>
      <c r="AY491" s="243" t="s">
        <v>157</v>
      </c>
    </row>
    <row r="492" s="13" customFormat="1">
      <c r="A492" s="13"/>
      <c r="B492" s="232"/>
      <c r="C492" s="233"/>
      <c r="D492" s="234" t="s">
        <v>165</v>
      </c>
      <c r="E492" s="235" t="s">
        <v>1</v>
      </c>
      <c r="F492" s="236" t="s">
        <v>873</v>
      </c>
      <c r="G492" s="233"/>
      <c r="H492" s="237">
        <v>219.03999999999999</v>
      </c>
      <c r="I492" s="238"/>
      <c r="J492" s="233"/>
      <c r="K492" s="233"/>
      <c r="L492" s="239"/>
      <c r="M492" s="240"/>
      <c r="N492" s="241"/>
      <c r="O492" s="241"/>
      <c r="P492" s="241"/>
      <c r="Q492" s="241"/>
      <c r="R492" s="241"/>
      <c r="S492" s="241"/>
      <c r="T492" s="242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T492" s="243" t="s">
        <v>165</v>
      </c>
      <c r="AU492" s="243" t="s">
        <v>86</v>
      </c>
      <c r="AV492" s="13" t="s">
        <v>86</v>
      </c>
      <c r="AW492" s="13" t="s">
        <v>32</v>
      </c>
      <c r="AX492" s="13" t="s">
        <v>77</v>
      </c>
      <c r="AY492" s="243" t="s">
        <v>157</v>
      </c>
    </row>
    <row r="493" s="13" customFormat="1">
      <c r="A493" s="13"/>
      <c r="B493" s="232"/>
      <c r="C493" s="233"/>
      <c r="D493" s="234" t="s">
        <v>165</v>
      </c>
      <c r="E493" s="235" t="s">
        <v>1</v>
      </c>
      <c r="F493" s="236" t="s">
        <v>874</v>
      </c>
      <c r="G493" s="233"/>
      <c r="H493" s="237">
        <v>143.94</v>
      </c>
      <c r="I493" s="238"/>
      <c r="J493" s="233"/>
      <c r="K493" s="233"/>
      <c r="L493" s="239"/>
      <c r="M493" s="240"/>
      <c r="N493" s="241"/>
      <c r="O493" s="241"/>
      <c r="P493" s="241"/>
      <c r="Q493" s="241"/>
      <c r="R493" s="241"/>
      <c r="S493" s="241"/>
      <c r="T493" s="242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T493" s="243" t="s">
        <v>165</v>
      </c>
      <c r="AU493" s="243" t="s">
        <v>86</v>
      </c>
      <c r="AV493" s="13" t="s">
        <v>86</v>
      </c>
      <c r="AW493" s="13" t="s">
        <v>32</v>
      </c>
      <c r="AX493" s="13" t="s">
        <v>77</v>
      </c>
      <c r="AY493" s="243" t="s">
        <v>157</v>
      </c>
    </row>
    <row r="494" s="13" customFormat="1">
      <c r="A494" s="13"/>
      <c r="B494" s="232"/>
      <c r="C494" s="233"/>
      <c r="D494" s="234" t="s">
        <v>165</v>
      </c>
      <c r="E494" s="235" t="s">
        <v>1</v>
      </c>
      <c r="F494" s="236" t="s">
        <v>875</v>
      </c>
      <c r="G494" s="233"/>
      <c r="H494" s="237">
        <v>11.66</v>
      </c>
      <c r="I494" s="238"/>
      <c r="J494" s="233"/>
      <c r="K494" s="233"/>
      <c r="L494" s="239"/>
      <c r="M494" s="240"/>
      <c r="N494" s="241"/>
      <c r="O494" s="241"/>
      <c r="P494" s="241"/>
      <c r="Q494" s="241"/>
      <c r="R494" s="241"/>
      <c r="S494" s="241"/>
      <c r="T494" s="242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T494" s="243" t="s">
        <v>165</v>
      </c>
      <c r="AU494" s="243" t="s">
        <v>86</v>
      </c>
      <c r="AV494" s="13" t="s">
        <v>86</v>
      </c>
      <c r="AW494" s="13" t="s">
        <v>32</v>
      </c>
      <c r="AX494" s="13" t="s">
        <v>77</v>
      </c>
      <c r="AY494" s="243" t="s">
        <v>157</v>
      </c>
    </row>
    <row r="495" s="13" customFormat="1">
      <c r="A495" s="13"/>
      <c r="B495" s="232"/>
      <c r="C495" s="233"/>
      <c r="D495" s="234" t="s">
        <v>165</v>
      </c>
      <c r="E495" s="235" t="s">
        <v>1</v>
      </c>
      <c r="F495" s="236" t="s">
        <v>815</v>
      </c>
      <c r="G495" s="233"/>
      <c r="H495" s="237">
        <v>35.240000000000002</v>
      </c>
      <c r="I495" s="238"/>
      <c r="J495" s="233"/>
      <c r="K495" s="233"/>
      <c r="L495" s="239"/>
      <c r="M495" s="240"/>
      <c r="N495" s="241"/>
      <c r="O495" s="241"/>
      <c r="P495" s="241"/>
      <c r="Q495" s="241"/>
      <c r="R495" s="241"/>
      <c r="S495" s="241"/>
      <c r="T495" s="242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T495" s="243" t="s">
        <v>165</v>
      </c>
      <c r="AU495" s="243" t="s">
        <v>86</v>
      </c>
      <c r="AV495" s="13" t="s">
        <v>86</v>
      </c>
      <c r="AW495" s="13" t="s">
        <v>32</v>
      </c>
      <c r="AX495" s="13" t="s">
        <v>77</v>
      </c>
      <c r="AY495" s="243" t="s">
        <v>157</v>
      </c>
    </row>
    <row r="496" s="2" customFormat="1" ht="24.15" customHeight="1">
      <c r="A496" s="37"/>
      <c r="B496" s="38"/>
      <c r="C496" s="254" t="s">
        <v>876</v>
      </c>
      <c r="D496" s="254" t="s">
        <v>229</v>
      </c>
      <c r="E496" s="255" t="s">
        <v>877</v>
      </c>
      <c r="F496" s="256" t="s">
        <v>878</v>
      </c>
      <c r="G496" s="257" t="s">
        <v>209</v>
      </c>
      <c r="H496" s="258">
        <v>570.822</v>
      </c>
      <c r="I496" s="259"/>
      <c r="J496" s="260">
        <f>ROUND(I496*H496,0)</f>
        <v>0</v>
      </c>
      <c r="K496" s="261"/>
      <c r="L496" s="262"/>
      <c r="M496" s="263" t="s">
        <v>1</v>
      </c>
      <c r="N496" s="264" t="s">
        <v>42</v>
      </c>
      <c r="O496" s="90"/>
      <c r="P496" s="228">
        <f>O496*H496</f>
        <v>0</v>
      </c>
      <c r="Q496" s="228">
        <v>0.00013999999999999999</v>
      </c>
      <c r="R496" s="228">
        <f>Q496*H496</f>
        <v>0.079915079999999999</v>
      </c>
      <c r="S496" s="228">
        <v>0</v>
      </c>
      <c r="T496" s="229">
        <f>S496*H496</f>
        <v>0</v>
      </c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R496" s="230" t="s">
        <v>329</v>
      </c>
      <c r="AT496" s="230" t="s">
        <v>229</v>
      </c>
      <c r="AU496" s="230" t="s">
        <v>86</v>
      </c>
      <c r="AY496" s="16" t="s">
        <v>157</v>
      </c>
      <c r="BE496" s="231">
        <f>IF(N496="základní",J496,0)</f>
        <v>0</v>
      </c>
      <c r="BF496" s="231">
        <f>IF(N496="snížená",J496,0)</f>
        <v>0</v>
      </c>
      <c r="BG496" s="231">
        <f>IF(N496="zákl. přenesená",J496,0)</f>
        <v>0</v>
      </c>
      <c r="BH496" s="231">
        <f>IF(N496="sníž. přenesená",J496,0)</f>
        <v>0</v>
      </c>
      <c r="BI496" s="231">
        <f>IF(N496="nulová",J496,0)</f>
        <v>0</v>
      </c>
      <c r="BJ496" s="16" t="s">
        <v>8</v>
      </c>
      <c r="BK496" s="231">
        <f>ROUND(I496*H496,0)</f>
        <v>0</v>
      </c>
      <c r="BL496" s="16" t="s">
        <v>246</v>
      </c>
      <c r="BM496" s="230" t="s">
        <v>879</v>
      </c>
    </row>
    <row r="497" s="13" customFormat="1">
      <c r="A497" s="13"/>
      <c r="B497" s="232"/>
      <c r="C497" s="233"/>
      <c r="D497" s="234" t="s">
        <v>165</v>
      </c>
      <c r="E497" s="235" t="s">
        <v>1</v>
      </c>
      <c r="F497" s="236" t="s">
        <v>880</v>
      </c>
      <c r="G497" s="233"/>
      <c r="H497" s="237">
        <v>543.63999999999999</v>
      </c>
      <c r="I497" s="238"/>
      <c r="J497" s="233"/>
      <c r="K497" s="233"/>
      <c r="L497" s="239"/>
      <c r="M497" s="240"/>
      <c r="N497" s="241"/>
      <c r="O497" s="241"/>
      <c r="P497" s="241"/>
      <c r="Q497" s="241"/>
      <c r="R497" s="241"/>
      <c r="S497" s="241"/>
      <c r="T497" s="242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T497" s="243" t="s">
        <v>165</v>
      </c>
      <c r="AU497" s="243" t="s">
        <v>86</v>
      </c>
      <c r="AV497" s="13" t="s">
        <v>86</v>
      </c>
      <c r="AW497" s="13" t="s">
        <v>32</v>
      </c>
      <c r="AX497" s="13" t="s">
        <v>8</v>
      </c>
      <c r="AY497" s="243" t="s">
        <v>157</v>
      </c>
    </row>
    <row r="498" s="13" customFormat="1">
      <c r="A498" s="13"/>
      <c r="B498" s="232"/>
      <c r="C498" s="233"/>
      <c r="D498" s="234" t="s">
        <v>165</v>
      </c>
      <c r="E498" s="233"/>
      <c r="F498" s="236" t="s">
        <v>881</v>
      </c>
      <c r="G498" s="233"/>
      <c r="H498" s="237">
        <v>570.822</v>
      </c>
      <c r="I498" s="238"/>
      <c r="J498" s="233"/>
      <c r="K498" s="233"/>
      <c r="L498" s="239"/>
      <c r="M498" s="240"/>
      <c r="N498" s="241"/>
      <c r="O498" s="241"/>
      <c r="P498" s="241"/>
      <c r="Q498" s="241"/>
      <c r="R498" s="241"/>
      <c r="S498" s="241"/>
      <c r="T498" s="242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T498" s="243" t="s">
        <v>165</v>
      </c>
      <c r="AU498" s="243" t="s">
        <v>86</v>
      </c>
      <c r="AV498" s="13" t="s">
        <v>86</v>
      </c>
      <c r="AW498" s="13" t="s">
        <v>4</v>
      </c>
      <c r="AX498" s="13" t="s">
        <v>8</v>
      </c>
      <c r="AY498" s="243" t="s">
        <v>157</v>
      </c>
    </row>
    <row r="499" s="2" customFormat="1" ht="37.8" customHeight="1">
      <c r="A499" s="37"/>
      <c r="B499" s="38"/>
      <c r="C499" s="218" t="s">
        <v>882</v>
      </c>
      <c r="D499" s="218" t="s">
        <v>159</v>
      </c>
      <c r="E499" s="219" t="s">
        <v>883</v>
      </c>
      <c r="F499" s="220" t="s">
        <v>884</v>
      </c>
      <c r="G499" s="221" t="s">
        <v>209</v>
      </c>
      <c r="H499" s="222">
        <v>508.39999999999998</v>
      </c>
      <c r="I499" s="223"/>
      <c r="J499" s="224">
        <f>ROUND(I499*H499,0)</f>
        <v>0</v>
      </c>
      <c r="K499" s="225"/>
      <c r="L499" s="43"/>
      <c r="M499" s="226" t="s">
        <v>1</v>
      </c>
      <c r="N499" s="227" t="s">
        <v>42</v>
      </c>
      <c r="O499" s="90"/>
      <c r="P499" s="228">
        <f>O499*H499</f>
        <v>0</v>
      </c>
      <c r="Q499" s="228">
        <v>0.0063</v>
      </c>
      <c r="R499" s="228">
        <f>Q499*H499</f>
        <v>3.2029199999999998</v>
      </c>
      <c r="S499" s="228">
        <v>0</v>
      </c>
      <c r="T499" s="229">
        <f>S499*H499</f>
        <v>0</v>
      </c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R499" s="230" t="s">
        <v>246</v>
      </c>
      <c r="AT499" s="230" t="s">
        <v>159</v>
      </c>
      <c r="AU499" s="230" t="s">
        <v>86</v>
      </c>
      <c r="AY499" s="16" t="s">
        <v>157</v>
      </c>
      <c r="BE499" s="231">
        <f>IF(N499="základní",J499,0)</f>
        <v>0</v>
      </c>
      <c r="BF499" s="231">
        <f>IF(N499="snížená",J499,0)</f>
        <v>0</v>
      </c>
      <c r="BG499" s="231">
        <f>IF(N499="zákl. přenesená",J499,0)</f>
        <v>0</v>
      </c>
      <c r="BH499" s="231">
        <f>IF(N499="sníž. přenesená",J499,0)</f>
        <v>0</v>
      </c>
      <c r="BI499" s="231">
        <f>IF(N499="nulová",J499,0)</f>
        <v>0</v>
      </c>
      <c r="BJ499" s="16" t="s">
        <v>8</v>
      </c>
      <c r="BK499" s="231">
        <f>ROUND(I499*H499,0)</f>
        <v>0</v>
      </c>
      <c r="BL499" s="16" t="s">
        <v>246</v>
      </c>
      <c r="BM499" s="230" t="s">
        <v>885</v>
      </c>
    </row>
    <row r="500" s="13" customFormat="1">
      <c r="A500" s="13"/>
      <c r="B500" s="232"/>
      <c r="C500" s="233"/>
      <c r="D500" s="234" t="s">
        <v>165</v>
      </c>
      <c r="E500" s="235" t="s">
        <v>1</v>
      </c>
      <c r="F500" s="236" t="s">
        <v>872</v>
      </c>
      <c r="G500" s="233"/>
      <c r="H500" s="237">
        <v>133.75999999999999</v>
      </c>
      <c r="I500" s="238"/>
      <c r="J500" s="233"/>
      <c r="K500" s="233"/>
      <c r="L500" s="239"/>
      <c r="M500" s="240"/>
      <c r="N500" s="241"/>
      <c r="O500" s="241"/>
      <c r="P500" s="241"/>
      <c r="Q500" s="241"/>
      <c r="R500" s="241"/>
      <c r="S500" s="241"/>
      <c r="T500" s="242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T500" s="243" t="s">
        <v>165</v>
      </c>
      <c r="AU500" s="243" t="s">
        <v>86</v>
      </c>
      <c r="AV500" s="13" t="s">
        <v>86</v>
      </c>
      <c r="AW500" s="13" t="s">
        <v>32</v>
      </c>
      <c r="AX500" s="13" t="s">
        <v>77</v>
      </c>
      <c r="AY500" s="243" t="s">
        <v>157</v>
      </c>
    </row>
    <row r="501" s="13" customFormat="1">
      <c r="A501" s="13"/>
      <c r="B501" s="232"/>
      <c r="C501" s="233"/>
      <c r="D501" s="234" t="s">
        <v>165</v>
      </c>
      <c r="E501" s="235" t="s">
        <v>1</v>
      </c>
      <c r="F501" s="236" t="s">
        <v>873</v>
      </c>
      <c r="G501" s="233"/>
      <c r="H501" s="237">
        <v>219.03999999999999</v>
      </c>
      <c r="I501" s="238"/>
      <c r="J501" s="233"/>
      <c r="K501" s="233"/>
      <c r="L501" s="239"/>
      <c r="M501" s="240"/>
      <c r="N501" s="241"/>
      <c r="O501" s="241"/>
      <c r="P501" s="241"/>
      <c r="Q501" s="241"/>
      <c r="R501" s="241"/>
      <c r="S501" s="241"/>
      <c r="T501" s="242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T501" s="243" t="s">
        <v>165</v>
      </c>
      <c r="AU501" s="243" t="s">
        <v>86</v>
      </c>
      <c r="AV501" s="13" t="s">
        <v>86</v>
      </c>
      <c r="AW501" s="13" t="s">
        <v>32</v>
      </c>
      <c r="AX501" s="13" t="s">
        <v>77</v>
      </c>
      <c r="AY501" s="243" t="s">
        <v>157</v>
      </c>
    </row>
    <row r="502" s="13" customFormat="1">
      <c r="A502" s="13"/>
      <c r="B502" s="232"/>
      <c r="C502" s="233"/>
      <c r="D502" s="234" t="s">
        <v>165</v>
      </c>
      <c r="E502" s="235" t="s">
        <v>1</v>
      </c>
      <c r="F502" s="236" t="s">
        <v>874</v>
      </c>
      <c r="G502" s="233"/>
      <c r="H502" s="237">
        <v>143.94</v>
      </c>
      <c r="I502" s="238"/>
      <c r="J502" s="233"/>
      <c r="K502" s="233"/>
      <c r="L502" s="239"/>
      <c r="M502" s="240"/>
      <c r="N502" s="241"/>
      <c r="O502" s="241"/>
      <c r="P502" s="241"/>
      <c r="Q502" s="241"/>
      <c r="R502" s="241"/>
      <c r="S502" s="241"/>
      <c r="T502" s="242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T502" s="243" t="s">
        <v>165</v>
      </c>
      <c r="AU502" s="243" t="s">
        <v>86</v>
      </c>
      <c r="AV502" s="13" t="s">
        <v>86</v>
      </c>
      <c r="AW502" s="13" t="s">
        <v>32</v>
      </c>
      <c r="AX502" s="13" t="s">
        <v>77</v>
      </c>
      <c r="AY502" s="243" t="s">
        <v>157</v>
      </c>
    </row>
    <row r="503" s="13" customFormat="1">
      <c r="A503" s="13"/>
      <c r="B503" s="232"/>
      <c r="C503" s="233"/>
      <c r="D503" s="234" t="s">
        <v>165</v>
      </c>
      <c r="E503" s="235" t="s">
        <v>1</v>
      </c>
      <c r="F503" s="236" t="s">
        <v>875</v>
      </c>
      <c r="G503" s="233"/>
      <c r="H503" s="237">
        <v>11.66</v>
      </c>
      <c r="I503" s="238"/>
      <c r="J503" s="233"/>
      <c r="K503" s="233"/>
      <c r="L503" s="239"/>
      <c r="M503" s="240"/>
      <c r="N503" s="241"/>
      <c r="O503" s="241"/>
      <c r="P503" s="241"/>
      <c r="Q503" s="241"/>
      <c r="R503" s="241"/>
      <c r="S503" s="241"/>
      <c r="T503" s="242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T503" s="243" t="s">
        <v>165</v>
      </c>
      <c r="AU503" s="243" t="s">
        <v>86</v>
      </c>
      <c r="AV503" s="13" t="s">
        <v>86</v>
      </c>
      <c r="AW503" s="13" t="s">
        <v>32</v>
      </c>
      <c r="AX503" s="13" t="s">
        <v>77</v>
      </c>
      <c r="AY503" s="243" t="s">
        <v>157</v>
      </c>
    </row>
    <row r="504" s="2" customFormat="1" ht="49.05" customHeight="1">
      <c r="A504" s="37"/>
      <c r="B504" s="38"/>
      <c r="C504" s="254" t="s">
        <v>886</v>
      </c>
      <c r="D504" s="254" t="s">
        <v>229</v>
      </c>
      <c r="E504" s="255" t="s">
        <v>817</v>
      </c>
      <c r="F504" s="256" t="s">
        <v>818</v>
      </c>
      <c r="G504" s="257" t="s">
        <v>209</v>
      </c>
      <c r="H504" s="258">
        <v>533.82000000000005</v>
      </c>
      <c r="I504" s="259"/>
      <c r="J504" s="260">
        <f>ROUND(I504*H504,0)</f>
        <v>0</v>
      </c>
      <c r="K504" s="261"/>
      <c r="L504" s="262"/>
      <c r="M504" s="263" t="s">
        <v>1</v>
      </c>
      <c r="N504" s="264" t="s">
        <v>42</v>
      </c>
      <c r="O504" s="90"/>
      <c r="P504" s="228">
        <f>O504*H504</f>
        <v>0</v>
      </c>
      <c r="Q504" s="228">
        <v>0.01</v>
      </c>
      <c r="R504" s="228">
        <f>Q504*H504</f>
        <v>5.3382000000000005</v>
      </c>
      <c r="S504" s="228">
        <v>0</v>
      </c>
      <c r="T504" s="229">
        <f>S504*H504</f>
        <v>0</v>
      </c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R504" s="230" t="s">
        <v>329</v>
      </c>
      <c r="AT504" s="230" t="s">
        <v>229</v>
      </c>
      <c r="AU504" s="230" t="s">
        <v>86</v>
      </c>
      <c r="AY504" s="16" t="s">
        <v>157</v>
      </c>
      <c r="BE504" s="231">
        <f>IF(N504="základní",J504,0)</f>
        <v>0</v>
      </c>
      <c r="BF504" s="231">
        <f>IF(N504="snížená",J504,0)</f>
        <v>0</v>
      </c>
      <c r="BG504" s="231">
        <f>IF(N504="zákl. přenesená",J504,0)</f>
        <v>0</v>
      </c>
      <c r="BH504" s="231">
        <f>IF(N504="sníž. přenesená",J504,0)</f>
        <v>0</v>
      </c>
      <c r="BI504" s="231">
        <f>IF(N504="nulová",J504,0)</f>
        <v>0</v>
      </c>
      <c r="BJ504" s="16" t="s">
        <v>8</v>
      </c>
      <c r="BK504" s="231">
        <f>ROUND(I504*H504,0)</f>
        <v>0</v>
      </c>
      <c r="BL504" s="16" t="s">
        <v>246</v>
      </c>
      <c r="BM504" s="230" t="s">
        <v>887</v>
      </c>
    </row>
    <row r="505" s="13" customFormat="1">
      <c r="A505" s="13"/>
      <c r="B505" s="232"/>
      <c r="C505" s="233"/>
      <c r="D505" s="234" t="s">
        <v>165</v>
      </c>
      <c r="E505" s="235" t="s">
        <v>1</v>
      </c>
      <c r="F505" s="236" t="s">
        <v>888</v>
      </c>
      <c r="G505" s="233"/>
      <c r="H505" s="237">
        <v>508.39999999999998</v>
      </c>
      <c r="I505" s="238"/>
      <c r="J505" s="233"/>
      <c r="K505" s="233"/>
      <c r="L505" s="239"/>
      <c r="M505" s="240"/>
      <c r="N505" s="241"/>
      <c r="O505" s="241"/>
      <c r="P505" s="241"/>
      <c r="Q505" s="241"/>
      <c r="R505" s="241"/>
      <c r="S505" s="241"/>
      <c r="T505" s="242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T505" s="243" t="s">
        <v>165</v>
      </c>
      <c r="AU505" s="243" t="s">
        <v>86</v>
      </c>
      <c r="AV505" s="13" t="s">
        <v>86</v>
      </c>
      <c r="AW505" s="13" t="s">
        <v>32</v>
      </c>
      <c r="AX505" s="13" t="s">
        <v>8</v>
      </c>
      <c r="AY505" s="243" t="s">
        <v>157</v>
      </c>
    </row>
    <row r="506" s="13" customFormat="1">
      <c r="A506" s="13"/>
      <c r="B506" s="232"/>
      <c r="C506" s="233"/>
      <c r="D506" s="234" t="s">
        <v>165</v>
      </c>
      <c r="E506" s="233"/>
      <c r="F506" s="236" t="s">
        <v>889</v>
      </c>
      <c r="G506" s="233"/>
      <c r="H506" s="237">
        <v>533.82000000000005</v>
      </c>
      <c r="I506" s="238"/>
      <c r="J506" s="233"/>
      <c r="K506" s="233"/>
      <c r="L506" s="239"/>
      <c r="M506" s="240"/>
      <c r="N506" s="241"/>
      <c r="O506" s="241"/>
      <c r="P506" s="241"/>
      <c r="Q506" s="241"/>
      <c r="R506" s="241"/>
      <c r="S506" s="241"/>
      <c r="T506" s="242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T506" s="243" t="s">
        <v>165</v>
      </c>
      <c r="AU506" s="243" t="s">
        <v>86</v>
      </c>
      <c r="AV506" s="13" t="s">
        <v>86</v>
      </c>
      <c r="AW506" s="13" t="s">
        <v>4</v>
      </c>
      <c r="AX506" s="13" t="s">
        <v>8</v>
      </c>
      <c r="AY506" s="243" t="s">
        <v>157</v>
      </c>
    </row>
    <row r="507" s="2" customFormat="1" ht="37.8" customHeight="1">
      <c r="A507" s="37"/>
      <c r="B507" s="38"/>
      <c r="C507" s="218" t="s">
        <v>890</v>
      </c>
      <c r="D507" s="218" t="s">
        <v>159</v>
      </c>
      <c r="E507" s="219" t="s">
        <v>891</v>
      </c>
      <c r="F507" s="220" t="s">
        <v>892</v>
      </c>
      <c r="G507" s="221" t="s">
        <v>209</v>
      </c>
      <c r="H507" s="222">
        <v>661.44899999999996</v>
      </c>
      <c r="I507" s="223"/>
      <c r="J507" s="224">
        <f>ROUND(I507*H507,0)</f>
        <v>0</v>
      </c>
      <c r="K507" s="225"/>
      <c r="L507" s="43"/>
      <c r="M507" s="226" t="s">
        <v>1</v>
      </c>
      <c r="N507" s="227" t="s">
        <v>42</v>
      </c>
      <c r="O507" s="90"/>
      <c r="P507" s="228">
        <f>O507*H507</f>
        <v>0</v>
      </c>
      <c r="Q507" s="228">
        <v>0.00024000000000000001</v>
      </c>
      <c r="R507" s="228">
        <f>Q507*H507</f>
        <v>0.15874775999999999</v>
      </c>
      <c r="S507" s="228">
        <v>0</v>
      </c>
      <c r="T507" s="229">
        <f>S507*H507</f>
        <v>0</v>
      </c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R507" s="230" t="s">
        <v>246</v>
      </c>
      <c r="AT507" s="230" t="s">
        <v>159</v>
      </c>
      <c r="AU507" s="230" t="s">
        <v>86</v>
      </c>
      <c r="AY507" s="16" t="s">
        <v>157</v>
      </c>
      <c r="BE507" s="231">
        <f>IF(N507="základní",J507,0)</f>
        <v>0</v>
      </c>
      <c r="BF507" s="231">
        <f>IF(N507="snížená",J507,0)</f>
        <v>0</v>
      </c>
      <c r="BG507" s="231">
        <f>IF(N507="zákl. přenesená",J507,0)</f>
        <v>0</v>
      </c>
      <c r="BH507" s="231">
        <f>IF(N507="sníž. přenesená",J507,0)</f>
        <v>0</v>
      </c>
      <c r="BI507" s="231">
        <f>IF(N507="nulová",J507,0)</f>
        <v>0</v>
      </c>
      <c r="BJ507" s="16" t="s">
        <v>8</v>
      </c>
      <c r="BK507" s="231">
        <f>ROUND(I507*H507,0)</f>
        <v>0</v>
      </c>
      <c r="BL507" s="16" t="s">
        <v>246</v>
      </c>
      <c r="BM507" s="230" t="s">
        <v>893</v>
      </c>
    </row>
    <row r="508" s="13" customFormat="1">
      <c r="A508" s="13"/>
      <c r="B508" s="232"/>
      <c r="C508" s="233"/>
      <c r="D508" s="234" t="s">
        <v>165</v>
      </c>
      <c r="E508" s="235" t="s">
        <v>1</v>
      </c>
      <c r="F508" s="236" t="s">
        <v>729</v>
      </c>
      <c r="G508" s="233"/>
      <c r="H508" s="237">
        <v>661.44899999999996</v>
      </c>
      <c r="I508" s="238"/>
      <c r="J508" s="233"/>
      <c r="K508" s="233"/>
      <c r="L508" s="239"/>
      <c r="M508" s="240"/>
      <c r="N508" s="241"/>
      <c r="O508" s="241"/>
      <c r="P508" s="241"/>
      <c r="Q508" s="241"/>
      <c r="R508" s="241"/>
      <c r="S508" s="241"/>
      <c r="T508" s="242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T508" s="243" t="s">
        <v>165</v>
      </c>
      <c r="AU508" s="243" t="s">
        <v>86</v>
      </c>
      <c r="AV508" s="13" t="s">
        <v>86</v>
      </c>
      <c r="AW508" s="13" t="s">
        <v>32</v>
      </c>
      <c r="AX508" s="13" t="s">
        <v>77</v>
      </c>
      <c r="AY508" s="243" t="s">
        <v>157</v>
      </c>
    </row>
    <row r="509" s="2" customFormat="1" ht="24.15" customHeight="1">
      <c r="A509" s="37"/>
      <c r="B509" s="38"/>
      <c r="C509" s="254" t="s">
        <v>894</v>
      </c>
      <c r="D509" s="254" t="s">
        <v>229</v>
      </c>
      <c r="E509" s="255" t="s">
        <v>895</v>
      </c>
      <c r="F509" s="256" t="s">
        <v>896</v>
      </c>
      <c r="G509" s="257" t="s">
        <v>209</v>
      </c>
      <c r="H509" s="258">
        <v>694.52099999999996</v>
      </c>
      <c r="I509" s="259"/>
      <c r="J509" s="260">
        <f>ROUND(I509*H509,0)</f>
        <v>0</v>
      </c>
      <c r="K509" s="261"/>
      <c r="L509" s="262"/>
      <c r="M509" s="263" t="s">
        <v>1</v>
      </c>
      <c r="N509" s="264" t="s">
        <v>42</v>
      </c>
      <c r="O509" s="90"/>
      <c r="P509" s="228">
        <f>O509*H509</f>
        <v>0</v>
      </c>
      <c r="Q509" s="228">
        <v>0.021000000000000001</v>
      </c>
      <c r="R509" s="228">
        <f>Q509*H509</f>
        <v>14.584941000000001</v>
      </c>
      <c r="S509" s="228">
        <v>0</v>
      </c>
      <c r="T509" s="229">
        <f>S509*H509</f>
        <v>0</v>
      </c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R509" s="230" t="s">
        <v>329</v>
      </c>
      <c r="AT509" s="230" t="s">
        <v>229</v>
      </c>
      <c r="AU509" s="230" t="s">
        <v>86</v>
      </c>
      <c r="AY509" s="16" t="s">
        <v>157</v>
      </c>
      <c r="BE509" s="231">
        <f>IF(N509="základní",J509,0)</f>
        <v>0</v>
      </c>
      <c r="BF509" s="231">
        <f>IF(N509="snížená",J509,0)</f>
        <v>0</v>
      </c>
      <c r="BG509" s="231">
        <f>IF(N509="zákl. přenesená",J509,0)</f>
        <v>0</v>
      </c>
      <c r="BH509" s="231">
        <f>IF(N509="sníž. přenesená",J509,0)</f>
        <v>0</v>
      </c>
      <c r="BI509" s="231">
        <f>IF(N509="nulová",J509,0)</f>
        <v>0</v>
      </c>
      <c r="BJ509" s="16" t="s">
        <v>8</v>
      </c>
      <c r="BK509" s="231">
        <f>ROUND(I509*H509,0)</f>
        <v>0</v>
      </c>
      <c r="BL509" s="16" t="s">
        <v>246</v>
      </c>
      <c r="BM509" s="230" t="s">
        <v>897</v>
      </c>
    </row>
    <row r="510" s="13" customFormat="1">
      <c r="A510" s="13"/>
      <c r="B510" s="232"/>
      <c r="C510" s="233"/>
      <c r="D510" s="234" t="s">
        <v>165</v>
      </c>
      <c r="E510" s="235" t="s">
        <v>1</v>
      </c>
      <c r="F510" s="236" t="s">
        <v>898</v>
      </c>
      <c r="G510" s="233"/>
      <c r="H510" s="237">
        <v>661.44899999999996</v>
      </c>
      <c r="I510" s="238"/>
      <c r="J510" s="233"/>
      <c r="K510" s="233"/>
      <c r="L510" s="239"/>
      <c r="M510" s="240"/>
      <c r="N510" s="241"/>
      <c r="O510" s="241"/>
      <c r="P510" s="241"/>
      <c r="Q510" s="241"/>
      <c r="R510" s="241"/>
      <c r="S510" s="241"/>
      <c r="T510" s="242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T510" s="243" t="s">
        <v>165</v>
      </c>
      <c r="AU510" s="243" t="s">
        <v>86</v>
      </c>
      <c r="AV510" s="13" t="s">
        <v>86</v>
      </c>
      <c r="AW510" s="13" t="s">
        <v>32</v>
      </c>
      <c r="AX510" s="13" t="s">
        <v>8</v>
      </c>
      <c r="AY510" s="243" t="s">
        <v>157</v>
      </c>
    </row>
    <row r="511" s="13" customFormat="1">
      <c r="A511" s="13"/>
      <c r="B511" s="232"/>
      <c r="C511" s="233"/>
      <c r="D511" s="234" t="s">
        <v>165</v>
      </c>
      <c r="E511" s="233"/>
      <c r="F511" s="236" t="s">
        <v>899</v>
      </c>
      <c r="G511" s="233"/>
      <c r="H511" s="237">
        <v>694.52099999999996</v>
      </c>
      <c r="I511" s="238"/>
      <c r="J511" s="233"/>
      <c r="K511" s="233"/>
      <c r="L511" s="239"/>
      <c r="M511" s="240"/>
      <c r="N511" s="241"/>
      <c r="O511" s="241"/>
      <c r="P511" s="241"/>
      <c r="Q511" s="241"/>
      <c r="R511" s="241"/>
      <c r="S511" s="241"/>
      <c r="T511" s="242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T511" s="243" t="s">
        <v>165</v>
      </c>
      <c r="AU511" s="243" t="s">
        <v>86</v>
      </c>
      <c r="AV511" s="13" t="s">
        <v>86</v>
      </c>
      <c r="AW511" s="13" t="s">
        <v>4</v>
      </c>
      <c r="AX511" s="13" t="s">
        <v>8</v>
      </c>
      <c r="AY511" s="243" t="s">
        <v>157</v>
      </c>
    </row>
    <row r="512" s="2" customFormat="1" ht="24.15" customHeight="1">
      <c r="A512" s="37"/>
      <c r="B512" s="38"/>
      <c r="C512" s="254" t="s">
        <v>900</v>
      </c>
      <c r="D512" s="254" t="s">
        <v>229</v>
      </c>
      <c r="E512" s="255" t="s">
        <v>901</v>
      </c>
      <c r="F512" s="256" t="s">
        <v>902</v>
      </c>
      <c r="G512" s="257" t="s">
        <v>209</v>
      </c>
      <c r="H512" s="258">
        <v>694.52099999999996</v>
      </c>
      <c r="I512" s="259"/>
      <c r="J512" s="260">
        <f>ROUND(I512*H512,0)</f>
        <v>0</v>
      </c>
      <c r="K512" s="261"/>
      <c r="L512" s="262"/>
      <c r="M512" s="263" t="s">
        <v>1</v>
      </c>
      <c r="N512" s="264" t="s">
        <v>42</v>
      </c>
      <c r="O512" s="90"/>
      <c r="P512" s="228">
        <f>O512*H512</f>
        <v>0</v>
      </c>
      <c r="Q512" s="228">
        <v>0.016</v>
      </c>
      <c r="R512" s="228">
        <f>Q512*H512</f>
        <v>11.112335999999999</v>
      </c>
      <c r="S512" s="228">
        <v>0</v>
      </c>
      <c r="T512" s="229">
        <f>S512*H512</f>
        <v>0</v>
      </c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R512" s="230" t="s">
        <v>329</v>
      </c>
      <c r="AT512" s="230" t="s">
        <v>229</v>
      </c>
      <c r="AU512" s="230" t="s">
        <v>86</v>
      </c>
      <c r="AY512" s="16" t="s">
        <v>157</v>
      </c>
      <c r="BE512" s="231">
        <f>IF(N512="základní",J512,0)</f>
        <v>0</v>
      </c>
      <c r="BF512" s="231">
        <f>IF(N512="snížená",J512,0)</f>
        <v>0</v>
      </c>
      <c r="BG512" s="231">
        <f>IF(N512="zákl. přenesená",J512,0)</f>
        <v>0</v>
      </c>
      <c r="BH512" s="231">
        <f>IF(N512="sníž. přenesená",J512,0)</f>
        <v>0</v>
      </c>
      <c r="BI512" s="231">
        <f>IF(N512="nulová",J512,0)</f>
        <v>0</v>
      </c>
      <c r="BJ512" s="16" t="s">
        <v>8</v>
      </c>
      <c r="BK512" s="231">
        <f>ROUND(I512*H512,0)</f>
        <v>0</v>
      </c>
      <c r="BL512" s="16" t="s">
        <v>246</v>
      </c>
      <c r="BM512" s="230" t="s">
        <v>903</v>
      </c>
    </row>
    <row r="513" s="13" customFormat="1">
      <c r="A513" s="13"/>
      <c r="B513" s="232"/>
      <c r="C513" s="233"/>
      <c r="D513" s="234" t="s">
        <v>165</v>
      </c>
      <c r="E513" s="235" t="s">
        <v>1</v>
      </c>
      <c r="F513" s="236" t="s">
        <v>898</v>
      </c>
      <c r="G513" s="233"/>
      <c r="H513" s="237">
        <v>661.44899999999996</v>
      </c>
      <c r="I513" s="238"/>
      <c r="J513" s="233"/>
      <c r="K513" s="233"/>
      <c r="L513" s="239"/>
      <c r="M513" s="240"/>
      <c r="N513" s="241"/>
      <c r="O513" s="241"/>
      <c r="P513" s="241"/>
      <c r="Q513" s="241"/>
      <c r="R513" s="241"/>
      <c r="S513" s="241"/>
      <c r="T513" s="242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T513" s="243" t="s">
        <v>165</v>
      </c>
      <c r="AU513" s="243" t="s">
        <v>86</v>
      </c>
      <c r="AV513" s="13" t="s">
        <v>86</v>
      </c>
      <c r="AW513" s="13" t="s">
        <v>32</v>
      </c>
      <c r="AX513" s="13" t="s">
        <v>77</v>
      </c>
      <c r="AY513" s="243" t="s">
        <v>157</v>
      </c>
    </row>
    <row r="514" s="13" customFormat="1">
      <c r="A514" s="13"/>
      <c r="B514" s="232"/>
      <c r="C514" s="233"/>
      <c r="D514" s="234" t="s">
        <v>165</v>
      </c>
      <c r="E514" s="233"/>
      <c r="F514" s="236" t="s">
        <v>899</v>
      </c>
      <c r="G514" s="233"/>
      <c r="H514" s="237">
        <v>694.52099999999996</v>
      </c>
      <c r="I514" s="238"/>
      <c r="J514" s="233"/>
      <c r="K514" s="233"/>
      <c r="L514" s="239"/>
      <c r="M514" s="240"/>
      <c r="N514" s="241"/>
      <c r="O514" s="241"/>
      <c r="P514" s="241"/>
      <c r="Q514" s="241"/>
      <c r="R514" s="241"/>
      <c r="S514" s="241"/>
      <c r="T514" s="242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T514" s="243" t="s">
        <v>165</v>
      </c>
      <c r="AU514" s="243" t="s">
        <v>86</v>
      </c>
      <c r="AV514" s="13" t="s">
        <v>86</v>
      </c>
      <c r="AW514" s="13" t="s">
        <v>4</v>
      </c>
      <c r="AX514" s="13" t="s">
        <v>8</v>
      </c>
      <c r="AY514" s="243" t="s">
        <v>157</v>
      </c>
    </row>
    <row r="515" s="2" customFormat="1" ht="24.15" customHeight="1">
      <c r="A515" s="37"/>
      <c r="B515" s="38"/>
      <c r="C515" s="218" t="s">
        <v>904</v>
      </c>
      <c r="D515" s="218" t="s">
        <v>159</v>
      </c>
      <c r="E515" s="219" t="s">
        <v>905</v>
      </c>
      <c r="F515" s="220" t="s">
        <v>906</v>
      </c>
      <c r="G515" s="221" t="s">
        <v>209</v>
      </c>
      <c r="H515" s="222">
        <v>29.039999999999999</v>
      </c>
      <c r="I515" s="223"/>
      <c r="J515" s="224">
        <f>ROUND(I515*H515,0)</f>
        <v>0</v>
      </c>
      <c r="K515" s="225"/>
      <c r="L515" s="43"/>
      <c r="M515" s="226" t="s">
        <v>1</v>
      </c>
      <c r="N515" s="227" t="s">
        <v>42</v>
      </c>
      <c r="O515" s="90"/>
      <c r="P515" s="228">
        <f>O515*H515</f>
        <v>0</v>
      </c>
      <c r="Q515" s="228">
        <v>0</v>
      </c>
      <c r="R515" s="228">
        <f>Q515*H515</f>
        <v>0</v>
      </c>
      <c r="S515" s="228">
        <v>0</v>
      </c>
      <c r="T515" s="229">
        <f>S515*H515</f>
        <v>0</v>
      </c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R515" s="230" t="s">
        <v>246</v>
      </c>
      <c r="AT515" s="230" t="s">
        <v>159</v>
      </c>
      <c r="AU515" s="230" t="s">
        <v>86</v>
      </c>
      <c r="AY515" s="16" t="s">
        <v>157</v>
      </c>
      <c r="BE515" s="231">
        <f>IF(N515="základní",J515,0)</f>
        <v>0</v>
      </c>
      <c r="BF515" s="231">
        <f>IF(N515="snížená",J515,0)</f>
        <v>0</v>
      </c>
      <c r="BG515" s="231">
        <f>IF(N515="zákl. přenesená",J515,0)</f>
        <v>0</v>
      </c>
      <c r="BH515" s="231">
        <f>IF(N515="sníž. přenesená",J515,0)</f>
        <v>0</v>
      </c>
      <c r="BI515" s="231">
        <f>IF(N515="nulová",J515,0)</f>
        <v>0</v>
      </c>
      <c r="BJ515" s="16" t="s">
        <v>8</v>
      </c>
      <c r="BK515" s="231">
        <f>ROUND(I515*H515,0)</f>
        <v>0</v>
      </c>
      <c r="BL515" s="16" t="s">
        <v>246</v>
      </c>
      <c r="BM515" s="230" t="s">
        <v>907</v>
      </c>
    </row>
    <row r="516" s="13" customFormat="1">
      <c r="A516" s="13"/>
      <c r="B516" s="232"/>
      <c r="C516" s="233"/>
      <c r="D516" s="234" t="s">
        <v>165</v>
      </c>
      <c r="E516" s="235" t="s">
        <v>1</v>
      </c>
      <c r="F516" s="236" t="s">
        <v>555</v>
      </c>
      <c r="G516" s="233"/>
      <c r="H516" s="237">
        <v>29.039999999999999</v>
      </c>
      <c r="I516" s="238"/>
      <c r="J516" s="233"/>
      <c r="K516" s="233"/>
      <c r="L516" s="239"/>
      <c r="M516" s="240"/>
      <c r="N516" s="241"/>
      <c r="O516" s="241"/>
      <c r="P516" s="241"/>
      <c r="Q516" s="241"/>
      <c r="R516" s="241"/>
      <c r="S516" s="241"/>
      <c r="T516" s="242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T516" s="243" t="s">
        <v>165</v>
      </c>
      <c r="AU516" s="243" t="s">
        <v>86</v>
      </c>
      <c r="AV516" s="13" t="s">
        <v>86</v>
      </c>
      <c r="AW516" s="13" t="s">
        <v>32</v>
      </c>
      <c r="AX516" s="13" t="s">
        <v>77</v>
      </c>
      <c r="AY516" s="243" t="s">
        <v>157</v>
      </c>
    </row>
    <row r="517" s="2" customFormat="1" ht="24.15" customHeight="1">
      <c r="A517" s="37"/>
      <c r="B517" s="38"/>
      <c r="C517" s="254" t="s">
        <v>908</v>
      </c>
      <c r="D517" s="254" t="s">
        <v>229</v>
      </c>
      <c r="E517" s="255" t="s">
        <v>909</v>
      </c>
      <c r="F517" s="256" t="s">
        <v>910</v>
      </c>
      <c r="G517" s="257" t="s">
        <v>209</v>
      </c>
      <c r="H517" s="258">
        <v>30.492000000000001</v>
      </c>
      <c r="I517" s="259"/>
      <c r="J517" s="260">
        <f>ROUND(I517*H517,0)</f>
        <v>0</v>
      </c>
      <c r="K517" s="261"/>
      <c r="L517" s="262"/>
      <c r="M517" s="263" t="s">
        <v>1</v>
      </c>
      <c r="N517" s="264" t="s">
        <v>42</v>
      </c>
      <c r="O517" s="90"/>
      <c r="P517" s="228">
        <f>O517*H517</f>
        <v>0</v>
      </c>
      <c r="Q517" s="228">
        <v>0.0023999999999999998</v>
      </c>
      <c r="R517" s="228">
        <f>Q517*H517</f>
        <v>0.07318079999999999</v>
      </c>
      <c r="S517" s="228">
        <v>0</v>
      </c>
      <c r="T517" s="229">
        <f>S517*H517</f>
        <v>0</v>
      </c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R517" s="230" t="s">
        <v>329</v>
      </c>
      <c r="AT517" s="230" t="s">
        <v>229</v>
      </c>
      <c r="AU517" s="230" t="s">
        <v>86</v>
      </c>
      <c r="AY517" s="16" t="s">
        <v>157</v>
      </c>
      <c r="BE517" s="231">
        <f>IF(N517="základní",J517,0)</f>
        <v>0</v>
      </c>
      <c r="BF517" s="231">
        <f>IF(N517="snížená",J517,0)</f>
        <v>0</v>
      </c>
      <c r="BG517" s="231">
        <f>IF(N517="zákl. přenesená",J517,0)</f>
        <v>0</v>
      </c>
      <c r="BH517" s="231">
        <f>IF(N517="sníž. přenesená",J517,0)</f>
        <v>0</v>
      </c>
      <c r="BI517" s="231">
        <f>IF(N517="nulová",J517,0)</f>
        <v>0</v>
      </c>
      <c r="BJ517" s="16" t="s">
        <v>8</v>
      </c>
      <c r="BK517" s="231">
        <f>ROUND(I517*H517,0)</f>
        <v>0</v>
      </c>
      <c r="BL517" s="16" t="s">
        <v>246</v>
      </c>
      <c r="BM517" s="230" t="s">
        <v>911</v>
      </c>
    </row>
    <row r="518" s="13" customFormat="1">
      <c r="A518" s="13"/>
      <c r="B518" s="232"/>
      <c r="C518" s="233"/>
      <c r="D518" s="234" t="s">
        <v>165</v>
      </c>
      <c r="E518" s="235" t="s">
        <v>1</v>
      </c>
      <c r="F518" s="236" t="s">
        <v>560</v>
      </c>
      <c r="G518" s="233"/>
      <c r="H518" s="237">
        <v>29.039999999999999</v>
      </c>
      <c r="I518" s="238"/>
      <c r="J518" s="233"/>
      <c r="K518" s="233"/>
      <c r="L518" s="239"/>
      <c r="M518" s="240"/>
      <c r="N518" s="241"/>
      <c r="O518" s="241"/>
      <c r="P518" s="241"/>
      <c r="Q518" s="241"/>
      <c r="R518" s="241"/>
      <c r="S518" s="241"/>
      <c r="T518" s="242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T518" s="243" t="s">
        <v>165</v>
      </c>
      <c r="AU518" s="243" t="s">
        <v>86</v>
      </c>
      <c r="AV518" s="13" t="s">
        <v>86</v>
      </c>
      <c r="AW518" s="13" t="s">
        <v>32</v>
      </c>
      <c r="AX518" s="13" t="s">
        <v>8</v>
      </c>
      <c r="AY518" s="243" t="s">
        <v>157</v>
      </c>
    </row>
    <row r="519" s="13" customFormat="1">
      <c r="A519" s="13"/>
      <c r="B519" s="232"/>
      <c r="C519" s="233"/>
      <c r="D519" s="234" t="s">
        <v>165</v>
      </c>
      <c r="E519" s="233"/>
      <c r="F519" s="236" t="s">
        <v>912</v>
      </c>
      <c r="G519" s="233"/>
      <c r="H519" s="237">
        <v>30.492000000000001</v>
      </c>
      <c r="I519" s="238"/>
      <c r="J519" s="233"/>
      <c r="K519" s="233"/>
      <c r="L519" s="239"/>
      <c r="M519" s="240"/>
      <c r="N519" s="241"/>
      <c r="O519" s="241"/>
      <c r="P519" s="241"/>
      <c r="Q519" s="241"/>
      <c r="R519" s="241"/>
      <c r="S519" s="241"/>
      <c r="T519" s="242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T519" s="243" t="s">
        <v>165</v>
      </c>
      <c r="AU519" s="243" t="s">
        <v>86</v>
      </c>
      <c r="AV519" s="13" t="s">
        <v>86</v>
      </c>
      <c r="AW519" s="13" t="s">
        <v>4</v>
      </c>
      <c r="AX519" s="13" t="s">
        <v>8</v>
      </c>
      <c r="AY519" s="243" t="s">
        <v>157</v>
      </c>
    </row>
    <row r="520" s="2" customFormat="1" ht="24.15" customHeight="1">
      <c r="A520" s="37"/>
      <c r="B520" s="38"/>
      <c r="C520" s="254" t="s">
        <v>913</v>
      </c>
      <c r="D520" s="254" t="s">
        <v>229</v>
      </c>
      <c r="E520" s="255" t="s">
        <v>914</v>
      </c>
      <c r="F520" s="256" t="s">
        <v>915</v>
      </c>
      <c r="G520" s="257" t="s">
        <v>209</v>
      </c>
      <c r="H520" s="258">
        <v>30.492000000000001</v>
      </c>
      <c r="I520" s="259"/>
      <c r="J520" s="260">
        <f>ROUND(I520*H520,0)</f>
        <v>0</v>
      </c>
      <c r="K520" s="261"/>
      <c r="L520" s="262"/>
      <c r="M520" s="263" t="s">
        <v>1</v>
      </c>
      <c r="N520" s="264" t="s">
        <v>42</v>
      </c>
      <c r="O520" s="90"/>
      <c r="P520" s="228">
        <f>O520*H520</f>
        <v>0</v>
      </c>
      <c r="Q520" s="228">
        <v>0.0030000000000000001</v>
      </c>
      <c r="R520" s="228">
        <f>Q520*H520</f>
        <v>0.091476000000000002</v>
      </c>
      <c r="S520" s="228">
        <v>0</v>
      </c>
      <c r="T520" s="229">
        <f>S520*H520</f>
        <v>0</v>
      </c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R520" s="230" t="s">
        <v>329</v>
      </c>
      <c r="AT520" s="230" t="s">
        <v>229</v>
      </c>
      <c r="AU520" s="230" t="s">
        <v>86</v>
      </c>
      <c r="AY520" s="16" t="s">
        <v>157</v>
      </c>
      <c r="BE520" s="231">
        <f>IF(N520="základní",J520,0)</f>
        <v>0</v>
      </c>
      <c r="BF520" s="231">
        <f>IF(N520="snížená",J520,0)</f>
        <v>0</v>
      </c>
      <c r="BG520" s="231">
        <f>IF(N520="zákl. přenesená",J520,0)</f>
        <v>0</v>
      </c>
      <c r="BH520" s="231">
        <f>IF(N520="sníž. přenesená",J520,0)</f>
        <v>0</v>
      </c>
      <c r="BI520" s="231">
        <f>IF(N520="nulová",J520,0)</f>
        <v>0</v>
      </c>
      <c r="BJ520" s="16" t="s">
        <v>8</v>
      </c>
      <c r="BK520" s="231">
        <f>ROUND(I520*H520,0)</f>
        <v>0</v>
      </c>
      <c r="BL520" s="16" t="s">
        <v>246</v>
      </c>
      <c r="BM520" s="230" t="s">
        <v>916</v>
      </c>
    </row>
    <row r="521" s="13" customFormat="1">
      <c r="A521" s="13"/>
      <c r="B521" s="232"/>
      <c r="C521" s="233"/>
      <c r="D521" s="234" t="s">
        <v>165</v>
      </c>
      <c r="E521" s="235" t="s">
        <v>1</v>
      </c>
      <c r="F521" s="236" t="s">
        <v>560</v>
      </c>
      <c r="G521" s="233"/>
      <c r="H521" s="237">
        <v>29.039999999999999</v>
      </c>
      <c r="I521" s="238"/>
      <c r="J521" s="233"/>
      <c r="K521" s="233"/>
      <c r="L521" s="239"/>
      <c r="M521" s="240"/>
      <c r="N521" s="241"/>
      <c r="O521" s="241"/>
      <c r="P521" s="241"/>
      <c r="Q521" s="241"/>
      <c r="R521" s="241"/>
      <c r="S521" s="241"/>
      <c r="T521" s="242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T521" s="243" t="s">
        <v>165</v>
      </c>
      <c r="AU521" s="243" t="s">
        <v>86</v>
      </c>
      <c r="AV521" s="13" t="s">
        <v>86</v>
      </c>
      <c r="AW521" s="13" t="s">
        <v>32</v>
      </c>
      <c r="AX521" s="13" t="s">
        <v>8</v>
      </c>
      <c r="AY521" s="243" t="s">
        <v>157</v>
      </c>
    </row>
    <row r="522" s="13" customFormat="1">
      <c r="A522" s="13"/>
      <c r="B522" s="232"/>
      <c r="C522" s="233"/>
      <c r="D522" s="234" t="s">
        <v>165</v>
      </c>
      <c r="E522" s="233"/>
      <c r="F522" s="236" t="s">
        <v>912</v>
      </c>
      <c r="G522" s="233"/>
      <c r="H522" s="237">
        <v>30.492000000000001</v>
      </c>
      <c r="I522" s="238"/>
      <c r="J522" s="233"/>
      <c r="K522" s="233"/>
      <c r="L522" s="239"/>
      <c r="M522" s="240"/>
      <c r="N522" s="241"/>
      <c r="O522" s="241"/>
      <c r="P522" s="241"/>
      <c r="Q522" s="241"/>
      <c r="R522" s="241"/>
      <c r="S522" s="241"/>
      <c r="T522" s="242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T522" s="243" t="s">
        <v>165</v>
      </c>
      <c r="AU522" s="243" t="s">
        <v>86</v>
      </c>
      <c r="AV522" s="13" t="s">
        <v>86</v>
      </c>
      <c r="AW522" s="13" t="s">
        <v>4</v>
      </c>
      <c r="AX522" s="13" t="s">
        <v>8</v>
      </c>
      <c r="AY522" s="243" t="s">
        <v>157</v>
      </c>
    </row>
    <row r="523" s="2" customFormat="1" ht="24.15" customHeight="1">
      <c r="A523" s="37"/>
      <c r="B523" s="38"/>
      <c r="C523" s="218" t="s">
        <v>917</v>
      </c>
      <c r="D523" s="218" t="s">
        <v>159</v>
      </c>
      <c r="E523" s="219" t="s">
        <v>918</v>
      </c>
      <c r="F523" s="220" t="s">
        <v>919</v>
      </c>
      <c r="G523" s="221" t="s">
        <v>209</v>
      </c>
      <c r="H523" s="222">
        <v>29.039999999999999</v>
      </c>
      <c r="I523" s="223"/>
      <c r="J523" s="224">
        <f>ROUND(I523*H523,0)</f>
        <v>0</v>
      </c>
      <c r="K523" s="225"/>
      <c r="L523" s="43"/>
      <c r="M523" s="226" t="s">
        <v>1</v>
      </c>
      <c r="N523" s="227" t="s">
        <v>42</v>
      </c>
      <c r="O523" s="90"/>
      <c r="P523" s="228">
        <f>O523*H523</f>
        <v>0</v>
      </c>
      <c r="Q523" s="228">
        <v>8.0000000000000007E-05</v>
      </c>
      <c r="R523" s="228">
        <f>Q523*H523</f>
        <v>0.0023232000000000001</v>
      </c>
      <c r="S523" s="228">
        <v>0</v>
      </c>
      <c r="T523" s="229">
        <f>S523*H523</f>
        <v>0</v>
      </c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R523" s="230" t="s">
        <v>246</v>
      </c>
      <c r="AT523" s="230" t="s">
        <v>159</v>
      </c>
      <c r="AU523" s="230" t="s">
        <v>86</v>
      </c>
      <c r="AY523" s="16" t="s">
        <v>157</v>
      </c>
      <c r="BE523" s="231">
        <f>IF(N523="základní",J523,0)</f>
        <v>0</v>
      </c>
      <c r="BF523" s="231">
        <f>IF(N523="snížená",J523,0)</f>
        <v>0</v>
      </c>
      <c r="BG523" s="231">
        <f>IF(N523="zákl. přenesená",J523,0)</f>
        <v>0</v>
      </c>
      <c r="BH523" s="231">
        <f>IF(N523="sníž. přenesená",J523,0)</f>
        <v>0</v>
      </c>
      <c r="BI523" s="231">
        <f>IF(N523="nulová",J523,0)</f>
        <v>0</v>
      </c>
      <c r="BJ523" s="16" t="s">
        <v>8</v>
      </c>
      <c r="BK523" s="231">
        <f>ROUND(I523*H523,0)</f>
        <v>0</v>
      </c>
      <c r="BL523" s="16" t="s">
        <v>246</v>
      </c>
      <c r="BM523" s="230" t="s">
        <v>920</v>
      </c>
    </row>
    <row r="524" s="13" customFormat="1">
      <c r="A524" s="13"/>
      <c r="B524" s="232"/>
      <c r="C524" s="233"/>
      <c r="D524" s="234" t="s">
        <v>165</v>
      </c>
      <c r="E524" s="235" t="s">
        <v>1</v>
      </c>
      <c r="F524" s="236" t="s">
        <v>555</v>
      </c>
      <c r="G524" s="233"/>
      <c r="H524" s="237">
        <v>29.039999999999999</v>
      </c>
      <c r="I524" s="238"/>
      <c r="J524" s="233"/>
      <c r="K524" s="233"/>
      <c r="L524" s="239"/>
      <c r="M524" s="240"/>
      <c r="N524" s="241"/>
      <c r="O524" s="241"/>
      <c r="P524" s="241"/>
      <c r="Q524" s="241"/>
      <c r="R524" s="241"/>
      <c r="S524" s="241"/>
      <c r="T524" s="242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T524" s="243" t="s">
        <v>165</v>
      </c>
      <c r="AU524" s="243" t="s">
        <v>86</v>
      </c>
      <c r="AV524" s="13" t="s">
        <v>86</v>
      </c>
      <c r="AW524" s="13" t="s">
        <v>32</v>
      </c>
      <c r="AX524" s="13" t="s">
        <v>77</v>
      </c>
      <c r="AY524" s="243" t="s">
        <v>157</v>
      </c>
    </row>
    <row r="525" s="2" customFormat="1" ht="33" customHeight="1">
      <c r="A525" s="37"/>
      <c r="B525" s="38"/>
      <c r="C525" s="218" t="s">
        <v>921</v>
      </c>
      <c r="D525" s="218" t="s">
        <v>159</v>
      </c>
      <c r="E525" s="219" t="s">
        <v>922</v>
      </c>
      <c r="F525" s="220" t="s">
        <v>923</v>
      </c>
      <c r="G525" s="221" t="s">
        <v>209</v>
      </c>
      <c r="H525" s="222">
        <v>29.039999999999999</v>
      </c>
      <c r="I525" s="223"/>
      <c r="J525" s="224">
        <f>ROUND(I525*H525,0)</f>
        <v>0</v>
      </c>
      <c r="K525" s="225"/>
      <c r="L525" s="43"/>
      <c r="M525" s="226" t="s">
        <v>1</v>
      </c>
      <c r="N525" s="227" t="s">
        <v>42</v>
      </c>
      <c r="O525" s="90"/>
      <c r="P525" s="228">
        <f>O525*H525</f>
        <v>0</v>
      </c>
      <c r="Q525" s="228">
        <v>0.00012</v>
      </c>
      <c r="R525" s="228">
        <f>Q525*H525</f>
        <v>0.0034848000000000001</v>
      </c>
      <c r="S525" s="228">
        <v>0</v>
      </c>
      <c r="T525" s="229">
        <f>S525*H525</f>
        <v>0</v>
      </c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R525" s="230" t="s">
        <v>246</v>
      </c>
      <c r="AT525" s="230" t="s">
        <v>159</v>
      </c>
      <c r="AU525" s="230" t="s">
        <v>86</v>
      </c>
      <c r="AY525" s="16" t="s">
        <v>157</v>
      </c>
      <c r="BE525" s="231">
        <f>IF(N525="základní",J525,0)</f>
        <v>0</v>
      </c>
      <c r="BF525" s="231">
        <f>IF(N525="snížená",J525,0)</f>
        <v>0</v>
      </c>
      <c r="BG525" s="231">
        <f>IF(N525="zákl. přenesená",J525,0)</f>
        <v>0</v>
      </c>
      <c r="BH525" s="231">
        <f>IF(N525="sníž. přenesená",J525,0)</f>
        <v>0</v>
      </c>
      <c r="BI525" s="231">
        <f>IF(N525="nulová",J525,0)</f>
        <v>0</v>
      </c>
      <c r="BJ525" s="16" t="s">
        <v>8</v>
      </c>
      <c r="BK525" s="231">
        <f>ROUND(I525*H525,0)</f>
        <v>0</v>
      </c>
      <c r="BL525" s="16" t="s">
        <v>246</v>
      </c>
      <c r="BM525" s="230" t="s">
        <v>924</v>
      </c>
    </row>
    <row r="526" s="13" customFormat="1">
      <c r="A526" s="13"/>
      <c r="B526" s="232"/>
      <c r="C526" s="233"/>
      <c r="D526" s="234" t="s">
        <v>165</v>
      </c>
      <c r="E526" s="235" t="s">
        <v>1</v>
      </c>
      <c r="F526" s="236" t="s">
        <v>555</v>
      </c>
      <c r="G526" s="233"/>
      <c r="H526" s="237">
        <v>29.039999999999999</v>
      </c>
      <c r="I526" s="238"/>
      <c r="J526" s="233"/>
      <c r="K526" s="233"/>
      <c r="L526" s="239"/>
      <c r="M526" s="240"/>
      <c r="N526" s="241"/>
      <c r="O526" s="241"/>
      <c r="P526" s="241"/>
      <c r="Q526" s="241"/>
      <c r="R526" s="241"/>
      <c r="S526" s="241"/>
      <c r="T526" s="242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T526" s="243" t="s">
        <v>165</v>
      </c>
      <c r="AU526" s="243" t="s">
        <v>86</v>
      </c>
      <c r="AV526" s="13" t="s">
        <v>86</v>
      </c>
      <c r="AW526" s="13" t="s">
        <v>32</v>
      </c>
      <c r="AX526" s="13" t="s">
        <v>77</v>
      </c>
      <c r="AY526" s="243" t="s">
        <v>157</v>
      </c>
    </row>
    <row r="527" s="2" customFormat="1" ht="16.5" customHeight="1">
      <c r="A527" s="37"/>
      <c r="B527" s="38"/>
      <c r="C527" s="254" t="s">
        <v>925</v>
      </c>
      <c r="D527" s="254" t="s">
        <v>229</v>
      </c>
      <c r="E527" s="255" t="s">
        <v>926</v>
      </c>
      <c r="F527" s="256" t="s">
        <v>927</v>
      </c>
      <c r="G527" s="257" t="s">
        <v>162</v>
      </c>
      <c r="H527" s="258">
        <v>2.7450000000000001</v>
      </c>
      <c r="I527" s="259"/>
      <c r="J527" s="260">
        <f>ROUND(I527*H527,0)</f>
        <v>0</v>
      </c>
      <c r="K527" s="261"/>
      <c r="L527" s="262"/>
      <c r="M527" s="263" t="s">
        <v>1</v>
      </c>
      <c r="N527" s="264" t="s">
        <v>42</v>
      </c>
      <c r="O527" s="90"/>
      <c r="P527" s="228">
        <f>O527*H527</f>
        <v>0</v>
      </c>
      <c r="Q527" s="228">
        <v>0.02</v>
      </c>
      <c r="R527" s="228">
        <f>Q527*H527</f>
        <v>0.054900000000000004</v>
      </c>
      <c r="S527" s="228">
        <v>0</v>
      </c>
      <c r="T527" s="229">
        <f>S527*H527</f>
        <v>0</v>
      </c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R527" s="230" t="s">
        <v>329</v>
      </c>
      <c r="AT527" s="230" t="s">
        <v>229</v>
      </c>
      <c r="AU527" s="230" t="s">
        <v>86</v>
      </c>
      <c r="AY527" s="16" t="s">
        <v>157</v>
      </c>
      <c r="BE527" s="231">
        <f>IF(N527="základní",J527,0)</f>
        <v>0</v>
      </c>
      <c r="BF527" s="231">
        <f>IF(N527="snížená",J527,0)</f>
        <v>0</v>
      </c>
      <c r="BG527" s="231">
        <f>IF(N527="zákl. přenesená",J527,0)</f>
        <v>0</v>
      </c>
      <c r="BH527" s="231">
        <f>IF(N527="sníž. přenesená",J527,0)</f>
        <v>0</v>
      </c>
      <c r="BI527" s="231">
        <f>IF(N527="nulová",J527,0)</f>
        <v>0</v>
      </c>
      <c r="BJ527" s="16" t="s">
        <v>8</v>
      </c>
      <c r="BK527" s="231">
        <f>ROUND(I527*H527,0)</f>
        <v>0</v>
      </c>
      <c r="BL527" s="16" t="s">
        <v>246</v>
      </c>
      <c r="BM527" s="230" t="s">
        <v>928</v>
      </c>
    </row>
    <row r="528" s="13" customFormat="1">
      <c r="A528" s="13"/>
      <c r="B528" s="232"/>
      <c r="C528" s="233"/>
      <c r="D528" s="234" t="s">
        <v>165</v>
      </c>
      <c r="E528" s="235" t="s">
        <v>1</v>
      </c>
      <c r="F528" s="236" t="s">
        <v>929</v>
      </c>
      <c r="G528" s="233"/>
      <c r="H528" s="237">
        <v>2.6139999999999999</v>
      </c>
      <c r="I528" s="238"/>
      <c r="J528" s="233"/>
      <c r="K528" s="233"/>
      <c r="L528" s="239"/>
      <c r="M528" s="240"/>
      <c r="N528" s="241"/>
      <c r="O528" s="241"/>
      <c r="P528" s="241"/>
      <c r="Q528" s="241"/>
      <c r="R528" s="241"/>
      <c r="S528" s="241"/>
      <c r="T528" s="242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T528" s="243" t="s">
        <v>165</v>
      </c>
      <c r="AU528" s="243" t="s">
        <v>86</v>
      </c>
      <c r="AV528" s="13" t="s">
        <v>86</v>
      </c>
      <c r="AW528" s="13" t="s">
        <v>32</v>
      </c>
      <c r="AX528" s="13" t="s">
        <v>77</v>
      </c>
      <c r="AY528" s="243" t="s">
        <v>157</v>
      </c>
    </row>
    <row r="529" s="13" customFormat="1">
      <c r="A529" s="13"/>
      <c r="B529" s="232"/>
      <c r="C529" s="233"/>
      <c r="D529" s="234" t="s">
        <v>165</v>
      </c>
      <c r="E529" s="233"/>
      <c r="F529" s="236" t="s">
        <v>930</v>
      </c>
      <c r="G529" s="233"/>
      <c r="H529" s="237">
        <v>2.7450000000000001</v>
      </c>
      <c r="I529" s="238"/>
      <c r="J529" s="233"/>
      <c r="K529" s="233"/>
      <c r="L529" s="239"/>
      <c r="M529" s="240"/>
      <c r="N529" s="241"/>
      <c r="O529" s="241"/>
      <c r="P529" s="241"/>
      <c r="Q529" s="241"/>
      <c r="R529" s="241"/>
      <c r="S529" s="241"/>
      <c r="T529" s="242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T529" s="243" t="s">
        <v>165</v>
      </c>
      <c r="AU529" s="243" t="s">
        <v>86</v>
      </c>
      <c r="AV529" s="13" t="s">
        <v>86</v>
      </c>
      <c r="AW529" s="13" t="s">
        <v>4</v>
      </c>
      <c r="AX529" s="13" t="s">
        <v>8</v>
      </c>
      <c r="AY529" s="243" t="s">
        <v>157</v>
      </c>
    </row>
    <row r="530" s="2" customFormat="1" ht="37.8" customHeight="1">
      <c r="A530" s="37"/>
      <c r="B530" s="38"/>
      <c r="C530" s="218" t="s">
        <v>931</v>
      </c>
      <c r="D530" s="218" t="s">
        <v>159</v>
      </c>
      <c r="E530" s="219" t="s">
        <v>932</v>
      </c>
      <c r="F530" s="220" t="s">
        <v>933</v>
      </c>
      <c r="G530" s="221" t="s">
        <v>209</v>
      </c>
      <c r="H530" s="222">
        <v>661.44899999999996</v>
      </c>
      <c r="I530" s="223"/>
      <c r="J530" s="224">
        <f>ROUND(I530*H530,0)</f>
        <v>0</v>
      </c>
      <c r="K530" s="225"/>
      <c r="L530" s="43"/>
      <c r="M530" s="226" t="s">
        <v>1</v>
      </c>
      <c r="N530" s="227" t="s">
        <v>42</v>
      </c>
      <c r="O530" s="90"/>
      <c r="P530" s="228">
        <f>O530*H530</f>
        <v>0</v>
      </c>
      <c r="Q530" s="228">
        <v>0.00012</v>
      </c>
      <c r="R530" s="228">
        <f>Q530*H530</f>
        <v>0.079373879999999994</v>
      </c>
      <c r="S530" s="228">
        <v>0</v>
      </c>
      <c r="T530" s="229">
        <f>S530*H530</f>
        <v>0</v>
      </c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R530" s="230" t="s">
        <v>246</v>
      </c>
      <c r="AT530" s="230" t="s">
        <v>159</v>
      </c>
      <c r="AU530" s="230" t="s">
        <v>86</v>
      </c>
      <c r="AY530" s="16" t="s">
        <v>157</v>
      </c>
      <c r="BE530" s="231">
        <f>IF(N530="základní",J530,0)</f>
        <v>0</v>
      </c>
      <c r="BF530" s="231">
        <f>IF(N530="snížená",J530,0)</f>
        <v>0</v>
      </c>
      <c r="BG530" s="231">
        <f>IF(N530="zákl. přenesená",J530,0)</f>
        <v>0</v>
      </c>
      <c r="BH530" s="231">
        <f>IF(N530="sníž. přenesená",J530,0)</f>
        <v>0</v>
      </c>
      <c r="BI530" s="231">
        <f>IF(N530="nulová",J530,0)</f>
        <v>0</v>
      </c>
      <c r="BJ530" s="16" t="s">
        <v>8</v>
      </c>
      <c r="BK530" s="231">
        <f>ROUND(I530*H530,0)</f>
        <v>0</v>
      </c>
      <c r="BL530" s="16" t="s">
        <v>246</v>
      </c>
      <c r="BM530" s="230" t="s">
        <v>934</v>
      </c>
    </row>
    <row r="531" s="13" customFormat="1">
      <c r="A531" s="13"/>
      <c r="B531" s="232"/>
      <c r="C531" s="233"/>
      <c r="D531" s="234" t="s">
        <v>165</v>
      </c>
      <c r="E531" s="235" t="s">
        <v>1</v>
      </c>
      <c r="F531" s="236" t="s">
        <v>729</v>
      </c>
      <c r="G531" s="233"/>
      <c r="H531" s="237">
        <v>661.44899999999996</v>
      </c>
      <c r="I531" s="238"/>
      <c r="J531" s="233"/>
      <c r="K531" s="233"/>
      <c r="L531" s="239"/>
      <c r="M531" s="240"/>
      <c r="N531" s="241"/>
      <c r="O531" s="241"/>
      <c r="P531" s="241"/>
      <c r="Q531" s="241"/>
      <c r="R531" s="241"/>
      <c r="S531" s="241"/>
      <c r="T531" s="242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T531" s="243" t="s">
        <v>165</v>
      </c>
      <c r="AU531" s="243" t="s">
        <v>86</v>
      </c>
      <c r="AV531" s="13" t="s">
        <v>86</v>
      </c>
      <c r="AW531" s="13" t="s">
        <v>32</v>
      </c>
      <c r="AX531" s="13" t="s">
        <v>77</v>
      </c>
      <c r="AY531" s="243" t="s">
        <v>157</v>
      </c>
    </row>
    <row r="532" s="2" customFormat="1" ht="21.75" customHeight="1">
      <c r="A532" s="37"/>
      <c r="B532" s="38"/>
      <c r="C532" s="254" t="s">
        <v>935</v>
      </c>
      <c r="D532" s="254" t="s">
        <v>229</v>
      </c>
      <c r="E532" s="255" t="s">
        <v>936</v>
      </c>
      <c r="F532" s="256" t="s">
        <v>937</v>
      </c>
      <c r="G532" s="257" t="s">
        <v>162</v>
      </c>
      <c r="H532" s="258">
        <v>83.347999999999999</v>
      </c>
      <c r="I532" s="259"/>
      <c r="J532" s="260">
        <f>ROUND(I532*H532,0)</f>
        <v>0</v>
      </c>
      <c r="K532" s="261"/>
      <c r="L532" s="262"/>
      <c r="M532" s="263" t="s">
        <v>1</v>
      </c>
      <c r="N532" s="264" t="s">
        <v>42</v>
      </c>
      <c r="O532" s="90"/>
      <c r="P532" s="228">
        <f>O532*H532</f>
        <v>0</v>
      </c>
      <c r="Q532" s="228">
        <v>0.026249999999999999</v>
      </c>
      <c r="R532" s="228">
        <f>Q532*H532</f>
        <v>2.1878850000000001</v>
      </c>
      <c r="S532" s="228">
        <v>0</v>
      </c>
      <c r="T532" s="229">
        <f>S532*H532</f>
        <v>0</v>
      </c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R532" s="230" t="s">
        <v>329</v>
      </c>
      <c r="AT532" s="230" t="s">
        <v>229</v>
      </c>
      <c r="AU532" s="230" t="s">
        <v>86</v>
      </c>
      <c r="AY532" s="16" t="s">
        <v>157</v>
      </c>
      <c r="BE532" s="231">
        <f>IF(N532="základní",J532,0)</f>
        <v>0</v>
      </c>
      <c r="BF532" s="231">
        <f>IF(N532="snížená",J532,0)</f>
        <v>0</v>
      </c>
      <c r="BG532" s="231">
        <f>IF(N532="zákl. přenesená",J532,0)</f>
        <v>0</v>
      </c>
      <c r="BH532" s="231">
        <f>IF(N532="sníž. přenesená",J532,0)</f>
        <v>0</v>
      </c>
      <c r="BI532" s="231">
        <f>IF(N532="nulová",J532,0)</f>
        <v>0</v>
      </c>
      <c r="BJ532" s="16" t="s">
        <v>8</v>
      </c>
      <c r="BK532" s="231">
        <f>ROUND(I532*H532,0)</f>
        <v>0</v>
      </c>
      <c r="BL532" s="16" t="s">
        <v>246</v>
      </c>
      <c r="BM532" s="230" t="s">
        <v>938</v>
      </c>
    </row>
    <row r="533" s="13" customFormat="1">
      <c r="A533" s="13"/>
      <c r="B533" s="232"/>
      <c r="C533" s="233"/>
      <c r="D533" s="234" t="s">
        <v>165</v>
      </c>
      <c r="E533" s="235" t="s">
        <v>1</v>
      </c>
      <c r="F533" s="236" t="s">
        <v>939</v>
      </c>
      <c r="G533" s="233"/>
      <c r="H533" s="237">
        <v>79.379000000000005</v>
      </c>
      <c r="I533" s="238"/>
      <c r="J533" s="233"/>
      <c r="K533" s="233"/>
      <c r="L533" s="239"/>
      <c r="M533" s="240"/>
      <c r="N533" s="241"/>
      <c r="O533" s="241"/>
      <c r="P533" s="241"/>
      <c r="Q533" s="241"/>
      <c r="R533" s="241"/>
      <c r="S533" s="241"/>
      <c r="T533" s="242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T533" s="243" t="s">
        <v>165</v>
      </c>
      <c r="AU533" s="243" t="s">
        <v>86</v>
      </c>
      <c r="AV533" s="13" t="s">
        <v>86</v>
      </c>
      <c r="AW533" s="13" t="s">
        <v>32</v>
      </c>
      <c r="AX533" s="13" t="s">
        <v>8</v>
      </c>
      <c r="AY533" s="243" t="s">
        <v>157</v>
      </c>
    </row>
    <row r="534" s="13" customFormat="1">
      <c r="A534" s="13"/>
      <c r="B534" s="232"/>
      <c r="C534" s="233"/>
      <c r="D534" s="234" t="s">
        <v>165</v>
      </c>
      <c r="E534" s="233"/>
      <c r="F534" s="236" t="s">
        <v>940</v>
      </c>
      <c r="G534" s="233"/>
      <c r="H534" s="237">
        <v>83.347999999999999</v>
      </c>
      <c r="I534" s="238"/>
      <c r="J534" s="233"/>
      <c r="K534" s="233"/>
      <c r="L534" s="239"/>
      <c r="M534" s="240"/>
      <c r="N534" s="241"/>
      <c r="O534" s="241"/>
      <c r="P534" s="241"/>
      <c r="Q534" s="241"/>
      <c r="R534" s="241"/>
      <c r="S534" s="241"/>
      <c r="T534" s="242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T534" s="243" t="s">
        <v>165</v>
      </c>
      <c r="AU534" s="243" t="s">
        <v>86</v>
      </c>
      <c r="AV534" s="13" t="s">
        <v>86</v>
      </c>
      <c r="AW534" s="13" t="s">
        <v>4</v>
      </c>
      <c r="AX534" s="13" t="s">
        <v>8</v>
      </c>
      <c r="AY534" s="243" t="s">
        <v>157</v>
      </c>
    </row>
    <row r="535" s="2" customFormat="1" ht="33" customHeight="1">
      <c r="A535" s="37"/>
      <c r="B535" s="38"/>
      <c r="C535" s="218" t="s">
        <v>941</v>
      </c>
      <c r="D535" s="218" t="s">
        <v>159</v>
      </c>
      <c r="E535" s="219" t="s">
        <v>942</v>
      </c>
      <c r="F535" s="220" t="s">
        <v>943</v>
      </c>
      <c r="G535" s="221" t="s">
        <v>216</v>
      </c>
      <c r="H535" s="222">
        <v>151.59999999999999</v>
      </c>
      <c r="I535" s="223"/>
      <c r="J535" s="224">
        <f>ROUND(I535*H535,0)</f>
        <v>0</v>
      </c>
      <c r="K535" s="225"/>
      <c r="L535" s="43"/>
      <c r="M535" s="226" t="s">
        <v>1</v>
      </c>
      <c r="N535" s="227" t="s">
        <v>42</v>
      </c>
      <c r="O535" s="90"/>
      <c r="P535" s="228">
        <f>O535*H535</f>
        <v>0</v>
      </c>
      <c r="Q535" s="228">
        <v>0.00010000000000000001</v>
      </c>
      <c r="R535" s="228">
        <f>Q535*H535</f>
        <v>0.01516</v>
      </c>
      <c r="S535" s="228">
        <v>0</v>
      </c>
      <c r="T535" s="229">
        <f>S535*H535</f>
        <v>0</v>
      </c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R535" s="230" t="s">
        <v>246</v>
      </c>
      <c r="AT535" s="230" t="s">
        <v>159</v>
      </c>
      <c r="AU535" s="230" t="s">
        <v>86</v>
      </c>
      <c r="AY535" s="16" t="s">
        <v>157</v>
      </c>
      <c r="BE535" s="231">
        <f>IF(N535="základní",J535,0)</f>
        <v>0</v>
      </c>
      <c r="BF535" s="231">
        <f>IF(N535="snížená",J535,0)</f>
        <v>0</v>
      </c>
      <c r="BG535" s="231">
        <f>IF(N535="zákl. přenesená",J535,0)</f>
        <v>0</v>
      </c>
      <c r="BH535" s="231">
        <f>IF(N535="sníž. přenesená",J535,0)</f>
        <v>0</v>
      </c>
      <c r="BI535" s="231">
        <f>IF(N535="nulová",J535,0)</f>
        <v>0</v>
      </c>
      <c r="BJ535" s="16" t="s">
        <v>8</v>
      </c>
      <c r="BK535" s="231">
        <f>ROUND(I535*H535,0)</f>
        <v>0</v>
      </c>
      <c r="BL535" s="16" t="s">
        <v>246</v>
      </c>
      <c r="BM535" s="230" t="s">
        <v>944</v>
      </c>
    </row>
    <row r="536" s="13" customFormat="1">
      <c r="A536" s="13"/>
      <c r="B536" s="232"/>
      <c r="C536" s="233"/>
      <c r="D536" s="234" t="s">
        <v>165</v>
      </c>
      <c r="E536" s="235" t="s">
        <v>1</v>
      </c>
      <c r="F536" s="236" t="s">
        <v>945</v>
      </c>
      <c r="G536" s="233"/>
      <c r="H536" s="237">
        <v>151.59999999999999</v>
      </c>
      <c r="I536" s="238"/>
      <c r="J536" s="233"/>
      <c r="K536" s="233"/>
      <c r="L536" s="239"/>
      <c r="M536" s="240"/>
      <c r="N536" s="241"/>
      <c r="O536" s="241"/>
      <c r="P536" s="241"/>
      <c r="Q536" s="241"/>
      <c r="R536" s="241"/>
      <c r="S536" s="241"/>
      <c r="T536" s="242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T536" s="243" t="s">
        <v>165</v>
      </c>
      <c r="AU536" s="243" t="s">
        <v>86</v>
      </c>
      <c r="AV536" s="13" t="s">
        <v>86</v>
      </c>
      <c r="AW536" s="13" t="s">
        <v>32</v>
      </c>
      <c r="AX536" s="13" t="s">
        <v>77</v>
      </c>
      <c r="AY536" s="243" t="s">
        <v>157</v>
      </c>
    </row>
    <row r="537" s="2" customFormat="1" ht="33" customHeight="1">
      <c r="A537" s="37"/>
      <c r="B537" s="38"/>
      <c r="C537" s="218" t="s">
        <v>946</v>
      </c>
      <c r="D537" s="218" t="s">
        <v>159</v>
      </c>
      <c r="E537" s="219" t="s">
        <v>947</v>
      </c>
      <c r="F537" s="220" t="s">
        <v>948</v>
      </c>
      <c r="G537" s="221" t="s">
        <v>209</v>
      </c>
      <c r="H537" s="222">
        <v>104.604</v>
      </c>
      <c r="I537" s="223"/>
      <c r="J537" s="224">
        <f>ROUND(I537*H537,0)</f>
        <v>0</v>
      </c>
      <c r="K537" s="225"/>
      <c r="L537" s="43"/>
      <c r="M537" s="226" t="s">
        <v>1</v>
      </c>
      <c r="N537" s="227" t="s">
        <v>42</v>
      </c>
      <c r="O537" s="90"/>
      <c r="P537" s="228">
        <f>O537*H537</f>
        <v>0</v>
      </c>
      <c r="Q537" s="228">
        <v>0.00019000000000000001</v>
      </c>
      <c r="R537" s="228">
        <f>Q537*H537</f>
        <v>0.019874760000000002</v>
      </c>
      <c r="S537" s="228">
        <v>0</v>
      </c>
      <c r="T537" s="229">
        <f>S537*H537</f>
        <v>0</v>
      </c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R537" s="230" t="s">
        <v>246</v>
      </c>
      <c r="AT537" s="230" t="s">
        <v>159</v>
      </c>
      <c r="AU537" s="230" t="s">
        <v>86</v>
      </c>
      <c r="AY537" s="16" t="s">
        <v>157</v>
      </c>
      <c r="BE537" s="231">
        <f>IF(N537="základní",J537,0)</f>
        <v>0</v>
      </c>
      <c r="BF537" s="231">
        <f>IF(N537="snížená",J537,0)</f>
        <v>0</v>
      </c>
      <c r="BG537" s="231">
        <f>IF(N537="zákl. přenesená",J537,0)</f>
        <v>0</v>
      </c>
      <c r="BH537" s="231">
        <f>IF(N537="sníž. přenesená",J537,0)</f>
        <v>0</v>
      </c>
      <c r="BI537" s="231">
        <f>IF(N537="nulová",J537,0)</f>
        <v>0</v>
      </c>
      <c r="BJ537" s="16" t="s">
        <v>8</v>
      </c>
      <c r="BK537" s="231">
        <f>ROUND(I537*H537,0)</f>
        <v>0</v>
      </c>
      <c r="BL537" s="16" t="s">
        <v>246</v>
      </c>
      <c r="BM537" s="230" t="s">
        <v>949</v>
      </c>
    </row>
    <row r="538" s="13" customFormat="1">
      <c r="A538" s="13"/>
      <c r="B538" s="232"/>
      <c r="C538" s="233"/>
      <c r="D538" s="234" t="s">
        <v>165</v>
      </c>
      <c r="E538" s="235" t="s">
        <v>1</v>
      </c>
      <c r="F538" s="236" t="s">
        <v>950</v>
      </c>
      <c r="G538" s="233"/>
      <c r="H538" s="237">
        <v>104.604</v>
      </c>
      <c r="I538" s="238"/>
      <c r="J538" s="233"/>
      <c r="K538" s="233"/>
      <c r="L538" s="239"/>
      <c r="M538" s="240"/>
      <c r="N538" s="241"/>
      <c r="O538" s="241"/>
      <c r="P538" s="241"/>
      <c r="Q538" s="241"/>
      <c r="R538" s="241"/>
      <c r="S538" s="241"/>
      <c r="T538" s="242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T538" s="243" t="s">
        <v>165</v>
      </c>
      <c r="AU538" s="243" t="s">
        <v>86</v>
      </c>
      <c r="AV538" s="13" t="s">
        <v>86</v>
      </c>
      <c r="AW538" s="13" t="s">
        <v>32</v>
      </c>
      <c r="AX538" s="13" t="s">
        <v>77</v>
      </c>
      <c r="AY538" s="243" t="s">
        <v>157</v>
      </c>
    </row>
    <row r="539" s="2" customFormat="1" ht="24.15" customHeight="1">
      <c r="A539" s="37"/>
      <c r="B539" s="38"/>
      <c r="C539" s="254" t="s">
        <v>951</v>
      </c>
      <c r="D539" s="254" t="s">
        <v>229</v>
      </c>
      <c r="E539" s="255" t="s">
        <v>952</v>
      </c>
      <c r="F539" s="256" t="s">
        <v>953</v>
      </c>
      <c r="G539" s="257" t="s">
        <v>209</v>
      </c>
      <c r="H539" s="258">
        <v>141.66999999999999</v>
      </c>
      <c r="I539" s="259"/>
      <c r="J539" s="260">
        <f>ROUND(I539*H539,0)</f>
        <v>0</v>
      </c>
      <c r="K539" s="261"/>
      <c r="L539" s="262"/>
      <c r="M539" s="263" t="s">
        <v>1</v>
      </c>
      <c r="N539" s="264" t="s">
        <v>42</v>
      </c>
      <c r="O539" s="90"/>
      <c r="P539" s="228">
        <f>O539*H539</f>
        <v>0</v>
      </c>
      <c r="Q539" s="228">
        <v>0.014999999999999999</v>
      </c>
      <c r="R539" s="228">
        <f>Q539*H539</f>
        <v>2.1250499999999999</v>
      </c>
      <c r="S539" s="228">
        <v>0</v>
      </c>
      <c r="T539" s="229">
        <f>S539*H539</f>
        <v>0</v>
      </c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R539" s="230" t="s">
        <v>329</v>
      </c>
      <c r="AT539" s="230" t="s">
        <v>229</v>
      </c>
      <c r="AU539" s="230" t="s">
        <v>86</v>
      </c>
      <c r="AY539" s="16" t="s">
        <v>157</v>
      </c>
      <c r="BE539" s="231">
        <f>IF(N539="základní",J539,0)</f>
        <v>0</v>
      </c>
      <c r="BF539" s="231">
        <f>IF(N539="snížená",J539,0)</f>
        <v>0</v>
      </c>
      <c r="BG539" s="231">
        <f>IF(N539="zákl. přenesená",J539,0)</f>
        <v>0</v>
      </c>
      <c r="BH539" s="231">
        <f>IF(N539="sníž. přenesená",J539,0)</f>
        <v>0</v>
      </c>
      <c r="BI539" s="231">
        <f>IF(N539="nulová",J539,0)</f>
        <v>0</v>
      </c>
      <c r="BJ539" s="16" t="s">
        <v>8</v>
      </c>
      <c r="BK539" s="231">
        <f>ROUND(I539*H539,0)</f>
        <v>0</v>
      </c>
      <c r="BL539" s="16" t="s">
        <v>246</v>
      </c>
      <c r="BM539" s="230" t="s">
        <v>954</v>
      </c>
    </row>
    <row r="540" s="13" customFormat="1">
      <c r="A540" s="13"/>
      <c r="B540" s="232"/>
      <c r="C540" s="233"/>
      <c r="D540" s="234" t="s">
        <v>165</v>
      </c>
      <c r="E540" s="235" t="s">
        <v>1</v>
      </c>
      <c r="F540" s="236" t="s">
        <v>955</v>
      </c>
      <c r="G540" s="233"/>
      <c r="H540" s="237">
        <v>30.32</v>
      </c>
      <c r="I540" s="238"/>
      <c r="J540" s="233"/>
      <c r="K540" s="233"/>
      <c r="L540" s="239"/>
      <c r="M540" s="240"/>
      <c r="N540" s="241"/>
      <c r="O540" s="241"/>
      <c r="P540" s="241"/>
      <c r="Q540" s="241"/>
      <c r="R540" s="241"/>
      <c r="S540" s="241"/>
      <c r="T540" s="242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T540" s="243" t="s">
        <v>165</v>
      </c>
      <c r="AU540" s="243" t="s">
        <v>86</v>
      </c>
      <c r="AV540" s="13" t="s">
        <v>86</v>
      </c>
      <c r="AW540" s="13" t="s">
        <v>32</v>
      </c>
      <c r="AX540" s="13" t="s">
        <v>77</v>
      </c>
      <c r="AY540" s="243" t="s">
        <v>157</v>
      </c>
    </row>
    <row r="541" s="13" customFormat="1">
      <c r="A541" s="13"/>
      <c r="B541" s="232"/>
      <c r="C541" s="233"/>
      <c r="D541" s="234" t="s">
        <v>165</v>
      </c>
      <c r="E541" s="235" t="s">
        <v>1</v>
      </c>
      <c r="F541" s="236" t="s">
        <v>950</v>
      </c>
      <c r="G541" s="233"/>
      <c r="H541" s="237">
        <v>104.604</v>
      </c>
      <c r="I541" s="238"/>
      <c r="J541" s="233"/>
      <c r="K541" s="233"/>
      <c r="L541" s="239"/>
      <c r="M541" s="240"/>
      <c r="N541" s="241"/>
      <c r="O541" s="241"/>
      <c r="P541" s="241"/>
      <c r="Q541" s="241"/>
      <c r="R541" s="241"/>
      <c r="S541" s="241"/>
      <c r="T541" s="242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T541" s="243" t="s">
        <v>165</v>
      </c>
      <c r="AU541" s="243" t="s">
        <v>86</v>
      </c>
      <c r="AV541" s="13" t="s">
        <v>86</v>
      </c>
      <c r="AW541" s="13" t="s">
        <v>32</v>
      </c>
      <c r="AX541" s="13" t="s">
        <v>77</v>
      </c>
      <c r="AY541" s="243" t="s">
        <v>157</v>
      </c>
    </row>
    <row r="542" s="13" customFormat="1">
      <c r="A542" s="13"/>
      <c r="B542" s="232"/>
      <c r="C542" s="233"/>
      <c r="D542" s="234" t="s">
        <v>165</v>
      </c>
      <c r="E542" s="233"/>
      <c r="F542" s="236" t="s">
        <v>956</v>
      </c>
      <c r="G542" s="233"/>
      <c r="H542" s="237">
        <v>141.66999999999999</v>
      </c>
      <c r="I542" s="238"/>
      <c r="J542" s="233"/>
      <c r="K542" s="233"/>
      <c r="L542" s="239"/>
      <c r="M542" s="240"/>
      <c r="N542" s="241"/>
      <c r="O542" s="241"/>
      <c r="P542" s="241"/>
      <c r="Q542" s="241"/>
      <c r="R542" s="241"/>
      <c r="S542" s="241"/>
      <c r="T542" s="242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T542" s="243" t="s">
        <v>165</v>
      </c>
      <c r="AU542" s="243" t="s">
        <v>86</v>
      </c>
      <c r="AV542" s="13" t="s">
        <v>86</v>
      </c>
      <c r="AW542" s="13" t="s">
        <v>4</v>
      </c>
      <c r="AX542" s="13" t="s">
        <v>8</v>
      </c>
      <c r="AY542" s="243" t="s">
        <v>157</v>
      </c>
    </row>
    <row r="543" s="2" customFormat="1" ht="24.15" customHeight="1">
      <c r="A543" s="37"/>
      <c r="B543" s="38"/>
      <c r="C543" s="218" t="s">
        <v>957</v>
      </c>
      <c r="D543" s="218" t="s">
        <v>159</v>
      </c>
      <c r="E543" s="219" t="s">
        <v>958</v>
      </c>
      <c r="F543" s="220" t="s">
        <v>959</v>
      </c>
      <c r="G543" s="221" t="s">
        <v>193</v>
      </c>
      <c r="H543" s="222">
        <v>47.298000000000002</v>
      </c>
      <c r="I543" s="223"/>
      <c r="J543" s="224">
        <f>ROUND(I543*H543,0)</f>
        <v>0</v>
      </c>
      <c r="K543" s="225"/>
      <c r="L543" s="43"/>
      <c r="M543" s="226" t="s">
        <v>1</v>
      </c>
      <c r="N543" s="227" t="s">
        <v>42</v>
      </c>
      <c r="O543" s="90"/>
      <c r="P543" s="228">
        <f>O543*H543</f>
        <v>0</v>
      </c>
      <c r="Q543" s="228">
        <v>0</v>
      </c>
      <c r="R543" s="228">
        <f>Q543*H543</f>
        <v>0</v>
      </c>
      <c r="S543" s="228">
        <v>0</v>
      </c>
      <c r="T543" s="229">
        <f>S543*H543</f>
        <v>0</v>
      </c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R543" s="230" t="s">
        <v>246</v>
      </c>
      <c r="AT543" s="230" t="s">
        <v>159</v>
      </c>
      <c r="AU543" s="230" t="s">
        <v>86</v>
      </c>
      <c r="AY543" s="16" t="s">
        <v>157</v>
      </c>
      <c r="BE543" s="231">
        <f>IF(N543="základní",J543,0)</f>
        <v>0</v>
      </c>
      <c r="BF543" s="231">
        <f>IF(N543="snížená",J543,0)</f>
        <v>0</v>
      </c>
      <c r="BG543" s="231">
        <f>IF(N543="zákl. přenesená",J543,0)</f>
        <v>0</v>
      </c>
      <c r="BH543" s="231">
        <f>IF(N543="sníž. přenesená",J543,0)</f>
        <v>0</v>
      </c>
      <c r="BI543" s="231">
        <f>IF(N543="nulová",J543,0)</f>
        <v>0</v>
      </c>
      <c r="BJ543" s="16" t="s">
        <v>8</v>
      </c>
      <c r="BK543" s="231">
        <f>ROUND(I543*H543,0)</f>
        <v>0</v>
      </c>
      <c r="BL543" s="16" t="s">
        <v>246</v>
      </c>
      <c r="BM543" s="230" t="s">
        <v>960</v>
      </c>
    </row>
    <row r="544" s="12" customFormat="1" ht="22.8" customHeight="1">
      <c r="A544" s="12"/>
      <c r="B544" s="202"/>
      <c r="C544" s="203"/>
      <c r="D544" s="204" t="s">
        <v>76</v>
      </c>
      <c r="E544" s="216" t="s">
        <v>961</v>
      </c>
      <c r="F544" s="216" t="s">
        <v>962</v>
      </c>
      <c r="G544" s="203"/>
      <c r="H544" s="203"/>
      <c r="I544" s="206"/>
      <c r="J544" s="217">
        <f>BK544</f>
        <v>0</v>
      </c>
      <c r="K544" s="203"/>
      <c r="L544" s="208"/>
      <c r="M544" s="209"/>
      <c r="N544" s="210"/>
      <c r="O544" s="210"/>
      <c r="P544" s="211">
        <f>SUM(P545:P559)</f>
        <v>0</v>
      </c>
      <c r="Q544" s="210"/>
      <c r="R544" s="211">
        <f>SUM(R545:R559)</f>
        <v>13.409864749999999</v>
      </c>
      <c r="S544" s="210"/>
      <c r="T544" s="212">
        <f>SUM(T545:T559)</f>
        <v>0</v>
      </c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R544" s="213" t="s">
        <v>86</v>
      </c>
      <c r="AT544" s="214" t="s">
        <v>76</v>
      </c>
      <c r="AU544" s="214" t="s">
        <v>8</v>
      </c>
      <c r="AY544" s="213" t="s">
        <v>157</v>
      </c>
      <c r="BK544" s="215">
        <f>SUM(BK545:BK559)</f>
        <v>0</v>
      </c>
    </row>
    <row r="545" s="2" customFormat="1" ht="24.15" customHeight="1">
      <c r="A545" s="37"/>
      <c r="B545" s="38"/>
      <c r="C545" s="218" t="s">
        <v>963</v>
      </c>
      <c r="D545" s="218" t="s">
        <v>159</v>
      </c>
      <c r="E545" s="219" t="s">
        <v>964</v>
      </c>
      <c r="F545" s="220" t="s">
        <v>965</v>
      </c>
      <c r="G545" s="221" t="s">
        <v>209</v>
      </c>
      <c r="H545" s="222">
        <v>100.81399999999999</v>
      </c>
      <c r="I545" s="223"/>
      <c r="J545" s="224">
        <f>ROUND(I545*H545,0)</f>
        <v>0</v>
      </c>
      <c r="K545" s="225"/>
      <c r="L545" s="43"/>
      <c r="M545" s="226" t="s">
        <v>1</v>
      </c>
      <c r="N545" s="227" t="s">
        <v>42</v>
      </c>
      <c r="O545" s="90"/>
      <c r="P545" s="228">
        <f>O545*H545</f>
        <v>0</v>
      </c>
      <c r="Q545" s="228">
        <v>0.01396</v>
      </c>
      <c r="R545" s="228">
        <f>Q545*H545</f>
        <v>1.4073634399999999</v>
      </c>
      <c r="S545" s="228">
        <v>0</v>
      </c>
      <c r="T545" s="229">
        <f>S545*H545</f>
        <v>0</v>
      </c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R545" s="230" t="s">
        <v>246</v>
      </c>
      <c r="AT545" s="230" t="s">
        <v>159</v>
      </c>
      <c r="AU545" s="230" t="s">
        <v>86</v>
      </c>
      <c r="AY545" s="16" t="s">
        <v>157</v>
      </c>
      <c r="BE545" s="231">
        <f>IF(N545="základní",J545,0)</f>
        <v>0</v>
      </c>
      <c r="BF545" s="231">
        <f>IF(N545="snížená",J545,0)</f>
        <v>0</v>
      </c>
      <c r="BG545" s="231">
        <f>IF(N545="zákl. přenesená",J545,0)</f>
        <v>0</v>
      </c>
      <c r="BH545" s="231">
        <f>IF(N545="sníž. přenesená",J545,0)</f>
        <v>0</v>
      </c>
      <c r="BI545" s="231">
        <f>IF(N545="nulová",J545,0)</f>
        <v>0</v>
      </c>
      <c r="BJ545" s="16" t="s">
        <v>8</v>
      </c>
      <c r="BK545" s="231">
        <f>ROUND(I545*H545,0)</f>
        <v>0</v>
      </c>
      <c r="BL545" s="16" t="s">
        <v>246</v>
      </c>
      <c r="BM545" s="230" t="s">
        <v>966</v>
      </c>
    </row>
    <row r="546" s="13" customFormat="1">
      <c r="A546" s="13"/>
      <c r="B546" s="232"/>
      <c r="C546" s="233"/>
      <c r="D546" s="234" t="s">
        <v>165</v>
      </c>
      <c r="E546" s="235" t="s">
        <v>1</v>
      </c>
      <c r="F546" s="236" t="s">
        <v>967</v>
      </c>
      <c r="G546" s="233"/>
      <c r="H546" s="237">
        <v>100.81399999999999</v>
      </c>
      <c r="I546" s="238"/>
      <c r="J546" s="233"/>
      <c r="K546" s="233"/>
      <c r="L546" s="239"/>
      <c r="M546" s="240"/>
      <c r="N546" s="241"/>
      <c r="O546" s="241"/>
      <c r="P546" s="241"/>
      <c r="Q546" s="241"/>
      <c r="R546" s="241"/>
      <c r="S546" s="241"/>
      <c r="T546" s="242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T546" s="243" t="s">
        <v>165</v>
      </c>
      <c r="AU546" s="243" t="s">
        <v>86</v>
      </c>
      <c r="AV546" s="13" t="s">
        <v>86</v>
      </c>
      <c r="AW546" s="13" t="s">
        <v>32</v>
      </c>
      <c r="AX546" s="13" t="s">
        <v>77</v>
      </c>
      <c r="AY546" s="243" t="s">
        <v>157</v>
      </c>
    </row>
    <row r="547" s="2" customFormat="1" ht="24.15" customHeight="1">
      <c r="A547" s="37"/>
      <c r="B547" s="38"/>
      <c r="C547" s="218" t="s">
        <v>968</v>
      </c>
      <c r="D547" s="218" t="s">
        <v>159</v>
      </c>
      <c r="E547" s="219" t="s">
        <v>969</v>
      </c>
      <c r="F547" s="220" t="s">
        <v>970</v>
      </c>
      <c r="G547" s="221" t="s">
        <v>209</v>
      </c>
      <c r="H547" s="222">
        <v>747.928</v>
      </c>
      <c r="I547" s="223"/>
      <c r="J547" s="224">
        <f>ROUND(I547*H547,0)</f>
        <v>0</v>
      </c>
      <c r="K547" s="225"/>
      <c r="L547" s="43"/>
      <c r="M547" s="226" t="s">
        <v>1</v>
      </c>
      <c r="N547" s="227" t="s">
        <v>42</v>
      </c>
      <c r="O547" s="90"/>
      <c r="P547" s="228">
        <f>O547*H547</f>
        <v>0</v>
      </c>
      <c r="Q547" s="228">
        <v>0.014200000000000001</v>
      </c>
      <c r="R547" s="228">
        <f>Q547*H547</f>
        <v>10.620577600000001</v>
      </c>
      <c r="S547" s="228">
        <v>0</v>
      </c>
      <c r="T547" s="229">
        <f>S547*H547</f>
        <v>0</v>
      </c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R547" s="230" t="s">
        <v>246</v>
      </c>
      <c r="AT547" s="230" t="s">
        <v>159</v>
      </c>
      <c r="AU547" s="230" t="s">
        <v>86</v>
      </c>
      <c r="AY547" s="16" t="s">
        <v>157</v>
      </c>
      <c r="BE547" s="231">
        <f>IF(N547="základní",J547,0)</f>
        <v>0</v>
      </c>
      <c r="BF547" s="231">
        <f>IF(N547="snížená",J547,0)</f>
        <v>0</v>
      </c>
      <c r="BG547" s="231">
        <f>IF(N547="zákl. přenesená",J547,0)</f>
        <v>0</v>
      </c>
      <c r="BH547" s="231">
        <f>IF(N547="sníž. přenesená",J547,0)</f>
        <v>0</v>
      </c>
      <c r="BI547" s="231">
        <f>IF(N547="nulová",J547,0)</f>
        <v>0</v>
      </c>
      <c r="BJ547" s="16" t="s">
        <v>8</v>
      </c>
      <c r="BK547" s="231">
        <f>ROUND(I547*H547,0)</f>
        <v>0</v>
      </c>
      <c r="BL547" s="16" t="s">
        <v>246</v>
      </c>
      <c r="BM547" s="230" t="s">
        <v>971</v>
      </c>
    </row>
    <row r="548" s="13" customFormat="1">
      <c r="A548" s="13"/>
      <c r="B548" s="232"/>
      <c r="C548" s="233"/>
      <c r="D548" s="234" t="s">
        <v>165</v>
      </c>
      <c r="E548" s="235" t="s">
        <v>1</v>
      </c>
      <c r="F548" s="236" t="s">
        <v>972</v>
      </c>
      <c r="G548" s="233"/>
      <c r="H548" s="237">
        <v>239.52799999999999</v>
      </c>
      <c r="I548" s="238"/>
      <c r="J548" s="233"/>
      <c r="K548" s="233"/>
      <c r="L548" s="239"/>
      <c r="M548" s="240"/>
      <c r="N548" s="241"/>
      <c r="O548" s="241"/>
      <c r="P548" s="241"/>
      <c r="Q548" s="241"/>
      <c r="R548" s="241"/>
      <c r="S548" s="241"/>
      <c r="T548" s="242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T548" s="243" t="s">
        <v>165</v>
      </c>
      <c r="AU548" s="243" t="s">
        <v>86</v>
      </c>
      <c r="AV548" s="13" t="s">
        <v>86</v>
      </c>
      <c r="AW548" s="13" t="s">
        <v>32</v>
      </c>
      <c r="AX548" s="13" t="s">
        <v>77</v>
      </c>
      <c r="AY548" s="243" t="s">
        <v>157</v>
      </c>
    </row>
    <row r="549" s="13" customFormat="1">
      <c r="A549" s="13"/>
      <c r="B549" s="232"/>
      <c r="C549" s="233"/>
      <c r="D549" s="234" t="s">
        <v>165</v>
      </c>
      <c r="E549" s="235" t="s">
        <v>1</v>
      </c>
      <c r="F549" s="236" t="s">
        <v>872</v>
      </c>
      <c r="G549" s="233"/>
      <c r="H549" s="237">
        <v>133.75999999999999</v>
      </c>
      <c r="I549" s="238"/>
      <c r="J549" s="233"/>
      <c r="K549" s="233"/>
      <c r="L549" s="239"/>
      <c r="M549" s="240"/>
      <c r="N549" s="241"/>
      <c r="O549" s="241"/>
      <c r="P549" s="241"/>
      <c r="Q549" s="241"/>
      <c r="R549" s="241"/>
      <c r="S549" s="241"/>
      <c r="T549" s="242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T549" s="243" t="s">
        <v>165</v>
      </c>
      <c r="AU549" s="243" t="s">
        <v>86</v>
      </c>
      <c r="AV549" s="13" t="s">
        <v>86</v>
      </c>
      <c r="AW549" s="13" t="s">
        <v>32</v>
      </c>
      <c r="AX549" s="13" t="s">
        <v>77</v>
      </c>
      <c r="AY549" s="243" t="s">
        <v>157</v>
      </c>
    </row>
    <row r="550" s="13" customFormat="1">
      <c r="A550" s="13"/>
      <c r="B550" s="232"/>
      <c r="C550" s="233"/>
      <c r="D550" s="234" t="s">
        <v>165</v>
      </c>
      <c r="E550" s="235" t="s">
        <v>1</v>
      </c>
      <c r="F550" s="236" t="s">
        <v>873</v>
      </c>
      <c r="G550" s="233"/>
      <c r="H550" s="237">
        <v>219.03999999999999</v>
      </c>
      <c r="I550" s="238"/>
      <c r="J550" s="233"/>
      <c r="K550" s="233"/>
      <c r="L550" s="239"/>
      <c r="M550" s="240"/>
      <c r="N550" s="241"/>
      <c r="O550" s="241"/>
      <c r="P550" s="241"/>
      <c r="Q550" s="241"/>
      <c r="R550" s="241"/>
      <c r="S550" s="241"/>
      <c r="T550" s="242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T550" s="243" t="s">
        <v>165</v>
      </c>
      <c r="AU550" s="243" t="s">
        <v>86</v>
      </c>
      <c r="AV550" s="13" t="s">
        <v>86</v>
      </c>
      <c r="AW550" s="13" t="s">
        <v>32</v>
      </c>
      <c r="AX550" s="13" t="s">
        <v>77</v>
      </c>
      <c r="AY550" s="243" t="s">
        <v>157</v>
      </c>
    </row>
    <row r="551" s="13" customFormat="1">
      <c r="A551" s="13"/>
      <c r="B551" s="232"/>
      <c r="C551" s="233"/>
      <c r="D551" s="234" t="s">
        <v>165</v>
      </c>
      <c r="E551" s="235" t="s">
        <v>1</v>
      </c>
      <c r="F551" s="236" t="s">
        <v>874</v>
      </c>
      <c r="G551" s="233"/>
      <c r="H551" s="237">
        <v>143.94</v>
      </c>
      <c r="I551" s="238"/>
      <c r="J551" s="233"/>
      <c r="K551" s="233"/>
      <c r="L551" s="239"/>
      <c r="M551" s="240"/>
      <c r="N551" s="241"/>
      <c r="O551" s="241"/>
      <c r="P551" s="241"/>
      <c r="Q551" s="241"/>
      <c r="R551" s="241"/>
      <c r="S551" s="241"/>
      <c r="T551" s="242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T551" s="243" t="s">
        <v>165</v>
      </c>
      <c r="AU551" s="243" t="s">
        <v>86</v>
      </c>
      <c r="AV551" s="13" t="s">
        <v>86</v>
      </c>
      <c r="AW551" s="13" t="s">
        <v>32</v>
      </c>
      <c r="AX551" s="13" t="s">
        <v>77</v>
      </c>
      <c r="AY551" s="243" t="s">
        <v>157</v>
      </c>
    </row>
    <row r="552" s="13" customFormat="1">
      <c r="A552" s="13"/>
      <c r="B552" s="232"/>
      <c r="C552" s="233"/>
      <c r="D552" s="234" t="s">
        <v>165</v>
      </c>
      <c r="E552" s="235" t="s">
        <v>1</v>
      </c>
      <c r="F552" s="236" t="s">
        <v>875</v>
      </c>
      <c r="G552" s="233"/>
      <c r="H552" s="237">
        <v>11.66</v>
      </c>
      <c r="I552" s="238"/>
      <c r="J552" s="233"/>
      <c r="K552" s="233"/>
      <c r="L552" s="239"/>
      <c r="M552" s="240"/>
      <c r="N552" s="241"/>
      <c r="O552" s="241"/>
      <c r="P552" s="241"/>
      <c r="Q552" s="241"/>
      <c r="R552" s="241"/>
      <c r="S552" s="241"/>
      <c r="T552" s="242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T552" s="243" t="s">
        <v>165</v>
      </c>
      <c r="AU552" s="243" t="s">
        <v>86</v>
      </c>
      <c r="AV552" s="13" t="s">
        <v>86</v>
      </c>
      <c r="AW552" s="13" t="s">
        <v>32</v>
      </c>
      <c r="AX552" s="13" t="s">
        <v>77</v>
      </c>
      <c r="AY552" s="243" t="s">
        <v>157</v>
      </c>
    </row>
    <row r="553" s="2" customFormat="1" ht="16.5" customHeight="1">
      <c r="A553" s="37"/>
      <c r="B553" s="38"/>
      <c r="C553" s="218" t="s">
        <v>973</v>
      </c>
      <c r="D553" s="218" t="s">
        <v>159</v>
      </c>
      <c r="E553" s="219" t="s">
        <v>974</v>
      </c>
      <c r="F553" s="220" t="s">
        <v>975</v>
      </c>
      <c r="G553" s="221" t="s">
        <v>216</v>
      </c>
      <c r="H553" s="222">
        <v>564.88900000000001</v>
      </c>
      <c r="I553" s="223"/>
      <c r="J553" s="224">
        <f>ROUND(I553*H553,0)</f>
        <v>0</v>
      </c>
      <c r="K553" s="225"/>
      <c r="L553" s="43"/>
      <c r="M553" s="226" t="s">
        <v>1</v>
      </c>
      <c r="N553" s="227" t="s">
        <v>42</v>
      </c>
      <c r="O553" s="90"/>
      <c r="P553" s="228">
        <f>O553*H553</f>
        <v>0</v>
      </c>
      <c r="Q553" s="228">
        <v>3.0000000000000001E-05</v>
      </c>
      <c r="R553" s="228">
        <f>Q553*H553</f>
        <v>0.01694667</v>
      </c>
      <c r="S553" s="228">
        <v>0</v>
      </c>
      <c r="T553" s="229">
        <f>S553*H553</f>
        <v>0</v>
      </c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R553" s="230" t="s">
        <v>246</v>
      </c>
      <c r="AT553" s="230" t="s">
        <v>159</v>
      </c>
      <c r="AU553" s="230" t="s">
        <v>86</v>
      </c>
      <c r="AY553" s="16" t="s">
        <v>157</v>
      </c>
      <c r="BE553" s="231">
        <f>IF(N553="základní",J553,0)</f>
        <v>0</v>
      </c>
      <c r="BF553" s="231">
        <f>IF(N553="snížená",J553,0)</f>
        <v>0</v>
      </c>
      <c r="BG553" s="231">
        <f>IF(N553="zákl. přenesená",J553,0)</f>
        <v>0</v>
      </c>
      <c r="BH553" s="231">
        <f>IF(N553="sníž. přenesená",J553,0)</f>
        <v>0</v>
      </c>
      <c r="BI553" s="231">
        <f>IF(N553="nulová",J553,0)</f>
        <v>0</v>
      </c>
      <c r="BJ553" s="16" t="s">
        <v>8</v>
      </c>
      <c r="BK553" s="231">
        <f>ROUND(I553*H553,0)</f>
        <v>0</v>
      </c>
      <c r="BL553" s="16" t="s">
        <v>246</v>
      </c>
      <c r="BM553" s="230" t="s">
        <v>976</v>
      </c>
    </row>
    <row r="554" s="13" customFormat="1">
      <c r="A554" s="13"/>
      <c r="B554" s="232"/>
      <c r="C554" s="233"/>
      <c r="D554" s="234" t="s">
        <v>165</v>
      </c>
      <c r="E554" s="235" t="s">
        <v>1</v>
      </c>
      <c r="F554" s="236" t="s">
        <v>977</v>
      </c>
      <c r="G554" s="233"/>
      <c r="H554" s="237">
        <v>564.88900000000001</v>
      </c>
      <c r="I554" s="238"/>
      <c r="J554" s="233"/>
      <c r="K554" s="233"/>
      <c r="L554" s="239"/>
      <c r="M554" s="240"/>
      <c r="N554" s="241"/>
      <c r="O554" s="241"/>
      <c r="P554" s="241"/>
      <c r="Q554" s="241"/>
      <c r="R554" s="241"/>
      <c r="S554" s="241"/>
      <c r="T554" s="242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T554" s="243" t="s">
        <v>165</v>
      </c>
      <c r="AU554" s="243" t="s">
        <v>86</v>
      </c>
      <c r="AV554" s="13" t="s">
        <v>86</v>
      </c>
      <c r="AW554" s="13" t="s">
        <v>32</v>
      </c>
      <c r="AX554" s="13" t="s">
        <v>77</v>
      </c>
      <c r="AY554" s="243" t="s">
        <v>157</v>
      </c>
    </row>
    <row r="555" s="2" customFormat="1" ht="21.75" customHeight="1">
      <c r="A555" s="37"/>
      <c r="B555" s="38"/>
      <c r="C555" s="254" t="s">
        <v>978</v>
      </c>
      <c r="D555" s="254" t="s">
        <v>229</v>
      </c>
      <c r="E555" s="255" t="s">
        <v>979</v>
      </c>
      <c r="F555" s="256" t="s">
        <v>980</v>
      </c>
      <c r="G555" s="257" t="s">
        <v>162</v>
      </c>
      <c r="H555" s="258">
        <v>2.2370000000000001</v>
      </c>
      <c r="I555" s="259"/>
      <c r="J555" s="260">
        <f>ROUND(I555*H555,0)</f>
        <v>0</v>
      </c>
      <c r="K555" s="261"/>
      <c r="L555" s="262"/>
      <c r="M555" s="263" t="s">
        <v>1</v>
      </c>
      <c r="N555" s="264" t="s">
        <v>42</v>
      </c>
      <c r="O555" s="90"/>
      <c r="P555" s="228">
        <f>O555*H555</f>
        <v>0</v>
      </c>
      <c r="Q555" s="228">
        <v>0.55000000000000004</v>
      </c>
      <c r="R555" s="228">
        <f>Q555*H555</f>
        <v>1.2303500000000001</v>
      </c>
      <c r="S555" s="228">
        <v>0</v>
      </c>
      <c r="T555" s="229">
        <f>S555*H555</f>
        <v>0</v>
      </c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R555" s="230" t="s">
        <v>329</v>
      </c>
      <c r="AT555" s="230" t="s">
        <v>229</v>
      </c>
      <c r="AU555" s="230" t="s">
        <v>86</v>
      </c>
      <c r="AY555" s="16" t="s">
        <v>157</v>
      </c>
      <c r="BE555" s="231">
        <f>IF(N555="základní",J555,0)</f>
        <v>0</v>
      </c>
      <c r="BF555" s="231">
        <f>IF(N555="snížená",J555,0)</f>
        <v>0</v>
      </c>
      <c r="BG555" s="231">
        <f>IF(N555="zákl. přenesená",J555,0)</f>
        <v>0</v>
      </c>
      <c r="BH555" s="231">
        <f>IF(N555="sníž. přenesená",J555,0)</f>
        <v>0</v>
      </c>
      <c r="BI555" s="231">
        <f>IF(N555="nulová",J555,0)</f>
        <v>0</v>
      </c>
      <c r="BJ555" s="16" t="s">
        <v>8</v>
      </c>
      <c r="BK555" s="231">
        <f>ROUND(I555*H555,0)</f>
        <v>0</v>
      </c>
      <c r="BL555" s="16" t="s">
        <v>246</v>
      </c>
      <c r="BM555" s="230" t="s">
        <v>981</v>
      </c>
    </row>
    <row r="556" s="13" customFormat="1">
      <c r="A556" s="13"/>
      <c r="B556" s="232"/>
      <c r="C556" s="233"/>
      <c r="D556" s="234" t="s">
        <v>165</v>
      </c>
      <c r="E556" s="235" t="s">
        <v>1</v>
      </c>
      <c r="F556" s="236" t="s">
        <v>982</v>
      </c>
      <c r="G556" s="233"/>
      <c r="H556" s="237">
        <v>2.0339999999999998</v>
      </c>
      <c r="I556" s="238"/>
      <c r="J556" s="233"/>
      <c r="K556" s="233"/>
      <c r="L556" s="239"/>
      <c r="M556" s="240"/>
      <c r="N556" s="241"/>
      <c r="O556" s="241"/>
      <c r="P556" s="241"/>
      <c r="Q556" s="241"/>
      <c r="R556" s="241"/>
      <c r="S556" s="241"/>
      <c r="T556" s="242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T556" s="243" t="s">
        <v>165</v>
      </c>
      <c r="AU556" s="243" t="s">
        <v>86</v>
      </c>
      <c r="AV556" s="13" t="s">
        <v>86</v>
      </c>
      <c r="AW556" s="13" t="s">
        <v>32</v>
      </c>
      <c r="AX556" s="13" t="s">
        <v>8</v>
      </c>
      <c r="AY556" s="243" t="s">
        <v>157</v>
      </c>
    </row>
    <row r="557" s="13" customFormat="1">
      <c r="A557" s="13"/>
      <c r="B557" s="232"/>
      <c r="C557" s="233"/>
      <c r="D557" s="234" t="s">
        <v>165</v>
      </c>
      <c r="E557" s="233"/>
      <c r="F557" s="236" t="s">
        <v>983</v>
      </c>
      <c r="G557" s="233"/>
      <c r="H557" s="237">
        <v>2.2370000000000001</v>
      </c>
      <c r="I557" s="238"/>
      <c r="J557" s="233"/>
      <c r="K557" s="233"/>
      <c r="L557" s="239"/>
      <c r="M557" s="240"/>
      <c r="N557" s="241"/>
      <c r="O557" s="241"/>
      <c r="P557" s="241"/>
      <c r="Q557" s="241"/>
      <c r="R557" s="241"/>
      <c r="S557" s="241"/>
      <c r="T557" s="242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T557" s="243" t="s">
        <v>165</v>
      </c>
      <c r="AU557" s="243" t="s">
        <v>86</v>
      </c>
      <c r="AV557" s="13" t="s">
        <v>86</v>
      </c>
      <c r="AW557" s="13" t="s">
        <v>4</v>
      </c>
      <c r="AX557" s="13" t="s">
        <v>8</v>
      </c>
      <c r="AY557" s="243" t="s">
        <v>157</v>
      </c>
    </row>
    <row r="558" s="2" customFormat="1" ht="24.15" customHeight="1">
      <c r="A558" s="37"/>
      <c r="B558" s="38"/>
      <c r="C558" s="218" t="s">
        <v>984</v>
      </c>
      <c r="D558" s="218" t="s">
        <v>159</v>
      </c>
      <c r="E558" s="219" t="s">
        <v>985</v>
      </c>
      <c r="F558" s="220" t="s">
        <v>986</v>
      </c>
      <c r="G558" s="221" t="s">
        <v>209</v>
      </c>
      <c r="H558" s="222">
        <v>747.928</v>
      </c>
      <c r="I558" s="223"/>
      <c r="J558" s="224">
        <f>ROUND(I558*H558,0)</f>
        <v>0</v>
      </c>
      <c r="K558" s="225"/>
      <c r="L558" s="43"/>
      <c r="M558" s="226" t="s">
        <v>1</v>
      </c>
      <c r="N558" s="227" t="s">
        <v>42</v>
      </c>
      <c r="O558" s="90"/>
      <c r="P558" s="228">
        <f>O558*H558</f>
        <v>0</v>
      </c>
      <c r="Q558" s="228">
        <v>0.00018000000000000001</v>
      </c>
      <c r="R558" s="228">
        <f>Q558*H558</f>
        <v>0.13462704</v>
      </c>
      <c r="S558" s="228">
        <v>0</v>
      </c>
      <c r="T558" s="229">
        <f>S558*H558</f>
        <v>0</v>
      </c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R558" s="230" t="s">
        <v>246</v>
      </c>
      <c r="AT558" s="230" t="s">
        <v>159</v>
      </c>
      <c r="AU558" s="230" t="s">
        <v>86</v>
      </c>
      <c r="AY558" s="16" t="s">
        <v>157</v>
      </c>
      <c r="BE558" s="231">
        <f>IF(N558="základní",J558,0)</f>
        <v>0</v>
      </c>
      <c r="BF558" s="231">
        <f>IF(N558="snížená",J558,0)</f>
        <v>0</v>
      </c>
      <c r="BG558" s="231">
        <f>IF(N558="zákl. přenesená",J558,0)</f>
        <v>0</v>
      </c>
      <c r="BH558" s="231">
        <f>IF(N558="sníž. přenesená",J558,0)</f>
        <v>0</v>
      </c>
      <c r="BI558" s="231">
        <f>IF(N558="nulová",J558,0)</f>
        <v>0</v>
      </c>
      <c r="BJ558" s="16" t="s">
        <v>8</v>
      </c>
      <c r="BK558" s="231">
        <f>ROUND(I558*H558,0)</f>
        <v>0</v>
      </c>
      <c r="BL558" s="16" t="s">
        <v>246</v>
      </c>
      <c r="BM558" s="230" t="s">
        <v>987</v>
      </c>
    </row>
    <row r="559" s="2" customFormat="1" ht="24.15" customHeight="1">
      <c r="A559" s="37"/>
      <c r="B559" s="38"/>
      <c r="C559" s="218" t="s">
        <v>988</v>
      </c>
      <c r="D559" s="218" t="s">
        <v>159</v>
      </c>
      <c r="E559" s="219" t="s">
        <v>989</v>
      </c>
      <c r="F559" s="220" t="s">
        <v>990</v>
      </c>
      <c r="G559" s="221" t="s">
        <v>193</v>
      </c>
      <c r="H559" s="222">
        <v>13.41</v>
      </c>
      <c r="I559" s="223"/>
      <c r="J559" s="224">
        <f>ROUND(I559*H559,0)</f>
        <v>0</v>
      </c>
      <c r="K559" s="225"/>
      <c r="L559" s="43"/>
      <c r="M559" s="226" t="s">
        <v>1</v>
      </c>
      <c r="N559" s="227" t="s">
        <v>42</v>
      </c>
      <c r="O559" s="90"/>
      <c r="P559" s="228">
        <f>O559*H559</f>
        <v>0</v>
      </c>
      <c r="Q559" s="228">
        <v>0</v>
      </c>
      <c r="R559" s="228">
        <f>Q559*H559</f>
        <v>0</v>
      </c>
      <c r="S559" s="228">
        <v>0</v>
      </c>
      <c r="T559" s="229">
        <f>S559*H559</f>
        <v>0</v>
      </c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R559" s="230" t="s">
        <v>246</v>
      </c>
      <c r="AT559" s="230" t="s">
        <v>159</v>
      </c>
      <c r="AU559" s="230" t="s">
        <v>86</v>
      </c>
      <c r="AY559" s="16" t="s">
        <v>157</v>
      </c>
      <c r="BE559" s="231">
        <f>IF(N559="základní",J559,0)</f>
        <v>0</v>
      </c>
      <c r="BF559" s="231">
        <f>IF(N559="snížená",J559,0)</f>
        <v>0</v>
      </c>
      <c r="BG559" s="231">
        <f>IF(N559="zákl. přenesená",J559,0)</f>
        <v>0</v>
      </c>
      <c r="BH559" s="231">
        <f>IF(N559="sníž. přenesená",J559,0)</f>
        <v>0</v>
      </c>
      <c r="BI559" s="231">
        <f>IF(N559="nulová",J559,0)</f>
        <v>0</v>
      </c>
      <c r="BJ559" s="16" t="s">
        <v>8</v>
      </c>
      <c r="BK559" s="231">
        <f>ROUND(I559*H559,0)</f>
        <v>0</v>
      </c>
      <c r="BL559" s="16" t="s">
        <v>246</v>
      </c>
      <c r="BM559" s="230" t="s">
        <v>991</v>
      </c>
    </row>
    <row r="560" s="12" customFormat="1" ht="22.8" customHeight="1">
      <c r="A560" s="12"/>
      <c r="B560" s="202"/>
      <c r="C560" s="203"/>
      <c r="D560" s="204" t="s">
        <v>76</v>
      </c>
      <c r="E560" s="216" t="s">
        <v>992</v>
      </c>
      <c r="F560" s="216" t="s">
        <v>993</v>
      </c>
      <c r="G560" s="203"/>
      <c r="H560" s="203"/>
      <c r="I560" s="206"/>
      <c r="J560" s="217">
        <f>BK560</f>
        <v>0</v>
      </c>
      <c r="K560" s="203"/>
      <c r="L560" s="208"/>
      <c r="M560" s="209"/>
      <c r="N560" s="210"/>
      <c r="O560" s="210"/>
      <c r="P560" s="211">
        <f>SUM(P561:P682)</f>
        <v>0</v>
      </c>
      <c r="Q560" s="210"/>
      <c r="R560" s="211">
        <f>SUM(R561:R682)</f>
        <v>113.98364765000001</v>
      </c>
      <c r="S560" s="210"/>
      <c r="T560" s="212">
        <f>SUM(T561:T682)</f>
        <v>0</v>
      </c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R560" s="213" t="s">
        <v>86</v>
      </c>
      <c r="AT560" s="214" t="s">
        <v>76</v>
      </c>
      <c r="AU560" s="214" t="s">
        <v>8</v>
      </c>
      <c r="AY560" s="213" t="s">
        <v>157</v>
      </c>
      <c r="BK560" s="215">
        <f>SUM(BK561:BK682)</f>
        <v>0</v>
      </c>
    </row>
    <row r="561" s="2" customFormat="1" ht="24.15" customHeight="1">
      <c r="A561" s="37"/>
      <c r="B561" s="38"/>
      <c r="C561" s="218" t="s">
        <v>994</v>
      </c>
      <c r="D561" s="218" t="s">
        <v>159</v>
      </c>
      <c r="E561" s="219" t="s">
        <v>995</v>
      </c>
      <c r="F561" s="220" t="s">
        <v>996</v>
      </c>
      <c r="G561" s="221" t="s">
        <v>209</v>
      </c>
      <c r="H561" s="222">
        <v>25.789999999999999</v>
      </c>
      <c r="I561" s="223"/>
      <c r="J561" s="224">
        <f>ROUND(I561*H561,0)</f>
        <v>0</v>
      </c>
      <c r="K561" s="225"/>
      <c r="L561" s="43"/>
      <c r="M561" s="226" t="s">
        <v>1</v>
      </c>
      <c r="N561" s="227" t="s">
        <v>42</v>
      </c>
      <c r="O561" s="90"/>
      <c r="P561" s="228">
        <f>O561*H561</f>
        <v>0</v>
      </c>
      <c r="Q561" s="228">
        <v>0.02477</v>
      </c>
      <c r="R561" s="228">
        <f>Q561*H561</f>
        <v>0.63881829999999995</v>
      </c>
      <c r="S561" s="228">
        <v>0</v>
      </c>
      <c r="T561" s="229">
        <f>S561*H561</f>
        <v>0</v>
      </c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R561" s="230" t="s">
        <v>246</v>
      </c>
      <c r="AT561" s="230" t="s">
        <v>159</v>
      </c>
      <c r="AU561" s="230" t="s">
        <v>86</v>
      </c>
      <c r="AY561" s="16" t="s">
        <v>157</v>
      </c>
      <c r="BE561" s="231">
        <f>IF(N561="základní",J561,0)</f>
        <v>0</v>
      </c>
      <c r="BF561" s="231">
        <f>IF(N561="snížená",J561,0)</f>
        <v>0</v>
      </c>
      <c r="BG561" s="231">
        <f>IF(N561="zákl. přenesená",J561,0)</f>
        <v>0</v>
      </c>
      <c r="BH561" s="231">
        <f>IF(N561="sníž. přenesená",J561,0)</f>
        <v>0</v>
      </c>
      <c r="BI561" s="231">
        <f>IF(N561="nulová",J561,0)</f>
        <v>0</v>
      </c>
      <c r="BJ561" s="16" t="s">
        <v>8</v>
      </c>
      <c r="BK561" s="231">
        <f>ROUND(I561*H561,0)</f>
        <v>0</v>
      </c>
      <c r="BL561" s="16" t="s">
        <v>246</v>
      </c>
      <c r="BM561" s="230" t="s">
        <v>997</v>
      </c>
    </row>
    <row r="562" s="13" customFormat="1">
      <c r="A562" s="13"/>
      <c r="B562" s="232"/>
      <c r="C562" s="233"/>
      <c r="D562" s="234" t="s">
        <v>165</v>
      </c>
      <c r="E562" s="235" t="s">
        <v>1</v>
      </c>
      <c r="F562" s="236" t="s">
        <v>998</v>
      </c>
      <c r="G562" s="233"/>
      <c r="H562" s="237">
        <v>4.1299999999999999</v>
      </c>
      <c r="I562" s="238"/>
      <c r="J562" s="233"/>
      <c r="K562" s="233"/>
      <c r="L562" s="239"/>
      <c r="M562" s="240"/>
      <c r="N562" s="241"/>
      <c r="O562" s="241"/>
      <c r="P562" s="241"/>
      <c r="Q562" s="241"/>
      <c r="R562" s="241"/>
      <c r="S562" s="241"/>
      <c r="T562" s="242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T562" s="243" t="s">
        <v>165</v>
      </c>
      <c r="AU562" s="243" t="s">
        <v>86</v>
      </c>
      <c r="AV562" s="13" t="s">
        <v>86</v>
      </c>
      <c r="AW562" s="13" t="s">
        <v>32</v>
      </c>
      <c r="AX562" s="13" t="s">
        <v>77</v>
      </c>
      <c r="AY562" s="243" t="s">
        <v>157</v>
      </c>
    </row>
    <row r="563" s="13" customFormat="1">
      <c r="A563" s="13"/>
      <c r="B563" s="232"/>
      <c r="C563" s="233"/>
      <c r="D563" s="234" t="s">
        <v>165</v>
      </c>
      <c r="E563" s="235" t="s">
        <v>1</v>
      </c>
      <c r="F563" s="236" t="s">
        <v>999</v>
      </c>
      <c r="G563" s="233"/>
      <c r="H563" s="237">
        <v>1.7629999999999999</v>
      </c>
      <c r="I563" s="238"/>
      <c r="J563" s="233"/>
      <c r="K563" s="233"/>
      <c r="L563" s="239"/>
      <c r="M563" s="240"/>
      <c r="N563" s="241"/>
      <c r="O563" s="241"/>
      <c r="P563" s="241"/>
      <c r="Q563" s="241"/>
      <c r="R563" s="241"/>
      <c r="S563" s="241"/>
      <c r="T563" s="242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T563" s="243" t="s">
        <v>165</v>
      </c>
      <c r="AU563" s="243" t="s">
        <v>86</v>
      </c>
      <c r="AV563" s="13" t="s">
        <v>86</v>
      </c>
      <c r="AW563" s="13" t="s">
        <v>32</v>
      </c>
      <c r="AX563" s="13" t="s">
        <v>77</v>
      </c>
      <c r="AY563" s="243" t="s">
        <v>157</v>
      </c>
    </row>
    <row r="564" s="13" customFormat="1">
      <c r="A564" s="13"/>
      <c r="B564" s="232"/>
      <c r="C564" s="233"/>
      <c r="D564" s="234" t="s">
        <v>165</v>
      </c>
      <c r="E564" s="235" t="s">
        <v>1</v>
      </c>
      <c r="F564" s="236" t="s">
        <v>1000</v>
      </c>
      <c r="G564" s="233"/>
      <c r="H564" s="237">
        <v>0.56799999999999995</v>
      </c>
      <c r="I564" s="238"/>
      <c r="J564" s="233"/>
      <c r="K564" s="233"/>
      <c r="L564" s="239"/>
      <c r="M564" s="240"/>
      <c r="N564" s="241"/>
      <c r="O564" s="241"/>
      <c r="P564" s="241"/>
      <c r="Q564" s="241"/>
      <c r="R564" s="241"/>
      <c r="S564" s="241"/>
      <c r="T564" s="242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T564" s="243" t="s">
        <v>165</v>
      </c>
      <c r="AU564" s="243" t="s">
        <v>86</v>
      </c>
      <c r="AV564" s="13" t="s">
        <v>86</v>
      </c>
      <c r="AW564" s="13" t="s">
        <v>32</v>
      </c>
      <c r="AX564" s="13" t="s">
        <v>77</v>
      </c>
      <c r="AY564" s="243" t="s">
        <v>157</v>
      </c>
    </row>
    <row r="565" s="13" customFormat="1">
      <c r="A565" s="13"/>
      <c r="B565" s="232"/>
      <c r="C565" s="233"/>
      <c r="D565" s="234" t="s">
        <v>165</v>
      </c>
      <c r="E565" s="235" t="s">
        <v>1</v>
      </c>
      <c r="F565" s="236" t="s">
        <v>1001</v>
      </c>
      <c r="G565" s="233"/>
      <c r="H565" s="237">
        <v>12.670999999999999</v>
      </c>
      <c r="I565" s="238"/>
      <c r="J565" s="233"/>
      <c r="K565" s="233"/>
      <c r="L565" s="239"/>
      <c r="M565" s="240"/>
      <c r="N565" s="241"/>
      <c r="O565" s="241"/>
      <c r="P565" s="241"/>
      <c r="Q565" s="241"/>
      <c r="R565" s="241"/>
      <c r="S565" s="241"/>
      <c r="T565" s="242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T565" s="243" t="s">
        <v>165</v>
      </c>
      <c r="AU565" s="243" t="s">
        <v>86</v>
      </c>
      <c r="AV565" s="13" t="s">
        <v>86</v>
      </c>
      <c r="AW565" s="13" t="s">
        <v>32</v>
      </c>
      <c r="AX565" s="13" t="s">
        <v>77</v>
      </c>
      <c r="AY565" s="243" t="s">
        <v>157</v>
      </c>
    </row>
    <row r="566" s="13" customFormat="1">
      <c r="A566" s="13"/>
      <c r="B566" s="232"/>
      <c r="C566" s="233"/>
      <c r="D566" s="234" t="s">
        <v>165</v>
      </c>
      <c r="E566" s="235" t="s">
        <v>1</v>
      </c>
      <c r="F566" s="236" t="s">
        <v>1002</v>
      </c>
      <c r="G566" s="233"/>
      <c r="H566" s="237">
        <v>1.885</v>
      </c>
      <c r="I566" s="238"/>
      <c r="J566" s="233"/>
      <c r="K566" s="233"/>
      <c r="L566" s="239"/>
      <c r="M566" s="240"/>
      <c r="N566" s="241"/>
      <c r="O566" s="241"/>
      <c r="P566" s="241"/>
      <c r="Q566" s="241"/>
      <c r="R566" s="241"/>
      <c r="S566" s="241"/>
      <c r="T566" s="242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T566" s="243" t="s">
        <v>165</v>
      </c>
      <c r="AU566" s="243" t="s">
        <v>86</v>
      </c>
      <c r="AV566" s="13" t="s">
        <v>86</v>
      </c>
      <c r="AW566" s="13" t="s">
        <v>32</v>
      </c>
      <c r="AX566" s="13" t="s">
        <v>77</v>
      </c>
      <c r="AY566" s="243" t="s">
        <v>157</v>
      </c>
    </row>
    <row r="567" s="13" customFormat="1">
      <c r="A567" s="13"/>
      <c r="B567" s="232"/>
      <c r="C567" s="233"/>
      <c r="D567" s="234" t="s">
        <v>165</v>
      </c>
      <c r="E567" s="235" t="s">
        <v>1</v>
      </c>
      <c r="F567" s="236" t="s">
        <v>1003</v>
      </c>
      <c r="G567" s="233"/>
      <c r="H567" s="237">
        <v>0.745</v>
      </c>
      <c r="I567" s="238"/>
      <c r="J567" s="233"/>
      <c r="K567" s="233"/>
      <c r="L567" s="239"/>
      <c r="M567" s="240"/>
      <c r="N567" s="241"/>
      <c r="O567" s="241"/>
      <c r="P567" s="241"/>
      <c r="Q567" s="241"/>
      <c r="R567" s="241"/>
      <c r="S567" s="241"/>
      <c r="T567" s="242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T567" s="243" t="s">
        <v>165</v>
      </c>
      <c r="AU567" s="243" t="s">
        <v>86</v>
      </c>
      <c r="AV567" s="13" t="s">
        <v>86</v>
      </c>
      <c r="AW567" s="13" t="s">
        <v>32</v>
      </c>
      <c r="AX567" s="13" t="s">
        <v>77</v>
      </c>
      <c r="AY567" s="243" t="s">
        <v>157</v>
      </c>
    </row>
    <row r="568" s="13" customFormat="1">
      <c r="A568" s="13"/>
      <c r="B568" s="232"/>
      <c r="C568" s="233"/>
      <c r="D568" s="234" t="s">
        <v>165</v>
      </c>
      <c r="E568" s="235" t="s">
        <v>1</v>
      </c>
      <c r="F568" s="236" t="s">
        <v>1004</v>
      </c>
      <c r="G568" s="233"/>
      <c r="H568" s="237">
        <v>2.8199999999999998</v>
      </c>
      <c r="I568" s="238"/>
      <c r="J568" s="233"/>
      <c r="K568" s="233"/>
      <c r="L568" s="239"/>
      <c r="M568" s="240"/>
      <c r="N568" s="241"/>
      <c r="O568" s="241"/>
      <c r="P568" s="241"/>
      <c r="Q568" s="241"/>
      <c r="R568" s="241"/>
      <c r="S568" s="241"/>
      <c r="T568" s="242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T568" s="243" t="s">
        <v>165</v>
      </c>
      <c r="AU568" s="243" t="s">
        <v>86</v>
      </c>
      <c r="AV568" s="13" t="s">
        <v>86</v>
      </c>
      <c r="AW568" s="13" t="s">
        <v>32</v>
      </c>
      <c r="AX568" s="13" t="s">
        <v>77</v>
      </c>
      <c r="AY568" s="243" t="s">
        <v>157</v>
      </c>
    </row>
    <row r="569" s="13" customFormat="1">
      <c r="A569" s="13"/>
      <c r="B569" s="232"/>
      <c r="C569" s="233"/>
      <c r="D569" s="234" t="s">
        <v>165</v>
      </c>
      <c r="E569" s="235" t="s">
        <v>1</v>
      </c>
      <c r="F569" s="236" t="s">
        <v>1005</v>
      </c>
      <c r="G569" s="233"/>
      <c r="H569" s="237">
        <v>0.64200000000000002</v>
      </c>
      <c r="I569" s="238"/>
      <c r="J569" s="233"/>
      <c r="K569" s="233"/>
      <c r="L569" s="239"/>
      <c r="M569" s="240"/>
      <c r="N569" s="241"/>
      <c r="O569" s="241"/>
      <c r="P569" s="241"/>
      <c r="Q569" s="241"/>
      <c r="R569" s="241"/>
      <c r="S569" s="241"/>
      <c r="T569" s="242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T569" s="243" t="s">
        <v>165</v>
      </c>
      <c r="AU569" s="243" t="s">
        <v>86</v>
      </c>
      <c r="AV569" s="13" t="s">
        <v>86</v>
      </c>
      <c r="AW569" s="13" t="s">
        <v>32</v>
      </c>
      <c r="AX569" s="13" t="s">
        <v>77</v>
      </c>
      <c r="AY569" s="243" t="s">
        <v>157</v>
      </c>
    </row>
    <row r="570" s="13" customFormat="1">
      <c r="A570" s="13"/>
      <c r="B570" s="232"/>
      <c r="C570" s="233"/>
      <c r="D570" s="234" t="s">
        <v>165</v>
      </c>
      <c r="E570" s="235" t="s">
        <v>1</v>
      </c>
      <c r="F570" s="236" t="s">
        <v>1006</v>
      </c>
      <c r="G570" s="233"/>
      <c r="H570" s="237">
        <v>0.56599999999999995</v>
      </c>
      <c r="I570" s="238"/>
      <c r="J570" s="233"/>
      <c r="K570" s="233"/>
      <c r="L570" s="239"/>
      <c r="M570" s="240"/>
      <c r="N570" s="241"/>
      <c r="O570" s="241"/>
      <c r="P570" s="241"/>
      <c r="Q570" s="241"/>
      <c r="R570" s="241"/>
      <c r="S570" s="241"/>
      <c r="T570" s="242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T570" s="243" t="s">
        <v>165</v>
      </c>
      <c r="AU570" s="243" t="s">
        <v>86</v>
      </c>
      <c r="AV570" s="13" t="s">
        <v>86</v>
      </c>
      <c r="AW570" s="13" t="s">
        <v>32</v>
      </c>
      <c r="AX570" s="13" t="s">
        <v>77</v>
      </c>
      <c r="AY570" s="243" t="s">
        <v>157</v>
      </c>
    </row>
    <row r="571" s="2" customFormat="1" ht="24.15" customHeight="1">
      <c r="A571" s="37"/>
      <c r="B571" s="38"/>
      <c r="C571" s="218" t="s">
        <v>1007</v>
      </c>
      <c r="D571" s="218" t="s">
        <v>159</v>
      </c>
      <c r="E571" s="219" t="s">
        <v>1008</v>
      </c>
      <c r="F571" s="220" t="s">
        <v>1009</v>
      </c>
      <c r="G571" s="221" t="s">
        <v>209</v>
      </c>
      <c r="H571" s="222">
        <v>1.3919999999999999</v>
      </c>
      <c r="I571" s="223"/>
      <c r="J571" s="224">
        <f>ROUND(I571*H571,0)</f>
        <v>0</v>
      </c>
      <c r="K571" s="225"/>
      <c r="L571" s="43"/>
      <c r="M571" s="226" t="s">
        <v>1</v>
      </c>
      <c r="N571" s="227" t="s">
        <v>42</v>
      </c>
      <c r="O571" s="90"/>
      <c r="P571" s="228">
        <f>O571*H571</f>
        <v>0</v>
      </c>
      <c r="Q571" s="228">
        <v>0.02792</v>
      </c>
      <c r="R571" s="228">
        <f>Q571*H571</f>
        <v>0.038864639999999999</v>
      </c>
      <c r="S571" s="228">
        <v>0</v>
      </c>
      <c r="T571" s="229">
        <f>S571*H571</f>
        <v>0</v>
      </c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R571" s="230" t="s">
        <v>246</v>
      </c>
      <c r="AT571" s="230" t="s">
        <v>159</v>
      </c>
      <c r="AU571" s="230" t="s">
        <v>86</v>
      </c>
      <c r="AY571" s="16" t="s">
        <v>157</v>
      </c>
      <c r="BE571" s="231">
        <f>IF(N571="základní",J571,0)</f>
        <v>0</v>
      </c>
      <c r="BF571" s="231">
        <f>IF(N571="snížená",J571,0)</f>
        <v>0</v>
      </c>
      <c r="BG571" s="231">
        <f>IF(N571="zákl. přenesená",J571,0)</f>
        <v>0</v>
      </c>
      <c r="BH571" s="231">
        <f>IF(N571="sníž. přenesená",J571,0)</f>
        <v>0</v>
      </c>
      <c r="BI571" s="231">
        <f>IF(N571="nulová",J571,0)</f>
        <v>0</v>
      </c>
      <c r="BJ571" s="16" t="s">
        <v>8</v>
      </c>
      <c r="BK571" s="231">
        <f>ROUND(I571*H571,0)</f>
        <v>0</v>
      </c>
      <c r="BL571" s="16" t="s">
        <v>246</v>
      </c>
      <c r="BM571" s="230" t="s">
        <v>1010</v>
      </c>
    </row>
    <row r="572" s="13" customFormat="1">
      <c r="A572" s="13"/>
      <c r="B572" s="232"/>
      <c r="C572" s="233"/>
      <c r="D572" s="234" t="s">
        <v>165</v>
      </c>
      <c r="E572" s="235" t="s">
        <v>1</v>
      </c>
      <c r="F572" s="236" t="s">
        <v>1011</v>
      </c>
      <c r="G572" s="233"/>
      <c r="H572" s="237">
        <v>0.82599999999999996</v>
      </c>
      <c r="I572" s="238"/>
      <c r="J572" s="233"/>
      <c r="K572" s="233"/>
      <c r="L572" s="239"/>
      <c r="M572" s="240"/>
      <c r="N572" s="241"/>
      <c r="O572" s="241"/>
      <c r="P572" s="241"/>
      <c r="Q572" s="241"/>
      <c r="R572" s="241"/>
      <c r="S572" s="241"/>
      <c r="T572" s="242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T572" s="243" t="s">
        <v>165</v>
      </c>
      <c r="AU572" s="243" t="s">
        <v>86</v>
      </c>
      <c r="AV572" s="13" t="s">
        <v>86</v>
      </c>
      <c r="AW572" s="13" t="s">
        <v>32</v>
      </c>
      <c r="AX572" s="13" t="s">
        <v>77</v>
      </c>
      <c r="AY572" s="243" t="s">
        <v>157</v>
      </c>
    </row>
    <row r="573" s="13" customFormat="1">
      <c r="A573" s="13"/>
      <c r="B573" s="232"/>
      <c r="C573" s="233"/>
      <c r="D573" s="234" t="s">
        <v>165</v>
      </c>
      <c r="E573" s="235" t="s">
        <v>1</v>
      </c>
      <c r="F573" s="236" t="s">
        <v>1012</v>
      </c>
      <c r="G573" s="233"/>
      <c r="H573" s="237">
        <v>0.56599999999999995</v>
      </c>
      <c r="I573" s="238"/>
      <c r="J573" s="233"/>
      <c r="K573" s="233"/>
      <c r="L573" s="239"/>
      <c r="M573" s="240"/>
      <c r="N573" s="241"/>
      <c r="O573" s="241"/>
      <c r="P573" s="241"/>
      <c r="Q573" s="241"/>
      <c r="R573" s="241"/>
      <c r="S573" s="241"/>
      <c r="T573" s="242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T573" s="243" t="s">
        <v>165</v>
      </c>
      <c r="AU573" s="243" t="s">
        <v>86</v>
      </c>
      <c r="AV573" s="13" t="s">
        <v>86</v>
      </c>
      <c r="AW573" s="13" t="s">
        <v>32</v>
      </c>
      <c r="AX573" s="13" t="s">
        <v>77</v>
      </c>
      <c r="AY573" s="243" t="s">
        <v>157</v>
      </c>
    </row>
    <row r="574" s="2" customFormat="1" ht="24.15" customHeight="1">
      <c r="A574" s="37"/>
      <c r="B574" s="38"/>
      <c r="C574" s="218" t="s">
        <v>1013</v>
      </c>
      <c r="D574" s="218" t="s">
        <v>159</v>
      </c>
      <c r="E574" s="219" t="s">
        <v>1014</v>
      </c>
      <c r="F574" s="220" t="s">
        <v>1015</v>
      </c>
      <c r="G574" s="221" t="s">
        <v>209</v>
      </c>
      <c r="H574" s="222">
        <v>169.02699999999999</v>
      </c>
      <c r="I574" s="223"/>
      <c r="J574" s="224">
        <f>ROUND(I574*H574,0)</f>
        <v>0</v>
      </c>
      <c r="K574" s="225"/>
      <c r="L574" s="43"/>
      <c r="M574" s="226" t="s">
        <v>1</v>
      </c>
      <c r="N574" s="227" t="s">
        <v>42</v>
      </c>
      <c r="O574" s="90"/>
      <c r="P574" s="228">
        <f>O574*H574</f>
        <v>0</v>
      </c>
      <c r="Q574" s="228">
        <v>0.051330000000000001</v>
      </c>
      <c r="R574" s="228">
        <f>Q574*H574</f>
        <v>8.6761559100000003</v>
      </c>
      <c r="S574" s="228">
        <v>0</v>
      </c>
      <c r="T574" s="229">
        <f>S574*H574</f>
        <v>0</v>
      </c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R574" s="230" t="s">
        <v>246</v>
      </c>
      <c r="AT574" s="230" t="s">
        <v>159</v>
      </c>
      <c r="AU574" s="230" t="s">
        <v>86</v>
      </c>
      <c r="AY574" s="16" t="s">
        <v>157</v>
      </c>
      <c r="BE574" s="231">
        <f>IF(N574="základní",J574,0)</f>
        <v>0</v>
      </c>
      <c r="BF574" s="231">
        <f>IF(N574="snížená",J574,0)</f>
        <v>0</v>
      </c>
      <c r="BG574" s="231">
        <f>IF(N574="zákl. přenesená",J574,0)</f>
        <v>0</v>
      </c>
      <c r="BH574" s="231">
        <f>IF(N574="sníž. přenesená",J574,0)</f>
        <v>0</v>
      </c>
      <c r="BI574" s="231">
        <f>IF(N574="nulová",J574,0)</f>
        <v>0</v>
      </c>
      <c r="BJ574" s="16" t="s">
        <v>8</v>
      </c>
      <c r="BK574" s="231">
        <f>ROUND(I574*H574,0)</f>
        <v>0</v>
      </c>
      <c r="BL574" s="16" t="s">
        <v>246</v>
      </c>
      <c r="BM574" s="230" t="s">
        <v>1016</v>
      </c>
    </row>
    <row r="575" s="13" customFormat="1">
      <c r="A575" s="13"/>
      <c r="B575" s="232"/>
      <c r="C575" s="233"/>
      <c r="D575" s="234" t="s">
        <v>165</v>
      </c>
      <c r="E575" s="235" t="s">
        <v>1</v>
      </c>
      <c r="F575" s="236" t="s">
        <v>1017</v>
      </c>
      <c r="G575" s="233"/>
      <c r="H575" s="237">
        <v>12.345000000000001</v>
      </c>
      <c r="I575" s="238"/>
      <c r="J575" s="233"/>
      <c r="K575" s="233"/>
      <c r="L575" s="239"/>
      <c r="M575" s="240"/>
      <c r="N575" s="241"/>
      <c r="O575" s="241"/>
      <c r="P575" s="241"/>
      <c r="Q575" s="241"/>
      <c r="R575" s="241"/>
      <c r="S575" s="241"/>
      <c r="T575" s="242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T575" s="243" t="s">
        <v>165</v>
      </c>
      <c r="AU575" s="243" t="s">
        <v>86</v>
      </c>
      <c r="AV575" s="13" t="s">
        <v>86</v>
      </c>
      <c r="AW575" s="13" t="s">
        <v>32</v>
      </c>
      <c r="AX575" s="13" t="s">
        <v>77</v>
      </c>
      <c r="AY575" s="243" t="s">
        <v>157</v>
      </c>
    </row>
    <row r="576" s="13" customFormat="1">
      <c r="A576" s="13"/>
      <c r="B576" s="232"/>
      <c r="C576" s="233"/>
      <c r="D576" s="234" t="s">
        <v>165</v>
      </c>
      <c r="E576" s="235" t="s">
        <v>1</v>
      </c>
      <c r="F576" s="236" t="s">
        <v>1018</v>
      </c>
      <c r="G576" s="233"/>
      <c r="H576" s="237">
        <v>23.867999999999999</v>
      </c>
      <c r="I576" s="238"/>
      <c r="J576" s="233"/>
      <c r="K576" s="233"/>
      <c r="L576" s="239"/>
      <c r="M576" s="240"/>
      <c r="N576" s="241"/>
      <c r="O576" s="241"/>
      <c r="P576" s="241"/>
      <c r="Q576" s="241"/>
      <c r="R576" s="241"/>
      <c r="S576" s="241"/>
      <c r="T576" s="242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T576" s="243" t="s">
        <v>165</v>
      </c>
      <c r="AU576" s="243" t="s">
        <v>86</v>
      </c>
      <c r="AV576" s="13" t="s">
        <v>86</v>
      </c>
      <c r="AW576" s="13" t="s">
        <v>32</v>
      </c>
      <c r="AX576" s="13" t="s">
        <v>77</v>
      </c>
      <c r="AY576" s="243" t="s">
        <v>157</v>
      </c>
    </row>
    <row r="577" s="13" customFormat="1">
      <c r="A577" s="13"/>
      <c r="B577" s="232"/>
      <c r="C577" s="233"/>
      <c r="D577" s="234" t="s">
        <v>165</v>
      </c>
      <c r="E577" s="235" t="s">
        <v>1</v>
      </c>
      <c r="F577" s="236" t="s">
        <v>1019</v>
      </c>
      <c r="G577" s="233"/>
      <c r="H577" s="237">
        <v>132.81399999999999</v>
      </c>
      <c r="I577" s="238"/>
      <c r="J577" s="233"/>
      <c r="K577" s="233"/>
      <c r="L577" s="239"/>
      <c r="M577" s="240"/>
      <c r="N577" s="241"/>
      <c r="O577" s="241"/>
      <c r="P577" s="241"/>
      <c r="Q577" s="241"/>
      <c r="R577" s="241"/>
      <c r="S577" s="241"/>
      <c r="T577" s="242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T577" s="243" t="s">
        <v>165</v>
      </c>
      <c r="AU577" s="243" t="s">
        <v>86</v>
      </c>
      <c r="AV577" s="13" t="s">
        <v>86</v>
      </c>
      <c r="AW577" s="13" t="s">
        <v>32</v>
      </c>
      <c r="AX577" s="13" t="s">
        <v>77</v>
      </c>
      <c r="AY577" s="243" t="s">
        <v>157</v>
      </c>
    </row>
    <row r="578" s="2" customFormat="1" ht="24.15" customHeight="1">
      <c r="A578" s="37"/>
      <c r="B578" s="38"/>
      <c r="C578" s="218" t="s">
        <v>1020</v>
      </c>
      <c r="D578" s="218" t="s">
        <v>159</v>
      </c>
      <c r="E578" s="219" t="s">
        <v>1021</v>
      </c>
      <c r="F578" s="220" t="s">
        <v>1022</v>
      </c>
      <c r="G578" s="221" t="s">
        <v>209</v>
      </c>
      <c r="H578" s="222">
        <v>548.40700000000004</v>
      </c>
      <c r="I578" s="223"/>
      <c r="J578" s="224">
        <f>ROUND(I578*H578,0)</f>
        <v>0</v>
      </c>
      <c r="K578" s="225"/>
      <c r="L578" s="43"/>
      <c r="M578" s="226" t="s">
        <v>1</v>
      </c>
      <c r="N578" s="227" t="s">
        <v>42</v>
      </c>
      <c r="O578" s="90"/>
      <c r="P578" s="228">
        <f>O578*H578</f>
        <v>0</v>
      </c>
      <c r="Q578" s="228">
        <v>0.051119999999999999</v>
      </c>
      <c r="R578" s="228">
        <f>Q578*H578</f>
        <v>28.034565840000003</v>
      </c>
      <c r="S578" s="228">
        <v>0</v>
      </c>
      <c r="T578" s="229">
        <f>S578*H578</f>
        <v>0</v>
      </c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R578" s="230" t="s">
        <v>246</v>
      </c>
      <c r="AT578" s="230" t="s">
        <v>159</v>
      </c>
      <c r="AU578" s="230" t="s">
        <v>86</v>
      </c>
      <c r="AY578" s="16" t="s">
        <v>157</v>
      </c>
      <c r="BE578" s="231">
        <f>IF(N578="základní",J578,0)</f>
        <v>0</v>
      </c>
      <c r="BF578" s="231">
        <f>IF(N578="snížená",J578,0)</f>
        <v>0</v>
      </c>
      <c r="BG578" s="231">
        <f>IF(N578="zákl. přenesená",J578,0)</f>
        <v>0</v>
      </c>
      <c r="BH578" s="231">
        <f>IF(N578="sníž. přenesená",J578,0)</f>
        <v>0</v>
      </c>
      <c r="BI578" s="231">
        <f>IF(N578="nulová",J578,0)</f>
        <v>0</v>
      </c>
      <c r="BJ578" s="16" t="s">
        <v>8</v>
      </c>
      <c r="BK578" s="231">
        <f>ROUND(I578*H578,0)</f>
        <v>0</v>
      </c>
      <c r="BL578" s="16" t="s">
        <v>246</v>
      </c>
      <c r="BM578" s="230" t="s">
        <v>1023</v>
      </c>
    </row>
    <row r="579" s="13" customFormat="1">
      <c r="A579" s="13"/>
      <c r="B579" s="232"/>
      <c r="C579" s="233"/>
      <c r="D579" s="234" t="s">
        <v>165</v>
      </c>
      <c r="E579" s="235" t="s">
        <v>1</v>
      </c>
      <c r="F579" s="236" t="s">
        <v>1024</v>
      </c>
      <c r="G579" s="233"/>
      <c r="H579" s="237">
        <v>43.834000000000003</v>
      </c>
      <c r="I579" s="238"/>
      <c r="J579" s="233"/>
      <c r="K579" s="233"/>
      <c r="L579" s="239"/>
      <c r="M579" s="240"/>
      <c r="N579" s="241"/>
      <c r="O579" s="241"/>
      <c r="P579" s="241"/>
      <c r="Q579" s="241"/>
      <c r="R579" s="241"/>
      <c r="S579" s="241"/>
      <c r="T579" s="242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T579" s="243" t="s">
        <v>165</v>
      </c>
      <c r="AU579" s="243" t="s">
        <v>86</v>
      </c>
      <c r="AV579" s="13" t="s">
        <v>86</v>
      </c>
      <c r="AW579" s="13" t="s">
        <v>32</v>
      </c>
      <c r="AX579" s="13" t="s">
        <v>77</v>
      </c>
      <c r="AY579" s="243" t="s">
        <v>157</v>
      </c>
    </row>
    <row r="580" s="13" customFormat="1">
      <c r="A580" s="13"/>
      <c r="B580" s="232"/>
      <c r="C580" s="233"/>
      <c r="D580" s="234" t="s">
        <v>165</v>
      </c>
      <c r="E580" s="235" t="s">
        <v>1</v>
      </c>
      <c r="F580" s="236" t="s">
        <v>1025</v>
      </c>
      <c r="G580" s="233"/>
      <c r="H580" s="237">
        <v>68.311999999999998</v>
      </c>
      <c r="I580" s="238"/>
      <c r="J580" s="233"/>
      <c r="K580" s="233"/>
      <c r="L580" s="239"/>
      <c r="M580" s="240"/>
      <c r="N580" s="241"/>
      <c r="O580" s="241"/>
      <c r="P580" s="241"/>
      <c r="Q580" s="241"/>
      <c r="R580" s="241"/>
      <c r="S580" s="241"/>
      <c r="T580" s="242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T580" s="243" t="s">
        <v>165</v>
      </c>
      <c r="AU580" s="243" t="s">
        <v>86</v>
      </c>
      <c r="AV580" s="13" t="s">
        <v>86</v>
      </c>
      <c r="AW580" s="13" t="s">
        <v>32</v>
      </c>
      <c r="AX580" s="13" t="s">
        <v>77</v>
      </c>
      <c r="AY580" s="243" t="s">
        <v>157</v>
      </c>
    </row>
    <row r="581" s="13" customFormat="1">
      <c r="A581" s="13"/>
      <c r="B581" s="232"/>
      <c r="C581" s="233"/>
      <c r="D581" s="234" t="s">
        <v>165</v>
      </c>
      <c r="E581" s="235" t="s">
        <v>1</v>
      </c>
      <c r="F581" s="236" t="s">
        <v>1026</v>
      </c>
      <c r="G581" s="233"/>
      <c r="H581" s="237">
        <v>50.030999999999999</v>
      </c>
      <c r="I581" s="238"/>
      <c r="J581" s="233"/>
      <c r="K581" s="233"/>
      <c r="L581" s="239"/>
      <c r="M581" s="240"/>
      <c r="N581" s="241"/>
      <c r="O581" s="241"/>
      <c r="P581" s="241"/>
      <c r="Q581" s="241"/>
      <c r="R581" s="241"/>
      <c r="S581" s="241"/>
      <c r="T581" s="242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T581" s="243" t="s">
        <v>165</v>
      </c>
      <c r="AU581" s="243" t="s">
        <v>86</v>
      </c>
      <c r="AV581" s="13" t="s">
        <v>86</v>
      </c>
      <c r="AW581" s="13" t="s">
        <v>32</v>
      </c>
      <c r="AX581" s="13" t="s">
        <v>77</v>
      </c>
      <c r="AY581" s="243" t="s">
        <v>157</v>
      </c>
    </row>
    <row r="582" s="13" customFormat="1">
      <c r="A582" s="13"/>
      <c r="B582" s="232"/>
      <c r="C582" s="233"/>
      <c r="D582" s="234" t="s">
        <v>165</v>
      </c>
      <c r="E582" s="235" t="s">
        <v>1</v>
      </c>
      <c r="F582" s="236" t="s">
        <v>1027</v>
      </c>
      <c r="G582" s="233"/>
      <c r="H582" s="237">
        <v>76.747</v>
      </c>
      <c r="I582" s="238"/>
      <c r="J582" s="233"/>
      <c r="K582" s="233"/>
      <c r="L582" s="239"/>
      <c r="M582" s="240"/>
      <c r="N582" s="241"/>
      <c r="O582" s="241"/>
      <c r="P582" s="241"/>
      <c r="Q582" s="241"/>
      <c r="R582" s="241"/>
      <c r="S582" s="241"/>
      <c r="T582" s="242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T582" s="243" t="s">
        <v>165</v>
      </c>
      <c r="AU582" s="243" t="s">
        <v>86</v>
      </c>
      <c r="AV582" s="13" t="s">
        <v>86</v>
      </c>
      <c r="AW582" s="13" t="s">
        <v>32</v>
      </c>
      <c r="AX582" s="13" t="s">
        <v>77</v>
      </c>
      <c r="AY582" s="243" t="s">
        <v>157</v>
      </c>
    </row>
    <row r="583" s="13" customFormat="1">
      <c r="A583" s="13"/>
      <c r="B583" s="232"/>
      <c r="C583" s="233"/>
      <c r="D583" s="234" t="s">
        <v>165</v>
      </c>
      <c r="E583" s="235" t="s">
        <v>1</v>
      </c>
      <c r="F583" s="236" t="s">
        <v>1028</v>
      </c>
      <c r="G583" s="233"/>
      <c r="H583" s="237">
        <v>76.747</v>
      </c>
      <c r="I583" s="238"/>
      <c r="J583" s="233"/>
      <c r="K583" s="233"/>
      <c r="L583" s="239"/>
      <c r="M583" s="240"/>
      <c r="N583" s="241"/>
      <c r="O583" s="241"/>
      <c r="P583" s="241"/>
      <c r="Q583" s="241"/>
      <c r="R583" s="241"/>
      <c r="S583" s="241"/>
      <c r="T583" s="242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T583" s="243" t="s">
        <v>165</v>
      </c>
      <c r="AU583" s="243" t="s">
        <v>86</v>
      </c>
      <c r="AV583" s="13" t="s">
        <v>86</v>
      </c>
      <c r="AW583" s="13" t="s">
        <v>32</v>
      </c>
      <c r="AX583" s="13" t="s">
        <v>77</v>
      </c>
      <c r="AY583" s="243" t="s">
        <v>157</v>
      </c>
    </row>
    <row r="584" s="13" customFormat="1">
      <c r="A584" s="13"/>
      <c r="B584" s="232"/>
      <c r="C584" s="233"/>
      <c r="D584" s="234" t="s">
        <v>165</v>
      </c>
      <c r="E584" s="235" t="s">
        <v>1</v>
      </c>
      <c r="F584" s="236" t="s">
        <v>1029</v>
      </c>
      <c r="G584" s="233"/>
      <c r="H584" s="237">
        <v>76.747</v>
      </c>
      <c r="I584" s="238"/>
      <c r="J584" s="233"/>
      <c r="K584" s="233"/>
      <c r="L584" s="239"/>
      <c r="M584" s="240"/>
      <c r="N584" s="241"/>
      <c r="O584" s="241"/>
      <c r="P584" s="241"/>
      <c r="Q584" s="241"/>
      <c r="R584" s="241"/>
      <c r="S584" s="241"/>
      <c r="T584" s="242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T584" s="243" t="s">
        <v>165</v>
      </c>
      <c r="AU584" s="243" t="s">
        <v>86</v>
      </c>
      <c r="AV584" s="13" t="s">
        <v>86</v>
      </c>
      <c r="AW584" s="13" t="s">
        <v>32</v>
      </c>
      <c r="AX584" s="13" t="s">
        <v>77</v>
      </c>
      <c r="AY584" s="243" t="s">
        <v>157</v>
      </c>
    </row>
    <row r="585" s="13" customFormat="1">
      <c r="A585" s="13"/>
      <c r="B585" s="232"/>
      <c r="C585" s="233"/>
      <c r="D585" s="234" t="s">
        <v>165</v>
      </c>
      <c r="E585" s="235" t="s">
        <v>1</v>
      </c>
      <c r="F585" s="236" t="s">
        <v>1030</v>
      </c>
      <c r="G585" s="233"/>
      <c r="H585" s="237">
        <v>70.305999999999997</v>
      </c>
      <c r="I585" s="238"/>
      <c r="J585" s="233"/>
      <c r="K585" s="233"/>
      <c r="L585" s="239"/>
      <c r="M585" s="240"/>
      <c r="N585" s="241"/>
      <c r="O585" s="241"/>
      <c r="P585" s="241"/>
      <c r="Q585" s="241"/>
      <c r="R585" s="241"/>
      <c r="S585" s="241"/>
      <c r="T585" s="242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T585" s="243" t="s">
        <v>165</v>
      </c>
      <c r="AU585" s="243" t="s">
        <v>86</v>
      </c>
      <c r="AV585" s="13" t="s">
        <v>86</v>
      </c>
      <c r="AW585" s="13" t="s">
        <v>32</v>
      </c>
      <c r="AX585" s="13" t="s">
        <v>77</v>
      </c>
      <c r="AY585" s="243" t="s">
        <v>157</v>
      </c>
    </row>
    <row r="586" s="13" customFormat="1">
      <c r="A586" s="13"/>
      <c r="B586" s="232"/>
      <c r="C586" s="233"/>
      <c r="D586" s="234" t="s">
        <v>165</v>
      </c>
      <c r="E586" s="235" t="s">
        <v>1</v>
      </c>
      <c r="F586" s="236" t="s">
        <v>1031</v>
      </c>
      <c r="G586" s="233"/>
      <c r="H586" s="237">
        <v>85.683000000000007</v>
      </c>
      <c r="I586" s="238"/>
      <c r="J586" s="233"/>
      <c r="K586" s="233"/>
      <c r="L586" s="239"/>
      <c r="M586" s="240"/>
      <c r="N586" s="241"/>
      <c r="O586" s="241"/>
      <c r="P586" s="241"/>
      <c r="Q586" s="241"/>
      <c r="R586" s="241"/>
      <c r="S586" s="241"/>
      <c r="T586" s="242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T586" s="243" t="s">
        <v>165</v>
      </c>
      <c r="AU586" s="243" t="s">
        <v>86</v>
      </c>
      <c r="AV586" s="13" t="s">
        <v>86</v>
      </c>
      <c r="AW586" s="13" t="s">
        <v>32</v>
      </c>
      <c r="AX586" s="13" t="s">
        <v>77</v>
      </c>
      <c r="AY586" s="243" t="s">
        <v>157</v>
      </c>
    </row>
    <row r="587" s="2" customFormat="1" ht="33" customHeight="1">
      <c r="A587" s="37"/>
      <c r="B587" s="38"/>
      <c r="C587" s="218" t="s">
        <v>1032</v>
      </c>
      <c r="D587" s="218" t="s">
        <v>159</v>
      </c>
      <c r="E587" s="219" t="s">
        <v>1033</v>
      </c>
      <c r="F587" s="220" t="s">
        <v>1034</v>
      </c>
      <c r="G587" s="221" t="s">
        <v>209</v>
      </c>
      <c r="H587" s="222">
        <v>94.176000000000002</v>
      </c>
      <c r="I587" s="223"/>
      <c r="J587" s="224">
        <f>ROUND(I587*H587,0)</f>
        <v>0</v>
      </c>
      <c r="K587" s="225"/>
      <c r="L587" s="43"/>
      <c r="M587" s="226" t="s">
        <v>1</v>
      </c>
      <c r="N587" s="227" t="s">
        <v>42</v>
      </c>
      <c r="O587" s="90"/>
      <c r="P587" s="228">
        <f>O587*H587</f>
        <v>0</v>
      </c>
      <c r="Q587" s="228">
        <v>0.052769999999999997</v>
      </c>
      <c r="R587" s="228">
        <f>Q587*H587</f>
        <v>4.9696675199999998</v>
      </c>
      <c r="S587" s="228">
        <v>0</v>
      </c>
      <c r="T587" s="229">
        <f>S587*H587</f>
        <v>0</v>
      </c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R587" s="230" t="s">
        <v>246</v>
      </c>
      <c r="AT587" s="230" t="s">
        <v>159</v>
      </c>
      <c r="AU587" s="230" t="s">
        <v>86</v>
      </c>
      <c r="AY587" s="16" t="s">
        <v>157</v>
      </c>
      <c r="BE587" s="231">
        <f>IF(N587="základní",J587,0)</f>
        <v>0</v>
      </c>
      <c r="BF587" s="231">
        <f>IF(N587="snížená",J587,0)</f>
        <v>0</v>
      </c>
      <c r="BG587" s="231">
        <f>IF(N587="zákl. přenesená",J587,0)</f>
        <v>0</v>
      </c>
      <c r="BH587" s="231">
        <f>IF(N587="sníž. přenesená",J587,0)</f>
        <v>0</v>
      </c>
      <c r="BI587" s="231">
        <f>IF(N587="nulová",J587,0)</f>
        <v>0</v>
      </c>
      <c r="BJ587" s="16" t="s">
        <v>8</v>
      </c>
      <c r="BK587" s="231">
        <f>ROUND(I587*H587,0)</f>
        <v>0</v>
      </c>
      <c r="BL587" s="16" t="s">
        <v>246</v>
      </c>
      <c r="BM587" s="230" t="s">
        <v>1035</v>
      </c>
    </row>
    <row r="588" s="13" customFormat="1">
      <c r="A588" s="13"/>
      <c r="B588" s="232"/>
      <c r="C588" s="233"/>
      <c r="D588" s="234" t="s">
        <v>165</v>
      </c>
      <c r="E588" s="235" t="s">
        <v>1</v>
      </c>
      <c r="F588" s="236" t="s">
        <v>1036</v>
      </c>
      <c r="G588" s="233"/>
      <c r="H588" s="237">
        <v>59.466000000000001</v>
      </c>
      <c r="I588" s="238"/>
      <c r="J588" s="233"/>
      <c r="K588" s="233"/>
      <c r="L588" s="239"/>
      <c r="M588" s="240"/>
      <c r="N588" s="241"/>
      <c r="O588" s="241"/>
      <c r="P588" s="241"/>
      <c r="Q588" s="241"/>
      <c r="R588" s="241"/>
      <c r="S588" s="241"/>
      <c r="T588" s="242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T588" s="243" t="s">
        <v>165</v>
      </c>
      <c r="AU588" s="243" t="s">
        <v>86</v>
      </c>
      <c r="AV588" s="13" t="s">
        <v>86</v>
      </c>
      <c r="AW588" s="13" t="s">
        <v>32</v>
      </c>
      <c r="AX588" s="13" t="s">
        <v>77</v>
      </c>
      <c r="AY588" s="243" t="s">
        <v>157</v>
      </c>
    </row>
    <row r="589" s="13" customFormat="1">
      <c r="A589" s="13"/>
      <c r="B589" s="232"/>
      <c r="C589" s="233"/>
      <c r="D589" s="234" t="s">
        <v>165</v>
      </c>
      <c r="E589" s="235" t="s">
        <v>1</v>
      </c>
      <c r="F589" s="236" t="s">
        <v>1037</v>
      </c>
      <c r="G589" s="233"/>
      <c r="H589" s="237">
        <v>34.710000000000001</v>
      </c>
      <c r="I589" s="238"/>
      <c r="J589" s="233"/>
      <c r="K589" s="233"/>
      <c r="L589" s="239"/>
      <c r="M589" s="240"/>
      <c r="N589" s="241"/>
      <c r="O589" s="241"/>
      <c r="P589" s="241"/>
      <c r="Q589" s="241"/>
      <c r="R589" s="241"/>
      <c r="S589" s="241"/>
      <c r="T589" s="242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T589" s="243" t="s">
        <v>165</v>
      </c>
      <c r="AU589" s="243" t="s">
        <v>86</v>
      </c>
      <c r="AV589" s="13" t="s">
        <v>86</v>
      </c>
      <c r="AW589" s="13" t="s">
        <v>32</v>
      </c>
      <c r="AX589" s="13" t="s">
        <v>77</v>
      </c>
      <c r="AY589" s="243" t="s">
        <v>157</v>
      </c>
    </row>
    <row r="590" s="2" customFormat="1" ht="16.5" customHeight="1">
      <c r="A590" s="37"/>
      <c r="B590" s="38"/>
      <c r="C590" s="218" t="s">
        <v>1038</v>
      </c>
      <c r="D590" s="218" t="s">
        <v>159</v>
      </c>
      <c r="E590" s="219" t="s">
        <v>1039</v>
      </c>
      <c r="F590" s="220" t="s">
        <v>1040</v>
      </c>
      <c r="G590" s="221" t="s">
        <v>216</v>
      </c>
      <c r="H590" s="222">
        <v>31.559999999999999</v>
      </c>
      <c r="I590" s="223"/>
      <c r="J590" s="224">
        <f>ROUND(I590*H590,0)</f>
        <v>0</v>
      </c>
      <c r="K590" s="225"/>
      <c r="L590" s="43"/>
      <c r="M590" s="226" t="s">
        <v>1</v>
      </c>
      <c r="N590" s="227" t="s">
        <v>42</v>
      </c>
      <c r="O590" s="90"/>
      <c r="P590" s="228">
        <f>O590*H590</f>
        <v>0</v>
      </c>
      <c r="Q590" s="228">
        <v>0.0016199999999999999</v>
      </c>
      <c r="R590" s="228">
        <f>Q590*H590</f>
        <v>0.051127199999999998</v>
      </c>
      <c r="S590" s="228">
        <v>0</v>
      </c>
      <c r="T590" s="229">
        <f>S590*H590</f>
        <v>0</v>
      </c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R590" s="230" t="s">
        <v>246</v>
      </c>
      <c r="AT590" s="230" t="s">
        <v>159</v>
      </c>
      <c r="AU590" s="230" t="s">
        <v>86</v>
      </c>
      <c r="AY590" s="16" t="s">
        <v>157</v>
      </c>
      <c r="BE590" s="231">
        <f>IF(N590="základní",J590,0)</f>
        <v>0</v>
      </c>
      <c r="BF590" s="231">
        <f>IF(N590="snížená",J590,0)</f>
        <v>0</v>
      </c>
      <c r="BG590" s="231">
        <f>IF(N590="zákl. přenesená",J590,0)</f>
        <v>0</v>
      </c>
      <c r="BH590" s="231">
        <f>IF(N590="sníž. přenesená",J590,0)</f>
        <v>0</v>
      </c>
      <c r="BI590" s="231">
        <f>IF(N590="nulová",J590,0)</f>
        <v>0</v>
      </c>
      <c r="BJ590" s="16" t="s">
        <v>8</v>
      </c>
      <c r="BK590" s="231">
        <f>ROUND(I590*H590,0)</f>
        <v>0</v>
      </c>
      <c r="BL590" s="16" t="s">
        <v>246</v>
      </c>
      <c r="BM590" s="230" t="s">
        <v>1041</v>
      </c>
    </row>
    <row r="591" s="13" customFormat="1">
      <c r="A591" s="13"/>
      <c r="B591" s="232"/>
      <c r="C591" s="233"/>
      <c r="D591" s="234" t="s">
        <v>165</v>
      </c>
      <c r="E591" s="235" t="s">
        <v>1</v>
      </c>
      <c r="F591" s="236" t="s">
        <v>1042</v>
      </c>
      <c r="G591" s="233"/>
      <c r="H591" s="237">
        <v>8.1600000000000001</v>
      </c>
      <c r="I591" s="238"/>
      <c r="J591" s="233"/>
      <c r="K591" s="233"/>
      <c r="L591" s="239"/>
      <c r="M591" s="240"/>
      <c r="N591" s="241"/>
      <c r="O591" s="241"/>
      <c r="P591" s="241"/>
      <c r="Q591" s="241"/>
      <c r="R591" s="241"/>
      <c r="S591" s="241"/>
      <c r="T591" s="242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T591" s="243" t="s">
        <v>165</v>
      </c>
      <c r="AU591" s="243" t="s">
        <v>86</v>
      </c>
      <c r="AV591" s="13" t="s">
        <v>86</v>
      </c>
      <c r="AW591" s="13" t="s">
        <v>32</v>
      </c>
      <c r="AX591" s="13" t="s">
        <v>77</v>
      </c>
      <c r="AY591" s="243" t="s">
        <v>157</v>
      </c>
    </row>
    <row r="592" s="13" customFormat="1">
      <c r="A592" s="13"/>
      <c r="B592" s="232"/>
      <c r="C592" s="233"/>
      <c r="D592" s="234" t="s">
        <v>165</v>
      </c>
      <c r="E592" s="235" t="s">
        <v>1</v>
      </c>
      <c r="F592" s="236" t="s">
        <v>1043</v>
      </c>
      <c r="G592" s="233"/>
      <c r="H592" s="237">
        <v>23.399999999999999</v>
      </c>
      <c r="I592" s="238"/>
      <c r="J592" s="233"/>
      <c r="K592" s="233"/>
      <c r="L592" s="239"/>
      <c r="M592" s="240"/>
      <c r="N592" s="241"/>
      <c r="O592" s="241"/>
      <c r="P592" s="241"/>
      <c r="Q592" s="241"/>
      <c r="R592" s="241"/>
      <c r="S592" s="241"/>
      <c r="T592" s="242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T592" s="243" t="s">
        <v>165</v>
      </c>
      <c r="AU592" s="243" t="s">
        <v>86</v>
      </c>
      <c r="AV592" s="13" t="s">
        <v>86</v>
      </c>
      <c r="AW592" s="13" t="s">
        <v>32</v>
      </c>
      <c r="AX592" s="13" t="s">
        <v>77</v>
      </c>
      <c r="AY592" s="243" t="s">
        <v>157</v>
      </c>
    </row>
    <row r="593" s="2" customFormat="1" ht="16.5" customHeight="1">
      <c r="A593" s="37"/>
      <c r="B593" s="38"/>
      <c r="C593" s="218" t="s">
        <v>1044</v>
      </c>
      <c r="D593" s="218" t="s">
        <v>159</v>
      </c>
      <c r="E593" s="219" t="s">
        <v>1045</v>
      </c>
      <c r="F593" s="220" t="s">
        <v>1046</v>
      </c>
      <c r="G593" s="221" t="s">
        <v>216</v>
      </c>
      <c r="H593" s="222">
        <v>63.479999999999997</v>
      </c>
      <c r="I593" s="223"/>
      <c r="J593" s="224">
        <f>ROUND(I593*H593,0)</f>
        <v>0</v>
      </c>
      <c r="K593" s="225"/>
      <c r="L593" s="43"/>
      <c r="M593" s="226" t="s">
        <v>1</v>
      </c>
      <c r="N593" s="227" t="s">
        <v>42</v>
      </c>
      <c r="O593" s="90"/>
      <c r="P593" s="228">
        <f>O593*H593</f>
        <v>0</v>
      </c>
      <c r="Q593" s="228">
        <v>0.00091</v>
      </c>
      <c r="R593" s="228">
        <f>Q593*H593</f>
        <v>0.0577668</v>
      </c>
      <c r="S593" s="228">
        <v>0</v>
      </c>
      <c r="T593" s="229">
        <f>S593*H593</f>
        <v>0</v>
      </c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R593" s="230" t="s">
        <v>246</v>
      </c>
      <c r="AT593" s="230" t="s">
        <v>159</v>
      </c>
      <c r="AU593" s="230" t="s">
        <v>86</v>
      </c>
      <c r="AY593" s="16" t="s">
        <v>157</v>
      </c>
      <c r="BE593" s="231">
        <f>IF(N593="základní",J593,0)</f>
        <v>0</v>
      </c>
      <c r="BF593" s="231">
        <f>IF(N593="snížená",J593,0)</f>
        <v>0</v>
      </c>
      <c r="BG593" s="231">
        <f>IF(N593="zákl. přenesená",J593,0)</f>
        <v>0</v>
      </c>
      <c r="BH593" s="231">
        <f>IF(N593="sníž. přenesená",J593,0)</f>
        <v>0</v>
      </c>
      <c r="BI593" s="231">
        <f>IF(N593="nulová",J593,0)</f>
        <v>0</v>
      </c>
      <c r="BJ593" s="16" t="s">
        <v>8</v>
      </c>
      <c r="BK593" s="231">
        <f>ROUND(I593*H593,0)</f>
        <v>0</v>
      </c>
      <c r="BL593" s="16" t="s">
        <v>246</v>
      </c>
      <c r="BM593" s="230" t="s">
        <v>1047</v>
      </c>
    </row>
    <row r="594" s="13" customFormat="1">
      <c r="A594" s="13"/>
      <c r="B594" s="232"/>
      <c r="C594" s="233"/>
      <c r="D594" s="234" t="s">
        <v>165</v>
      </c>
      <c r="E594" s="235" t="s">
        <v>1</v>
      </c>
      <c r="F594" s="236" t="s">
        <v>1048</v>
      </c>
      <c r="G594" s="233"/>
      <c r="H594" s="237">
        <v>24.48</v>
      </c>
      <c r="I594" s="238"/>
      <c r="J594" s="233"/>
      <c r="K594" s="233"/>
      <c r="L594" s="239"/>
      <c r="M594" s="240"/>
      <c r="N594" s="241"/>
      <c r="O594" s="241"/>
      <c r="P594" s="241"/>
      <c r="Q594" s="241"/>
      <c r="R594" s="241"/>
      <c r="S594" s="241"/>
      <c r="T594" s="242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T594" s="243" t="s">
        <v>165</v>
      </c>
      <c r="AU594" s="243" t="s">
        <v>86</v>
      </c>
      <c r="AV594" s="13" t="s">
        <v>86</v>
      </c>
      <c r="AW594" s="13" t="s">
        <v>32</v>
      </c>
      <c r="AX594" s="13" t="s">
        <v>77</v>
      </c>
      <c r="AY594" s="243" t="s">
        <v>157</v>
      </c>
    </row>
    <row r="595" s="13" customFormat="1">
      <c r="A595" s="13"/>
      <c r="B595" s="232"/>
      <c r="C595" s="233"/>
      <c r="D595" s="234" t="s">
        <v>165</v>
      </c>
      <c r="E595" s="235" t="s">
        <v>1</v>
      </c>
      <c r="F595" s="236" t="s">
        <v>1049</v>
      </c>
      <c r="G595" s="233"/>
      <c r="H595" s="237">
        <v>39</v>
      </c>
      <c r="I595" s="238"/>
      <c r="J595" s="233"/>
      <c r="K595" s="233"/>
      <c r="L595" s="239"/>
      <c r="M595" s="240"/>
      <c r="N595" s="241"/>
      <c r="O595" s="241"/>
      <c r="P595" s="241"/>
      <c r="Q595" s="241"/>
      <c r="R595" s="241"/>
      <c r="S595" s="241"/>
      <c r="T595" s="242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T595" s="243" t="s">
        <v>165</v>
      </c>
      <c r="AU595" s="243" t="s">
        <v>86</v>
      </c>
      <c r="AV595" s="13" t="s">
        <v>86</v>
      </c>
      <c r="AW595" s="13" t="s">
        <v>32</v>
      </c>
      <c r="AX595" s="13" t="s">
        <v>77</v>
      </c>
      <c r="AY595" s="243" t="s">
        <v>157</v>
      </c>
    </row>
    <row r="596" s="2" customFormat="1" ht="21.75" customHeight="1">
      <c r="A596" s="37"/>
      <c r="B596" s="38"/>
      <c r="C596" s="218" t="s">
        <v>1050</v>
      </c>
      <c r="D596" s="218" t="s">
        <v>159</v>
      </c>
      <c r="E596" s="219" t="s">
        <v>1051</v>
      </c>
      <c r="F596" s="220" t="s">
        <v>1052</v>
      </c>
      <c r="G596" s="221" t="s">
        <v>209</v>
      </c>
      <c r="H596" s="222">
        <v>19.128</v>
      </c>
      <c r="I596" s="223"/>
      <c r="J596" s="224">
        <f>ROUND(I596*H596,0)</f>
        <v>0</v>
      </c>
      <c r="K596" s="225"/>
      <c r="L596" s="43"/>
      <c r="M596" s="226" t="s">
        <v>1</v>
      </c>
      <c r="N596" s="227" t="s">
        <v>42</v>
      </c>
      <c r="O596" s="90"/>
      <c r="P596" s="228">
        <f>O596*H596</f>
        <v>0</v>
      </c>
      <c r="Q596" s="228">
        <v>0</v>
      </c>
      <c r="R596" s="228">
        <f>Q596*H596</f>
        <v>0</v>
      </c>
      <c r="S596" s="228">
        <v>0</v>
      </c>
      <c r="T596" s="229">
        <f>S596*H596</f>
        <v>0</v>
      </c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R596" s="230" t="s">
        <v>246</v>
      </c>
      <c r="AT596" s="230" t="s">
        <v>159</v>
      </c>
      <c r="AU596" s="230" t="s">
        <v>86</v>
      </c>
      <c r="AY596" s="16" t="s">
        <v>157</v>
      </c>
      <c r="BE596" s="231">
        <f>IF(N596="základní",J596,0)</f>
        <v>0</v>
      </c>
      <c r="BF596" s="231">
        <f>IF(N596="snížená",J596,0)</f>
        <v>0</v>
      </c>
      <c r="BG596" s="231">
        <f>IF(N596="zákl. přenesená",J596,0)</f>
        <v>0</v>
      </c>
      <c r="BH596" s="231">
        <f>IF(N596="sníž. přenesená",J596,0)</f>
        <v>0</v>
      </c>
      <c r="BI596" s="231">
        <f>IF(N596="nulová",J596,0)</f>
        <v>0</v>
      </c>
      <c r="BJ596" s="16" t="s">
        <v>8</v>
      </c>
      <c r="BK596" s="231">
        <f>ROUND(I596*H596,0)</f>
        <v>0</v>
      </c>
      <c r="BL596" s="16" t="s">
        <v>246</v>
      </c>
      <c r="BM596" s="230" t="s">
        <v>1053</v>
      </c>
    </row>
    <row r="597" s="13" customFormat="1">
      <c r="A597" s="13"/>
      <c r="B597" s="232"/>
      <c r="C597" s="233"/>
      <c r="D597" s="234" t="s">
        <v>165</v>
      </c>
      <c r="E597" s="235" t="s">
        <v>1</v>
      </c>
      <c r="F597" s="236" t="s">
        <v>998</v>
      </c>
      <c r="G597" s="233"/>
      <c r="H597" s="237">
        <v>4.1299999999999999</v>
      </c>
      <c r="I597" s="238"/>
      <c r="J597" s="233"/>
      <c r="K597" s="233"/>
      <c r="L597" s="239"/>
      <c r="M597" s="240"/>
      <c r="N597" s="241"/>
      <c r="O597" s="241"/>
      <c r="P597" s="241"/>
      <c r="Q597" s="241"/>
      <c r="R597" s="241"/>
      <c r="S597" s="241"/>
      <c r="T597" s="242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T597" s="243" t="s">
        <v>165</v>
      </c>
      <c r="AU597" s="243" t="s">
        <v>86</v>
      </c>
      <c r="AV597" s="13" t="s">
        <v>86</v>
      </c>
      <c r="AW597" s="13" t="s">
        <v>32</v>
      </c>
      <c r="AX597" s="13" t="s">
        <v>77</v>
      </c>
      <c r="AY597" s="243" t="s">
        <v>157</v>
      </c>
    </row>
    <row r="598" s="13" customFormat="1">
      <c r="A598" s="13"/>
      <c r="B598" s="232"/>
      <c r="C598" s="233"/>
      <c r="D598" s="234" t="s">
        <v>165</v>
      </c>
      <c r="E598" s="235" t="s">
        <v>1</v>
      </c>
      <c r="F598" s="236" t="s">
        <v>999</v>
      </c>
      <c r="G598" s="233"/>
      <c r="H598" s="237">
        <v>1.7629999999999999</v>
      </c>
      <c r="I598" s="238"/>
      <c r="J598" s="233"/>
      <c r="K598" s="233"/>
      <c r="L598" s="239"/>
      <c r="M598" s="240"/>
      <c r="N598" s="241"/>
      <c r="O598" s="241"/>
      <c r="P598" s="241"/>
      <c r="Q598" s="241"/>
      <c r="R598" s="241"/>
      <c r="S598" s="241"/>
      <c r="T598" s="242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T598" s="243" t="s">
        <v>165</v>
      </c>
      <c r="AU598" s="243" t="s">
        <v>86</v>
      </c>
      <c r="AV598" s="13" t="s">
        <v>86</v>
      </c>
      <c r="AW598" s="13" t="s">
        <v>32</v>
      </c>
      <c r="AX598" s="13" t="s">
        <v>77</v>
      </c>
      <c r="AY598" s="243" t="s">
        <v>157</v>
      </c>
    </row>
    <row r="599" s="13" customFormat="1">
      <c r="A599" s="13"/>
      <c r="B599" s="232"/>
      <c r="C599" s="233"/>
      <c r="D599" s="234" t="s">
        <v>165</v>
      </c>
      <c r="E599" s="235" t="s">
        <v>1</v>
      </c>
      <c r="F599" s="236" t="s">
        <v>1000</v>
      </c>
      <c r="G599" s="233"/>
      <c r="H599" s="237">
        <v>0.56799999999999995</v>
      </c>
      <c r="I599" s="238"/>
      <c r="J599" s="233"/>
      <c r="K599" s="233"/>
      <c r="L599" s="239"/>
      <c r="M599" s="240"/>
      <c r="N599" s="241"/>
      <c r="O599" s="241"/>
      <c r="P599" s="241"/>
      <c r="Q599" s="241"/>
      <c r="R599" s="241"/>
      <c r="S599" s="241"/>
      <c r="T599" s="242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T599" s="243" t="s">
        <v>165</v>
      </c>
      <c r="AU599" s="243" t="s">
        <v>86</v>
      </c>
      <c r="AV599" s="13" t="s">
        <v>86</v>
      </c>
      <c r="AW599" s="13" t="s">
        <v>32</v>
      </c>
      <c r="AX599" s="13" t="s">
        <v>77</v>
      </c>
      <c r="AY599" s="243" t="s">
        <v>157</v>
      </c>
    </row>
    <row r="600" s="13" customFormat="1">
      <c r="A600" s="13"/>
      <c r="B600" s="232"/>
      <c r="C600" s="233"/>
      <c r="D600" s="234" t="s">
        <v>165</v>
      </c>
      <c r="E600" s="235" t="s">
        <v>1</v>
      </c>
      <c r="F600" s="236" t="s">
        <v>1054</v>
      </c>
      <c r="G600" s="233"/>
      <c r="H600" s="237">
        <v>4.617</v>
      </c>
      <c r="I600" s="238"/>
      <c r="J600" s="233"/>
      <c r="K600" s="233"/>
      <c r="L600" s="239"/>
      <c r="M600" s="240"/>
      <c r="N600" s="241"/>
      <c r="O600" s="241"/>
      <c r="P600" s="241"/>
      <c r="Q600" s="241"/>
      <c r="R600" s="241"/>
      <c r="S600" s="241"/>
      <c r="T600" s="242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T600" s="243" t="s">
        <v>165</v>
      </c>
      <c r="AU600" s="243" t="s">
        <v>86</v>
      </c>
      <c r="AV600" s="13" t="s">
        <v>86</v>
      </c>
      <c r="AW600" s="13" t="s">
        <v>32</v>
      </c>
      <c r="AX600" s="13" t="s">
        <v>77</v>
      </c>
      <c r="AY600" s="243" t="s">
        <v>157</v>
      </c>
    </row>
    <row r="601" s="13" customFormat="1">
      <c r="A601" s="13"/>
      <c r="B601" s="232"/>
      <c r="C601" s="233"/>
      <c r="D601" s="234" t="s">
        <v>165</v>
      </c>
      <c r="E601" s="235" t="s">
        <v>1</v>
      </c>
      <c r="F601" s="236" t="s">
        <v>1002</v>
      </c>
      <c r="G601" s="233"/>
      <c r="H601" s="237">
        <v>1.885</v>
      </c>
      <c r="I601" s="238"/>
      <c r="J601" s="233"/>
      <c r="K601" s="233"/>
      <c r="L601" s="239"/>
      <c r="M601" s="240"/>
      <c r="N601" s="241"/>
      <c r="O601" s="241"/>
      <c r="P601" s="241"/>
      <c r="Q601" s="241"/>
      <c r="R601" s="241"/>
      <c r="S601" s="241"/>
      <c r="T601" s="242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T601" s="243" t="s">
        <v>165</v>
      </c>
      <c r="AU601" s="243" t="s">
        <v>86</v>
      </c>
      <c r="AV601" s="13" t="s">
        <v>86</v>
      </c>
      <c r="AW601" s="13" t="s">
        <v>32</v>
      </c>
      <c r="AX601" s="13" t="s">
        <v>77</v>
      </c>
      <c r="AY601" s="243" t="s">
        <v>157</v>
      </c>
    </row>
    <row r="602" s="13" customFormat="1">
      <c r="A602" s="13"/>
      <c r="B602" s="232"/>
      <c r="C602" s="233"/>
      <c r="D602" s="234" t="s">
        <v>165</v>
      </c>
      <c r="E602" s="235" t="s">
        <v>1</v>
      </c>
      <c r="F602" s="236" t="s">
        <v>1003</v>
      </c>
      <c r="G602" s="233"/>
      <c r="H602" s="237">
        <v>0.745</v>
      </c>
      <c r="I602" s="238"/>
      <c r="J602" s="233"/>
      <c r="K602" s="233"/>
      <c r="L602" s="239"/>
      <c r="M602" s="240"/>
      <c r="N602" s="241"/>
      <c r="O602" s="241"/>
      <c r="P602" s="241"/>
      <c r="Q602" s="241"/>
      <c r="R602" s="241"/>
      <c r="S602" s="241"/>
      <c r="T602" s="242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T602" s="243" t="s">
        <v>165</v>
      </c>
      <c r="AU602" s="243" t="s">
        <v>86</v>
      </c>
      <c r="AV602" s="13" t="s">
        <v>86</v>
      </c>
      <c r="AW602" s="13" t="s">
        <v>32</v>
      </c>
      <c r="AX602" s="13" t="s">
        <v>77</v>
      </c>
      <c r="AY602" s="243" t="s">
        <v>157</v>
      </c>
    </row>
    <row r="603" s="13" customFormat="1">
      <c r="A603" s="13"/>
      <c r="B603" s="232"/>
      <c r="C603" s="233"/>
      <c r="D603" s="234" t="s">
        <v>165</v>
      </c>
      <c r="E603" s="235" t="s">
        <v>1</v>
      </c>
      <c r="F603" s="236" t="s">
        <v>1004</v>
      </c>
      <c r="G603" s="233"/>
      <c r="H603" s="237">
        <v>2.8199999999999998</v>
      </c>
      <c r="I603" s="238"/>
      <c r="J603" s="233"/>
      <c r="K603" s="233"/>
      <c r="L603" s="239"/>
      <c r="M603" s="240"/>
      <c r="N603" s="241"/>
      <c r="O603" s="241"/>
      <c r="P603" s="241"/>
      <c r="Q603" s="241"/>
      <c r="R603" s="241"/>
      <c r="S603" s="241"/>
      <c r="T603" s="242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T603" s="243" t="s">
        <v>165</v>
      </c>
      <c r="AU603" s="243" t="s">
        <v>86</v>
      </c>
      <c r="AV603" s="13" t="s">
        <v>86</v>
      </c>
      <c r="AW603" s="13" t="s">
        <v>32</v>
      </c>
      <c r="AX603" s="13" t="s">
        <v>77</v>
      </c>
      <c r="AY603" s="243" t="s">
        <v>157</v>
      </c>
    </row>
    <row r="604" s="13" customFormat="1">
      <c r="A604" s="13"/>
      <c r="B604" s="232"/>
      <c r="C604" s="233"/>
      <c r="D604" s="234" t="s">
        <v>165</v>
      </c>
      <c r="E604" s="235" t="s">
        <v>1</v>
      </c>
      <c r="F604" s="236" t="s">
        <v>1005</v>
      </c>
      <c r="G604" s="233"/>
      <c r="H604" s="237">
        <v>0.64200000000000002</v>
      </c>
      <c r="I604" s="238"/>
      <c r="J604" s="233"/>
      <c r="K604" s="233"/>
      <c r="L604" s="239"/>
      <c r="M604" s="240"/>
      <c r="N604" s="241"/>
      <c r="O604" s="241"/>
      <c r="P604" s="241"/>
      <c r="Q604" s="241"/>
      <c r="R604" s="241"/>
      <c r="S604" s="241"/>
      <c r="T604" s="242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T604" s="243" t="s">
        <v>165</v>
      </c>
      <c r="AU604" s="243" t="s">
        <v>86</v>
      </c>
      <c r="AV604" s="13" t="s">
        <v>86</v>
      </c>
      <c r="AW604" s="13" t="s">
        <v>32</v>
      </c>
      <c r="AX604" s="13" t="s">
        <v>77</v>
      </c>
      <c r="AY604" s="243" t="s">
        <v>157</v>
      </c>
    </row>
    <row r="605" s="13" customFormat="1">
      <c r="A605" s="13"/>
      <c r="B605" s="232"/>
      <c r="C605" s="233"/>
      <c r="D605" s="234" t="s">
        <v>165</v>
      </c>
      <c r="E605" s="235" t="s">
        <v>1</v>
      </c>
      <c r="F605" s="236" t="s">
        <v>1006</v>
      </c>
      <c r="G605" s="233"/>
      <c r="H605" s="237">
        <v>0.56599999999999995</v>
      </c>
      <c r="I605" s="238"/>
      <c r="J605" s="233"/>
      <c r="K605" s="233"/>
      <c r="L605" s="239"/>
      <c r="M605" s="240"/>
      <c r="N605" s="241"/>
      <c r="O605" s="241"/>
      <c r="P605" s="241"/>
      <c r="Q605" s="241"/>
      <c r="R605" s="241"/>
      <c r="S605" s="241"/>
      <c r="T605" s="242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T605" s="243" t="s">
        <v>165</v>
      </c>
      <c r="AU605" s="243" t="s">
        <v>86</v>
      </c>
      <c r="AV605" s="13" t="s">
        <v>86</v>
      </c>
      <c r="AW605" s="13" t="s">
        <v>32</v>
      </c>
      <c r="AX605" s="13" t="s">
        <v>77</v>
      </c>
      <c r="AY605" s="243" t="s">
        <v>157</v>
      </c>
    </row>
    <row r="606" s="13" customFormat="1">
      <c r="A606" s="13"/>
      <c r="B606" s="232"/>
      <c r="C606" s="233"/>
      <c r="D606" s="234" t="s">
        <v>165</v>
      </c>
      <c r="E606" s="235" t="s">
        <v>1</v>
      </c>
      <c r="F606" s="236" t="s">
        <v>1011</v>
      </c>
      <c r="G606" s="233"/>
      <c r="H606" s="237">
        <v>0.82599999999999996</v>
      </c>
      <c r="I606" s="238"/>
      <c r="J606" s="233"/>
      <c r="K606" s="233"/>
      <c r="L606" s="239"/>
      <c r="M606" s="240"/>
      <c r="N606" s="241"/>
      <c r="O606" s="241"/>
      <c r="P606" s="241"/>
      <c r="Q606" s="241"/>
      <c r="R606" s="241"/>
      <c r="S606" s="241"/>
      <c r="T606" s="242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T606" s="243" t="s">
        <v>165</v>
      </c>
      <c r="AU606" s="243" t="s">
        <v>86</v>
      </c>
      <c r="AV606" s="13" t="s">
        <v>86</v>
      </c>
      <c r="AW606" s="13" t="s">
        <v>32</v>
      </c>
      <c r="AX606" s="13" t="s">
        <v>77</v>
      </c>
      <c r="AY606" s="243" t="s">
        <v>157</v>
      </c>
    </row>
    <row r="607" s="13" customFormat="1">
      <c r="A607" s="13"/>
      <c r="B607" s="232"/>
      <c r="C607" s="233"/>
      <c r="D607" s="234" t="s">
        <v>165</v>
      </c>
      <c r="E607" s="235" t="s">
        <v>1</v>
      </c>
      <c r="F607" s="236" t="s">
        <v>1012</v>
      </c>
      <c r="G607" s="233"/>
      <c r="H607" s="237">
        <v>0.56599999999999995</v>
      </c>
      <c r="I607" s="238"/>
      <c r="J607" s="233"/>
      <c r="K607" s="233"/>
      <c r="L607" s="239"/>
      <c r="M607" s="240"/>
      <c r="N607" s="241"/>
      <c r="O607" s="241"/>
      <c r="P607" s="241"/>
      <c r="Q607" s="241"/>
      <c r="R607" s="241"/>
      <c r="S607" s="241"/>
      <c r="T607" s="242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T607" s="243" t="s">
        <v>165</v>
      </c>
      <c r="AU607" s="243" t="s">
        <v>86</v>
      </c>
      <c r="AV607" s="13" t="s">
        <v>86</v>
      </c>
      <c r="AW607" s="13" t="s">
        <v>32</v>
      </c>
      <c r="AX607" s="13" t="s">
        <v>77</v>
      </c>
      <c r="AY607" s="243" t="s">
        <v>157</v>
      </c>
    </row>
    <row r="608" s="2" customFormat="1" ht="24.15" customHeight="1">
      <c r="A608" s="37"/>
      <c r="B608" s="38"/>
      <c r="C608" s="218" t="s">
        <v>1055</v>
      </c>
      <c r="D608" s="218" t="s">
        <v>159</v>
      </c>
      <c r="E608" s="219" t="s">
        <v>1056</v>
      </c>
      <c r="F608" s="220" t="s">
        <v>1057</v>
      </c>
      <c r="G608" s="221" t="s">
        <v>209</v>
      </c>
      <c r="H608" s="222">
        <v>36.036000000000001</v>
      </c>
      <c r="I608" s="223"/>
      <c r="J608" s="224">
        <f>ROUND(I608*H608,0)</f>
        <v>0</v>
      </c>
      <c r="K608" s="225"/>
      <c r="L608" s="43"/>
      <c r="M608" s="226" t="s">
        <v>1</v>
      </c>
      <c r="N608" s="227" t="s">
        <v>42</v>
      </c>
      <c r="O608" s="90"/>
      <c r="P608" s="228">
        <f>O608*H608</f>
        <v>0</v>
      </c>
      <c r="Q608" s="228">
        <v>0.024649999999999998</v>
      </c>
      <c r="R608" s="228">
        <f>Q608*H608</f>
        <v>0.88828739999999995</v>
      </c>
      <c r="S608" s="228">
        <v>0</v>
      </c>
      <c r="T608" s="229">
        <f>S608*H608</f>
        <v>0</v>
      </c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R608" s="230" t="s">
        <v>246</v>
      </c>
      <c r="AT608" s="230" t="s">
        <v>159</v>
      </c>
      <c r="AU608" s="230" t="s">
        <v>86</v>
      </c>
      <c r="AY608" s="16" t="s">
        <v>157</v>
      </c>
      <c r="BE608" s="231">
        <f>IF(N608="základní",J608,0)</f>
        <v>0</v>
      </c>
      <c r="BF608" s="231">
        <f>IF(N608="snížená",J608,0)</f>
        <v>0</v>
      </c>
      <c r="BG608" s="231">
        <f>IF(N608="zákl. přenesená",J608,0)</f>
        <v>0</v>
      </c>
      <c r="BH608" s="231">
        <f>IF(N608="sníž. přenesená",J608,0)</f>
        <v>0</v>
      </c>
      <c r="BI608" s="231">
        <f>IF(N608="nulová",J608,0)</f>
        <v>0</v>
      </c>
      <c r="BJ608" s="16" t="s">
        <v>8</v>
      </c>
      <c r="BK608" s="231">
        <f>ROUND(I608*H608,0)</f>
        <v>0</v>
      </c>
      <c r="BL608" s="16" t="s">
        <v>246</v>
      </c>
      <c r="BM608" s="230" t="s">
        <v>1058</v>
      </c>
    </row>
    <row r="609" s="13" customFormat="1">
      <c r="A609" s="13"/>
      <c r="B609" s="232"/>
      <c r="C609" s="233"/>
      <c r="D609" s="234" t="s">
        <v>165</v>
      </c>
      <c r="E609" s="235" t="s">
        <v>1</v>
      </c>
      <c r="F609" s="236" t="s">
        <v>1059</v>
      </c>
      <c r="G609" s="233"/>
      <c r="H609" s="237">
        <v>36.036000000000001</v>
      </c>
      <c r="I609" s="238"/>
      <c r="J609" s="233"/>
      <c r="K609" s="233"/>
      <c r="L609" s="239"/>
      <c r="M609" s="240"/>
      <c r="N609" s="241"/>
      <c r="O609" s="241"/>
      <c r="P609" s="241"/>
      <c r="Q609" s="241"/>
      <c r="R609" s="241"/>
      <c r="S609" s="241"/>
      <c r="T609" s="242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T609" s="243" t="s">
        <v>165</v>
      </c>
      <c r="AU609" s="243" t="s">
        <v>86</v>
      </c>
      <c r="AV609" s="13" t="s">
        <v>86</v>
      </c>
      <c r="AW609" s="13" t="s">
        <v>32</v>
      </c>
      <c r="AX609" s="13" t="s">
        <v>77</v>
      </c>
      <c r="AY609" s="243" t="s">
        <v>157</v>
      </c>
    </row>
    <row r="610" s="2" customFormat="1" ht="33" customHeight="1">
      <c r="A610" s="37"/>
      <c r="B610" s="38"/>
      <c r="C610" s="218" t="s">
        <v>1060</v>
      </c>
      <c r="D610" s="218" t="s">
        <v>159</v>
      </c>
      <c r="E610" s="219" t="s">
        <v>1061</v>
      </c>
      <c r="F610" s="220" t="s">
        <v>1062</v>
      </c>
      <c r="G610" s="221" t="s">
        <v>209</v>
      </c>
      <c r="H610" s="222">
        <v>1879.691</v>
      </c>
      <c r="I610" s="223"/>
      <c r="J610" s="224">
        <f>ROUND(I610*H610,0)</f>
        <v>0</v>
      </c>
      <c r="K610" s="225"/>
      <c r="L610" s="43"/>
      <c r="M610" s="226" t="s">
        <v>1</v>
      </c>
      <c r="N610" s="227" t="s">
        <v>42</v>
      </c>
      <c r="O610" s="90"/>
      <c r="P610" s="228">
        <f>O610*H610</f>
        <v>0</v>
      </c>
      <c r="Q610" s="228">
        <v>0.025559999999999999</v>
      </c>
      <c r="R610" s="228">
        <f>Q610*H610</f>
        <v>48.044901959999997</v>
      </c>
      <c r="S610" s="228">
        <v>0</v>
      </c>
      <c r="T610" s="229">
        <f>S610*H610</f>
        <v>0</v>
      </c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R610" s="230" t="s">
        <v>246</v>
      </c>
      <c r="AT610" s="230" t="s">
        <v>159</v>
      </c>
      <c r="AU610" s="230" t="s">
        <v>86</v>
      </c>
      <c r="AY610" s="16" t="s">
        <v>157</v>
      </c>
      <c r="BE610" s="231">
        <f>IF(N610="základní",J610,0)</f>
        <v>0</v>
      </c>
      <c r="BF610" s="231">
        <f>IF(N610="snížená",J610,0)</f>
        <v>0</v>
      </c>
      <c r="BG610" s="231">
        <f>IF(N610="zákl. přenesená",J610,0)</f>
        <v>0</v>
      </c>
      <c r="BH610" s="231">
        <f>IF(N610="sníž. přenesená",J610,0)</f>
        <v>0</v>
      </c>
      <c r="BI610" s="231">
        <f>IF(N610="nulová",J610,0)</f>
        <v>0</v>
      </c>
      <c r="BJ610" s="16" t="s">
        <v>8</v>
      </c>
      <c r="BK610" s="231">
        <f>ROUND(I610*H610,0)</f>
        <v>0</v>
      </c>
      <c r="BL610" s="16" t="s">
        <v>246</v>
      </c>
      <c r="BM610" s="230" t="s">
        <v>1063</v>
      </c>
    </row>
    <row r="611" s="14" customFormat="1">
      <c r="A611" s="14"/>
      <c r="B611" s="244"/>
      <c r="C611" s="245"/>
      <c r="D611" s="234" t="s">
        <v>165</v>
      </c>
      <c r="E611" s="246" t="s">
        <v>1</v>
      </c>
      <c r="F611" s="247" t="s">
        <v>1064</v>
      </c>
      <c r="G611" s="245"/>
      <c r="H611" s="246" t="s">
        <v>1</v>
      </c>
      <c r="I611" s="248"/>
      <c r="J611" s="245"/>
      <c r="K611" s="245"/>
      <c r="L611" s="249"/>
      <c r="M611" s="250"/>
      <c r="N611" s="251"/>
      <c r="O611" s="251"/>
      <c r="P611" s="251"/>
      <c r="Q611" s="251"/>
      <c r="R611" s="251"/>
      <c r="S611" s="251"/>
      <c r="T611" s="252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T611" s="253" t="s">
        <v>165</v>
      </c>
      <c r="AU611" s="253" t="s">
        <v>86</v>
      </c>
      <c r="AV611" s="14" t="s">
        <v>8</v>
      </c>
      <c r="AW611" s="14" t="s">
        <v>32</v>
      </c>
      <c r="AX611" s="14" t="s">
        <v>77</v>
      </c>
      <c r="AY611" s="253" t="s">
        <v>157</v>
      </c>
    </row>
    <row r="612" s="13" customFormat="1">
      <c r="A612" s="13"/>
      <c r="B612" s="232"/>
      <c r="C612" s="233"/>
      <c r="D612" s="234" t="s">
        <v>165</v>
      </c>
      <c r="E612" s="235" t="s">
        <v>1</v>
      </c>
      <c r="F612" s="236" t="s">
        <v>1065</v>
      </c>
      <c r="G612" s="233"/>
      <c r="H612" s="237">
        <v>190.03</v>
      </c>
      <c r="I612" s="238"/>
      <c r="J612" s="233"/>
      <c r="K612" s="233"/>
      <c r="L612" s="239"/>
      <c r="M612" s="240"/>
      <c r="N612" s="241"/>
      <c r="O612" s="241"/>
      <c r="P612" s="241"/>
      <c r="Q612" s="241"/>
      <c r="R612" s="241"/>
      <c r="S612" s="241"/>
      <c r="T612" s="242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T612" s="243" t="s">
        <v>165</v>
      </c>
      <c r="AU612" s="243" t="s">
        <v>86</v>
      </c>
      <c r="AV612" s="13" t="s">
        <v>86</v>
      </c>
      <c r="AW612" s="13" t="s">
        <v>32</v>
      </c>
      <c r="AX612" s="13" t="s">
        <v>77</v>
      </c>
      <c r="AY612" s="243" t="s">
        <v>157</v>
      </c>
    </row>
    <row r="613" s="13" customFormat="1">
      <c r="A613" s="13"/>
      <c r="B613" s="232"/>
      <c r="C613" s="233"/>
      <c r="D613" s="234" t="s">
        <v>165</v>
      </c>
      <c r="E613" s="235" t="s">
        <v>1</v>
      </c>
      <c r="F613" s="236" t="s">
        <v>1066</v>
      </c>
      <c r="G613" s="233"/>
      <c r="H613" s="237">
        <v>110.44</v>
      </c>
      <c r="I613" s="238"/>
      <c r="J613" s="233"/>
      <c r="K613" s="233"/>
      <c r="L613" s="239"/>
      <c r="M613" s="240"/>
      <c r="N613" s="241"/>
      <c r="O613" s="241"/>
      <c r="P613" s="241"/>
      <c r="Q613" s="241"/>
      <c r="R613" s="241"/>
      <c r="S613" s="241"/>
      <c r="T613" s="242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T613" s="243" t="s">
        <v>165</v>
      </c>
      <c r="AU613" s="243" t="s">
        <v>86</v>
      </c>
      <c r="AV613" s="13" t="s">
        <v>86</v>
      </c>
      <c r="AW613" s="13" t="s">
        <v>32</v>
      </c>
      <c r="AX613" s="13" t="s">
        <v>77</v>
      </c>
      <c r="AY613" s="243" t="s">
        <v>157</v>
      </c>
    </row>
    <row r="614" s="14" customFormat="1">
      <c r="A614" s="14"/>
      <c r="B614" s="244"/>
      <c r="C614" s="245"/>
      <c r="D614" s="234" t="s">
        <v>165</v>
      </c>
      <c r="E614" s="246" t="s">
        <v>1</v>
      </c>
      <c r="F614" s="247" t="s">
        <v>1067</v>
      </c>
      <c r="G614" s="245"/>
      <c r="H614" s="246" t="s">
        <v>1</v>
      </c>
      <c r="I614" s="248"/>
      <c r="J614" s="245"/>
      <c r="K614" s="245"/>
      <c r="L614" s="249"/>
      <c r="M614" s="250"/>
      <c r="N614" s="251"/>
      <c r="O614" s="251"/>
      <c r="P614" s="251"/>
      <c r="Q614" s="251"/>
      <c r="R614" s="251"/>
      <c r="S614" s="251"/>
      <c r="T614" s="252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T614" s="253" t="s">
        <v>165</v>
      </c>
      <c r="AU614" s="253" t="s">
        <v>86</v>
      </c>
      <c r="AV614" s="14" t="s">
        <v>8</v>
      </c>
      <c r="AW614" s="14" t="s">
        <v>32</v>
      </c>
      <c r="AX614" s="14" t="s">
        <v>77</v>
      </c>
      <c r="AY614" s="253" t="s">
        <v>157</v>
      </c>
    </row>
    <row r="615" s="13" customFormat="1">
      <c r="A615" s="13"/>
      <c r="B615" s="232"/>
      <c r="C615" s="233"/>
      <c r="D615" s="234" t="s">
        <v>165</v>
      </c>
      <c r="E615" s="235" t="s">
        <v>1</v>
      </c>
      <c r="F615" s="236" t="s">
        <v>1068</v>
      </c>
      <c r="G615" s="233"/>
      <c r="H615" s="237">
        <v>288.98899999999998</v>
      </c>
      <c r="I615" s="238"/>
      <c r="J615" s="233"/>
      <c r="K615" s="233"/>
      <c r="L615" s="239"/>
      <c r="M615" s="240"/>
      <c r="N615" s="241"/>
      <c r="O615" s="241"/>
      <c r="P615" s="241"/>
      <c r="Q615" s="241"/>
      <c r="R615" s="241"/>
      <c r="S615" s="241"/>
      <c r="T615" s="242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T615" s="243" t="s">
        <v>165</v>
      </c>
      <c r="AU615" s="243" t="s">
        <v>86</v>
      </c>
      <c r="AV615" s="13" t="s">
        <v>86</v>
      </c>
      <c r="AW615" s="13" t="s">
        <v>32</v>
      </c>
      <c r="AX615" s="13" t="s">
        <v>77</v>
      </c>
      <c r="AY615" s="243" t="s">
        <v>157</v>
      </c>
    </row>
    <row r="616" s="13" customFormat="1">
      <c r="A616" s="13"/>
      <c r="B616" s="232"/>
      <c r="C616" s="233"/>
      <c r="D616" s="234" t="s">
        <v>165</v>
      </c>
      <c r="E616" s="235" t="s">
        <v>1</v>
      </c>
      <c r="F616" s="236" t="s">
        <v>1069</v>
      </c>
      <c r="G616" s="233"/>
      <c r="H616" s="237">
        <v>341.54300000000001</v>
      </c>
      <c r="I616" s="238"/>
      <c r="J616" s="233"/>
      <c r="K616" s="233"/>
      <c r="L616" s="239"/>
      <c r="M616" s="240"/>
      <c r="N616" s="241"/>
      <c r="O616" s="241"/>
      <c r="P616" s="241"/>
      <c r="Q616" s="241"/>
      <c r="R616" s="241"/>
      <c r="S616" s="241"/>
      <c r="T616" s="242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T616" s="243" t="s">
        <v>165</v>
      </c>
      <c r="AU616" s="243" t="s">
        <v>86</v>
      </c>
      <c r="AV616" s="13" t="s">
        <v>86</v>
      </c>
      <c r="AW616" s="13" t="s">
        <v>32</v>
      </c>
      <c r="AX616" s="13" t="s">
        <v>77</v>
      </c>
      <c r="AY616" s="243" t="s">
        <v>157</v>
      </c>
    </row>
    <row r="617" s="14" customFormat="1">
      <c r="A617" s="14"/>
      <c r="B617" s="244"/>
      <c r="C617" s="245"/>
      <c r="D617" s="234" t="s">
        <v>165</v>
      </c>
      <c r="E617" s="246" t="s">
        <v>1</v>
      </c>
      <c r="F617" s="247" t="s">
        <v>1070</v>
      </c>
      <c r="G617" s="245"/>
      <c r="H617" s="246" t="s">
        <v>1</v>
      </c>
      <c r="I617" s="248"/>
      <c r="J617" s="245"/>
      <c r="K617" s="245"/>
      <c r="L617" s="249"/>
      <c r="M617" s="250"/>
      <c r="N617" s="251"/>
      <c r="O617" s="251"/>
      <c r="P617" s="251"/>
      <c r="Q617" s="251"/>
      <c r="R617" s="251"/>
      <c r="S617" s="251"/>
      <c r="T617" s="252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T617" s="253" t="s">
        <v>165</v>
      </c>
      <c r="AU617" s="253" t="s">
        <v>86</v>
      </c>
      <c r="AV617" s="14" t="s">
        <v>8</v>
      </c>
      <c r="AW617" s="14" t="s">
        <v>32</v>
      </c>
      <c r="AX617" s="14" t="s">
        <v>77</v>
      </c>
      <c r="AY617" s="253" t="s">
        <v>157</v>
      </c>
    </row>
    <row r="618" s="13" customFormat="1">
      <c r="A618" s="13"/>
      <c r="B618" s="232"/>
      <c r="C618" s="233"/>
      <c r="D618" s="234" t="s">
        <v>165</v>
      </c>
      <c r="E618" s="235" t="s">
        <v>1</v>
      </c>
      <c r="F618" s="236" t="s">
        <v>1071</v>
      </c>
      <c r="G618" s="233"/>
      <c r="H618" s="237">
        <v>88.536000000000001</v>
      </c>
      <c r="I618" s="238"/>
      <c r="J618" s="233"/>
      <c r="K618" s="233"/>
      <c r="L618" s="239"/>
      <c r="M618" s="240"/>
      <c r="N618" s="241"/>
      <c r="O618" s="241"/>
      <c r="P618" s="241"/>
      <c r="Q618" s="241"/>
      <c r="R618" s="241"/>
      <c r="S618" s="241"/>
      <c r="T618" s="242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T618" s="243" t="s">
        <v>165</v>
      </c>
      <c r="AU618" s="243" t="s">
        <v>86</v>
      </c>
      <c r="AV618" s="13" t="s">
        <v>86</v>
      </c>
      <c r="AW618" s="13" t="s">
        <v>32</v>
      </c>
      <c r="AX618" s="13" t="s">
        <v>77</v>
      </c>
      <c r="AY618" s="243" t="s">
        <v>157</v>
      </c>
    </row>
    <row r="619" s="14" customFormat="1">
      <c r="A619" s="14"/>
      <c r="B619" s="244"/>
      <c r="C619" s="245"/>
      <c r="D619" s="234" t="s">
        <v>165</v>
      </c>
      <c r="E619" s="246" t="s">
        <v>1</v>
      </c>
      <c r="F619" s="247" t="s">
        <v>1072</v>
      </c>
      <c r="G619" s="245"/>
      <c r="H619" s="246" t="s">
        <v>1</v>
      </c>
      <c r="I619" s="248"/>
      <c r="J619" s="245"/>
      <c r="K619" s="245"/>
      <c r="L619" s="249"/>
      <c r="M619" s="250"/>
      <c r="N619" s="251"/>
      <c r="O619" s="251"/>
      <c r="P619" s="251"/>
      <c r="Q619" s="251"/>
      <c r="R619" s="251"/>
      <c r="S619" s="251"/>
      <c r="T619" s="252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T619" s="253" t="s">
        <v>165</v>
      </c>
      <c r="AU619" s="253" t="s">
        <v>86</v>
      </c>
      <c r="AV619" s="14" t="s">
        <v>8</v>
      </c>
      <c r="AW619" s="14" t="s">
        <v>32</v>
      </c>
      <c r="AX619" s="14" t="s">
        <v>77</v>
      </c>
      <c r="AY619" s="253" t="s">
        <v>157</v>
      </c>
    </row>
    <row r="620" s="13" customFormat="1">
      <c r="A620" s="13"/>
      <c r="B620" s="232"/>
      <c r="C620" s="233"/>
      <c r="D620" s="234" t="s">
        <v>165</v>
      </c>
      <c r="E620" s="235" t="s">
        <v>1</v>
      </c>
      <c r="F620" s="236" t="s">
        <v>1073</v>
      </c>
      <c r="G620" s="233"/>
      <c r="H620" s="237">
        <v>288.714</v>
      </c>
      <c r="I620" s="238"/>
      <c r="J620" s="233"/>
      <c r="K620" s="233"/>
      <c r="L620" s="239"/>
      <c r="M620" s="240"/>
      <c r="N620" s="241"/>
      <c r="O620" s="241"/>
      <c r="P620" s="241"/>
      <c r="Q620" s="241"/>
      <c r="R620" s="241"/>
      <c r="S620" s="241"/>
      <c r="T620" s="242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T620" s="243" t="s">
        <v>165</v>
      </c>
      <c r="AU620" s="243" t="s">
        <v>86</v>
      </c>
      <c r="AV620" s="13" t="s">
        <v>86</v>
      </c>
      <c r="AW620" s="13" t="s">
        <v>32</v>
      </c>
      <c r="AX620" s="13" t="s">
        <v>77</v>
      </c>
      <c r="AY620" s="243" t="s">
        <v>157</v>
      </c>
    </row>
    <row r="621" s="13" customFormat="1">
      <c r="A621" s="13"/>
      <c r="B621" s="232"/>
      <c r="C621" s="233"/>
      <c r="D621" s="234" t="s">
        <v>165</v>
      </c>
      <c r="E621" s="235" t="s">
        <v>1</v>
      </c>
      <c r="F621" s="236" t="s">
        <v>1074</v>
      </c>
      <c r="G621" s="233"/>
      <c r="H621" s="237">
        <v>-17.789999999999999</v>
      </c>
      <c r="I621" s="238"/>
      <c r="J621" s="233"/>
      <c r="K621" s="233"/>
      <c r="L621" s="239"/>
      <c r="M621" s="240"/>
      <c r="N621" s="241"/>
      <c r="O621" s="241"/>
      <c r="P621" s="241"/>
      <c r="Q621" s="241"/>
      <c r="R621" s="241"/>
      <c r="S621" s="241"/>
      <c r="T621" s="242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T621" s="243" t="s">
        <v>165</v>
      </c>
      <c r="AU621" s="243" t="s">
        <v>86</v>
      </c>
      <c r="AV621" s="13" t="s">
        <v>86</v>
      </c>
      <c r="AW621" s="13" t="s">
        <v>32</v>
      </c>
      <c r="AX621" s="13" t="s">
        <v>77</v>
      </c>
      <c r="AY621" s="243" t="s">
        <v>157</v>
      </c>
    </row>
    <row r="622" s="14" customFormat="1">
      <c r="A622" s="14"/>
      <c r="B622" s="244"/>
      <c r="C622" s="245"/>
      <c r="D622" s="234" t="s">
        <v>165</v>
      </c>
      <c r="E622" s="246" t="s">
        <v>1</v>
      </c>
      <c r="F622" s="247" t="s">
        <v>1075</v>
      </c>
      <c r="G622" s="245"/>
      <c r="H622" s="246" t="s">
        <v>1</v>
      </c>
      <c r="I622" s="248"/>
      <c r="J622" s="245"/>
      <c r="K622" s="245"/>
      <c r="L622" s="249"/>
      <c r="M622" s="250"/>
      <c r="N622" s="251"/>
      <c r="O622" s="251"/>
      <c r="P622" s="251"/>
      <c r="Q622" s="251"/>
      <c r="R622" s="251"/>
      <c r="S622" s="251"/>
      <c r="T622" s="252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T622" s="253" t="s">
        <v>165</v>
      </c>
      <c r="AU622" s="253" t="s">
        <v>86</v>
      </c>
      <c r="AV622" s="14" t="s">
        <v>8</v>
      </c>
      <c r="AW622" s="14" t="s">
        <v>32</v>
      </c>
      <c r="AX622" s="14" t="s">
        <v>77</v>
      </c>
      <c r="AY622" s="253" t="s">
        <v>157</v>
      </c>
    </row>
    <row r="623" s="13" customFormat="1">
      <c r="A623" s="13"/>
      <c r="B623" s="232"/>
      <c r="C623" s="233"/>
      <c r="D623" s="234" t="s">
        <v>165</v>
      </c>
      <c r="E623" s="235" t="s">
        <v>1</v>
      </c>
      <c r="F623" s="236" t="s">
        <v>1076</v>
      </c>
      <c r="G623" s="233"/>
      <c r="H623" s="237">
        <v>739.94399999999996</v>
      </c>
      <c r="I623" s="238"/>
      <c r="J623" s="233"/>
      <c r="K623" s="233"/>
      <c r="L623" s="239"/>
      <c r="M623" s="240"/>
      <c r="N623" s="241"/>
      <c r="O623" s="241"/>
      <c r="P623" s="241"/>
      <c r="Q623" s="241"/>
      <c r="R623" s="241"/>
      <c r="S623" s="241"/>
      <c r="T623" s="242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T623" s="243" t="s">
        <v>165</v>
      </c>
      <c r="AU623" s="243" t="s">
        <v>86</v>
      </c>
      <c r="AV623" s="13" t="s">
        <v>86</v>
      </c>
      <c r="AW623" s="13" t="s">
        <v>32</v>
      </c>
      <c r="AX623" s="13" t="s">
        <v>77</v>
      </c>
      <c r="AY623" s="243" t="s">
        <v>157</v>
      </c>
    </row>
    <row r="624" s="13" customFormat="1">
      <c r="A624" s="13"/>
      <c r="B624" s="232"/>
      <c r="C624" s="233"/>
      <c r="D624" s="234" t="s">
        <v>165</v>
      </c>
      <c r="E624" s="235" t="s">
        <v>1</v>
      </c>
      <c r="F624" s="236" t="s">
        <v>1077</v>
      </c>
      <c r="G624" s="233"/>
      <c r="H624" s="237">
        <v>-150.715</v>
      </c>
      <c r="I624" s="238"/>
      <c r="J624" s="233"/>
      <c r="K624" s="233"/>
      <c r="L624" s="239"/>
      <c r="M624" s="240"/>
      <c r="N624" s="241"/>
      <c r="O624" s="241"/>
      <c r="P624" s="241"/>
      <c r="Q624" s="241"/>
      <c r="R624" s="241"/>
      <c r="S624" s="241"/>
      <c r="T624" s="242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T624" s="243" t="s">
        <v>165</v>
      </c>
      <c r="AU624" s="243" t="s">
        <v>86</v>
      </c>
      <c r="AV624" s="13" t="s">
        <v>86</v>
      </c>
      <c r="AW624" s="13" t="s">
        <v>32</v>
      </c>
      <c r="AX624" s="13" t="s">
        <v>77</v>
      </c>
      <c r="AY624" s="243" t="s">
        <v>157</v>
      </c>
    </row>
    <row r="625" s="2" customFormat="1" ht="24.15" customHeight="1">
      <c r="A625" s="37"/>
      <c r="B625" s="38"/>
      <c r="C625" s="218" t="s">
        <v>1078</v>
      </c>
      <c r="D625" s="218" t="s">
        <v>159</v>
      </c>
      <c r="E625" s="219" t="s">
        <v>1079</v>
      </c>
      <c r="F625" s="220" t="s">
        <v>1080</v>
      </c>
      <c r="G625" s="221" t="s">
        <v>209</v>
      </c>
      <c r="H625" s="222">
        <v>33.75</v>
      </c>
      <c r="I625" s="223"/>
      <c r="J625" s="224">
        <f>ROUND(I625*H625,0)</f>
        <v>0</v>
      </c>
      <c r="K625" s="225"/>
      <c r="L625" s="43"/>
      <c r="M625" s="226" t="s">
        <v>1</v>
      </c>
      <c r="N625" s="227" t="s">
        <v>42</v>
      </c>
      <c r="O625" s="90"/>
      <c r="P625" s="228">
        <f>O625*H625</f>
        <v>0</v>
      </c>
      <c r="Q625" s="228">
        <v>0.027199999999999998</v>
      </c>
      <c r="R625" s="228">
        <f>Q625*H625</f>
        <v>0.91799999999999993</v>
      </c>
      <c r="S625" s="228">
        <v>0</v>
      </c>
      <c r="T625" s="229">
        <f>S625*H625</f>
        <v>0</v>
      </c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R625" s="230" t="s">
        <v>246</v>
      </c>
      <c r="AT625" s="230" t="s">
        <v>159</v>
      </c>
      <c r="AU625" s="230" t="s">
        <v>86</v>
      </c>
      <c r="AY625" s="16" t="s">
        <v>157</v>
      </c>
      <c r="BE625" s="231">
        <f>IF(N625="základní",J625,0)</f>
        <v>0</v>
      </c>
      <c r="BF625" s="231">
        <f>IF(N625="snížená",J625,0)</f>
        <v>0</v>
      </c>
      <c r="BG625" s="231">
        <f>IF(N625="zákl. přenesená",J625,0)</f>
        <v>0</v>
      </c>
      <c r="BH625" s="231">
        <f>IF(N625="sníž. přenesená",J625,0)</f>
        <v>0</v>
      </c>
      <c r="BI625" s="231">
        <f>IF(N625="nulová",J625,0)</f>
        <v>0</v>
      </c>
      <c r="BJ625" s="16" t="s">
        <v>8</v>
      </c>
      <c r="BK625" s="231">
        <f>ROUND(I625*H625,0)</f>
        <v>0</v>
      </c>
      <c r="BL625" s="16" t="s">
        <v>246</v>
      </c>
      <c r="BM625" s="230" t="s">
        <v>1081</v>
      </c>
    </row>
    <row r="626" s="14" customFormat="1">
      <c r="A626" s="14"/>
      <c r="B626" s="244"/>
      <c r="C626" s="245"/>
      <c r="D626" s="234" t="s">
        <v>165</v>
      </c>
      <c r="E626" s="246" t="s">
        <v>1</v>
      </c>
      <c r="F626" s="247" t="s">
        <v>1082</v>
      </c>
      <c r="G626" s="245"/>
      <c r="H626" s="246" t="s">
        <v>1</v>
      </c>
      <c r="I626" s="248"/>
      <c r="J626" s="245"/>
      <c r="K626" s="245"/>
      <c r="L626" s="249"/>
      <c r="M626" s="250"/>
      <c r="N626" s="251"/>
      <c r="O626" s="251"/>
      <c r="P626" s="251"/>
      <c r="Q626" s="251"/>
      <c r="R626" s="251"/>
      <c r="S626" s="251"/>
      <c r="T626" s="252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T626" s="253" t="s">
        <v>165</v>
      </c>
      <c r="AU626" s="253" t="s">
        <v>86</v>
      </c>
      <c r="AV626" s="14" t="s">
        <v>8</v>
      </c>
      <c r="AW626" s="14" t="s">
        <v>32</v>
      </c>
      <c r="AX626" s="14" t="s">
        <v>77</v>
      </c>
      <c r="AY626" s="253" t="s">
        <v>157</v>
      </c>
    </row>
    <row r="627" s="13" customFormat="1">
      <c r="A627" s="13"/>
      <c r="B627" s="232"/>
      <c r="C627" s="233"/>
      <c r="D627" s="234" t="s">
        <v>165</v>
      </c>
      <c r="E627" s="235" t="s">
        <v>1</v>
      </c>
      <c r="F627" s="236" t="s">
        <v>1083</v>
      </c>
      <c r="G627" s="233"/>
      <c r="H627" s="237">
        <v>17.010000000000002</v>
      </c>
      <c r="I627" s="238"/>
      <c r="J627" s="233"/>
      <c r="K627" s="233"/>
      <c r="L627" s="239"/>
      <c r="M627" s="240"/>
      <c r="N627" s="241"/>
      <c r="O627" s="241"/>
      <c r="P627" s="241"/>
      <c r="Q627" s="241"/>
      <c r="R627" s="241"/>
      <c r="S627" s="241"/>
      <c r="T627" s="242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T627" s="243" t="s">
        <v>165</v>
      </c>
      <c r="AU627" s="243" t="s">
        <v>86</v>
      </c>
      <c r="AV627" s="13" t="s">
        <v>86</v>
      </c>
      <c r="AW627" s="13" t="s">
        <v>32</v>
      </c>
      <c r="AX627" s="13" t="s">
        <v>77</v>
      </c>
      <c r="AY627" s="243" t="s">
        <v>157</v>
      </c>
    </row>
    <row r="628" s="13" customFormat="1">
      <c r="A628" s="13"/>
      <c r="B628" s="232"/>
      <c r="C628" s="233"/>
      <c r="D628" s="234" t="s">
        <v>165</v>
      </c>
      <c r="E628" s="235" t="s">
        <v>1</v>
      </c>
      <c r="F628" s="236" t="s">
        <v>1084</v>
      </c>
      <c r="G628" s="233"/>
      <c r="H628" s="237">
        <v>16.739999999999998</v>
      </c>
      <c r="I628" s="238"/>
      <c r="J628" s="233"/>
      <c r="K628" s="233"/>
      <c r="L628" s="239"/>
      <c r="M628" s="240"/>
      <c r="N628" s="241"/>
      <c r="O628" s="241"/>
      <c r="P628" s="241"/>
      <c r="Q628" s="241"/>
      <c r="R628" s="241"/>
      <c r="S628" s="241"/>
      <c r="T628" s="242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T628" s="243" t="s">
        <v>165</v>
      </c>
      <c r="AU628" s="243" t="s">
        <v>86</v>
      </c>
      <c r="AV628" s="13" t="s">
        <v>86</v>
      </c>
      <c r="AW628" s="13" t="s">
        <v>32</v>
      </c>
      <c r="AX628" s="13" t="s">
        <v>77</v>
      </c>
      <c r="AY628" s="243" t="s">
        <v>157</v>
      </c>
    </row>
    <row r="629" s="2" customFormat="1" ht="33" customHeight="1">
      <c r="A629" s="37"/>
      <c r="B629" s="38"/>
      <c r="C629" s="218" t="s">
        <v>1085</v>
      </c>
      <c r="D629" s="218" t="s">
        <v>159</v>
      </c>
      <c r="E629" s="219" t="s">
        <v>1086</v>
      </c>
      <c r="F629" s="220" t="s">
        <v>1087</v>
      </c>
      <c r="G629" s="221" t="s">
        <v>209</v>
      </c>
      <c r="H629" s="222">
        <v>281.94299999999998</v>
      </c>
      <c r="I629" s="223"/>
      <c r="J629" s="224">
        <f>ROUND(I629*H629,0)</f>
        <v>0</v>
      </c>
      <c r="K629" s="225"/>
      <c r="L629" s="43"/>
      <c r="M629" s="226" t="s">
        <v>1</v>
      </c>
      <c r="N629" s="227" t="s">
        <v>42</v>
      </c>
      <c r="O629" s="90"/>
      <c r="P629" s="228">
        <f>O629*H629</f>
        <v>0</v>
      </c>
      <c r="Q629" s="228">
        <v>0.028549999999999999</v>
      </c>
      <c r="R629" s="228">
        <f>Q629*H629</f>
        <v>8.0494726499999985</v>
      </c>
      <c r="S629" s="228">
        <v>0</v>
      </c>
      <c r="T629" s="229">
        <f>S629*H629</f>
        <v>0</v>
      </c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R629" s="230" t="s">
        <v>246</v>
      </c>
      <c r="AT629" s="230" t="s">
        <v>159</v>
      </c>
      <c r="AU629" s="230" t="s">
        <v>86</v>
      </c>
      <c r="AY629" s="16" t="s">
        <v>157</v>
      </c>
      <c r="BE629" s="231">
        <f>IF(N629="základní",J629,0)</f>
        <v>0</v>
      </c>
      <c r="BF629" s="231">
        <f>IF(N629="snížená",J629,0)</f>
        <v>0</v>
      </c>
      <c r="BG629" s="231">
        <f>IF(N629="zákl. přenesená",J629,0)</f>
        <v>0</v>
      </c>
      <c r="BH629" s="231">
        <f>IF(N629="sníž. přenesená",J629,0)</f>
        <v>0</v>
      </c>
      <c r="BI629" s="231">
        <f>IF(N629="nulová",J629,0)</f>
        <v>0</v>
      </c>
      <c r="BJ629" s="16" t="s">
        <v>8</v>
      </c>
      <c r="BK629" s="231">
        <f>ROUND(I629*H629,0)</f>
        <v>0</v>
      </c>
      <c r="BL629" s="16" t="s">
        <v>246</v>
      </c>
      <c r="BM629" s="230" t="s">
        <v>1088</v>
      </c>
    </row>
    <row r="630" s="14" customFormat="1">
      <c r="A630" s="14"/>
      <c r="B630" s="244"/>
      <c r="C630" s="245"/>
      <c r="D630" s="234" t="s">
        <v>165</v>
      </c>
      <c r="E630" s="246" t="s">
        <v>1</v>
      </c>
      <c r="F630" s="247" t="s">
        <v>1064</v>
      </c>
      <c r="G630" s="245"/>
      <c r="H630" s="246" t="s">
        <v>1</v>
      </c>
      <c r="I630" s="248"/>
      <c r="J630" s="245"/>
      <c r="K630" s="245"/>
      <c r="L630" s="249"/>
      <c r="M630" s="250"/>
      <c r="N630" s="251"/>
      <c r="O630" s="251"/>
      <c r="P630" s="251"/>
      <c r="Q630" s="251"/>
      <c r="R630" s="251"/>
      <c r="S630" s="251"/>
      <c r="T630" s="252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T630" s="253" t="s">
        <v>165</v>
      </c>
      <c r="AU630" s="253" t="s">
        <v>86</v>
      </c>
      <c r="AV630" s="14" t="s">
        <v>8</v>
      </c>
      <c r="AW630" s="14" t="s">
        <v>32</v>
      </c>
      <c r="AX630" s="14" t="s">
        <v>77</v>
      </c>
      <c r="AY630" s="253" t="s">
        <v>157</v>
      </c>
    </row>
    <row r="631" s="13" customFormat="1">
      <c r="A631" s="13"/>
      <c r="B631" s="232"/>
      <c r="C631" s="233"/>
      <c r="D631" s="234" t="s">
        <v>165</v>
      </c>
      <c r="E631" s="235" t="s">
        <v>1</v>
      </c>
      <c r="F631" s="236" t="s">
        <v>1089</v>
      </c>
      <c r="G631" s="233"/>
      <c r="H631" s="237">
        <v>44.676000000000002</v>
      </c>
      <c r="I631" s="238"/>
      <c r="J631" s="233"/>
      <c r="K631" s="233"/>
      <c r="L631" s="239"/>
      <c r="M631" s="240"/>
      <c r="N631" s="241"/>
      <c r="O631" s="241"/>
      <c r="P631" s="241"/>
      <c r="Q631" s="241"/>
      <c r="R631" s="241"/>
      <c r="S631" s="241"/>
      <c r="T631" s="242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T631" s="243" t="s">
        <v>165</v>
      </c>
      <c r="AU631" s="243" t="s">
        <v>86</v>
      </c>
      <c r="AV631" s="13" t="s">
        <v>86</v>
      </c>
      <c r="AW631" s="13" t="s">
        <v>32</v>
      </c>
      <c r="AX631" s="13" t="s">
        <v>77</v>
      </c>
      <c r="AY631" s="243" t="s">
        <v>157</v>
      </c>
    </row>
    <row r="632" s="13" customFormat="1">
      <c r="A632" s="13"/>
      <c r="B632" s="232"/>
      <c r="C632" s="233"/>
      <c r="D632" s="234" t="s">
        <v>165</v>
      </c>
      <c r="E632" s="235" t="s">
        <v>1</v>
      </c>
      <c r="F632" s="236" t="s">
        <v>1090</v>
      </c>
      <c r="G632" s="233"/>
      <c r="H632" s="237">
        <v>12.763999999999999</v>
      </c>
      <c r="I632" s="238"/>
      <c r="J632" s="233"/>
      <c r="K632" s="233"/>
      <c r="L632" s="239"/>
      <c r="M632" s="240"/>
      <c r="N632" s="241"/>
      <c r="O632" s="241"/>
      <c r="P632" s="241"/>
      <c r="Q632" s="241"/>
      <c r="R632" s="241"/>
      <c r="S632" s="241"/>
      <c r="T632" s="242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T632" s="243" t="s">
        <v>165</v>
      </c>
      <c r="AU632" s="243" t="s">
        <v>86</v>
      </c>
      <c r="AV632" s="13" t="s">
        <v>86</v>
      </c>
      <c r="AW632" s="13" t="s">
        <v>32</v>
      </c>
      <c r="AX632" s="13" t="s">
        <v>77</v>
      </c>
      <c r="AY632" s="243" t="s">
        <v>157</v>
      </c>
    </row>
    <row r="633" s="14" customFormat="1">
      <c r="A633" s="14"/>
      <c r="B633" s="244"/>
      <c r="C633" s="245"/>
      <c r="D633" s="234" t="s">
        <v>165</v>
      </c>
      <c r="E633" s="246" t="s">
        <v>1</v>
      </c>
      <c r="F633" s="247" t="s">
        <v>1067</v>
      </c>
      <c r="G633" s="245"/>
      <c r="H633" s="246" t="s">
        <v>1</v>
      </c>
      <c r="I633" s="248"/>
      <c r="J633" s="245"/>
      <c r="K633" s="245"/>
      <c r="L633" s="249"/>
      <c r="M633" s="250"/>
      <c r="N633" s="251"/>
      <c r="O633" s="251"/>
      <c r="P633" s="251"/>
      <c r="Q633" s="251"/>
      <c r="R633" s="251"/>
      <c r="S633" s="251"/>
      <c r="T633" s="252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T633" s="253" t="s">
        <v>165</v>
      </c>
      <c r="AU633" s="253" t="s">
        <v>86</v>
      </c>
      <c r="AV633" s="14" t="s">
        <v>8</v>
      </c>
      <c r="AW633" s="14" t="s">
        <v>32</v>
      </c>
      <c r="AX633" s="14" t="s">
        <v>77</v>
      </c>
      <c r="AY633" s="253" t="s">
        <v>157</v>
      </c>
    </row>
    <row r="634" s="13" customFormat="1">
      <c r="A634" s="13"/>
      <c r="B634" s="232"/>
      <c r="C634" s="233"/>
      <c r="D634" s="234" t="s">
        <v>165</v>
      </c>
      <c r="E634" s="235" t="s">
        <v>1</v>
      </c>
      <c r="F634" s="236" t="s">
        <v>1091</v>
      </c>
      <c r="G634" s="233"/>
      <c r="H634" s="237">
        <v>20.501999999999999</v>
      </c>
      <c r="I634" s="238"/>
      <c r="J634" s="233"/>
      <c r="K634" s="233"/>
      <c r="L634" s="239"/>
      <c r="M634" s="240"/>
      <c r="N634" s="241"/>
      <c r="O634" s="241"/>
      <c r="P634" s="241"/>
      <c r="Q634" s="241"/>
      <c r="R634" s="241"/>
      <c r="S634" s="241"/>
      <c r="T634" s="242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T634" s="243" t="s">
        <v>165</v>
      </c>
      <c r="AU634" s="243" t="s">
        <v>86</v>
      </c>
      <c r="AV634" s="13" t="s">
        <v>86</v>
      </c>
      <c r="AW634" s="13" t="s">
        <v>32</v>
      </c>
      <c r="AX634" s="13" t="s">
        <v>77</v>
      </c>
      <c r="AY634" s="243" t="s">
        <v>157</v>
      </c>
    </row>
    <row r="635" s="14" customFormat="1">
      <c r="A635" s="14"/>
      <c r="B635" s="244"/>
      <c r="C635" s="245"/>
      <c r="D635" s="234" t="s">
        <v>165</v>
      </c>
      <c r="E635" s="246" t="s">
        <v>1</v>
      </c>
      <c r="F635" s="247" t="s">
        <v>1070</v>
      </c>
      <c r="G635" s="245"/>
      <c r="H635" s="246" t="s">
        <v>1</v>
      </c>
      <c r="I635" s="248"/>
      <c r="J635" s="245"/>
      <c r="K635" s="245"/>
      <c r="L635" s="249"/>
      <c r="M635" s="250"/>
      <c r="N635" s="251"/>
      <c r="O635" s="251"/>
      <c r="P635" s="251"/>
      <c r="Q635" s="251"/>
      <c r="R635" s="251"/>
      <c r="S635" s="251"/>
      <c r="T635" s="252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T635" s="253" t="s">
        <v>165</v>
      </c>
      <c r="AU635" s="253" t="s">
        <v>86</v>
      </c>
      <c r="AV635" s="14" t="s">
        <v>8</v>
      </c>
      <c r="AW635" s="14" t="s">
        <v>32</v>
      </c>
      <c r="AX635" s="14" t="s">
        <v>77</v>
      </c>
      <c r="AY635" s="253" t="s">
        <v>157</v>
      </c>
    </row>
    <row r="636" s="13" customFormat="1">
      <c r="A636" s="13"/>
      <c r="B636" s="232"/>
      <c r="C636" s="233"/>
      <c r="D636" s="234" t="s">
        <v>165</v>
      </c>
      <c r="E636" s="235" t="s">
        <v>1</v>
      </c>
      <c r="F636" s="236" t="s">
        <v>1092</v>
      </c>
      <c r="G636" s="233"/>
      <c r="H636" s="237">
        <v>35.496000000000002</v>
      </c>
      <c r="I636" s="238"/>
      <c r="J636" s="233"/>
      <c r="K636" s="233"/>
      <c r="L636" s="239"/>
      <c r="M636" s="240"/>
      <c r="N636" s="241"/>
      <c r="O636" s="241"/>
      <c r="P636" s="241"/>
      <c r="Q636" s="241"/>
      <c r="R636" s="241"/>
      <c r="S636" s="241"/>
      <c r="T636" s="242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T636" s="243" t="s">
        <v>165</v>
      </c>
      <c r="AU636" s="243" t="s">
        <v>86</v>
      </c>
      <c r="AV636" s="13" t="s">
        <v>86</v>
      </c>
      <c r="AW636" s="13" t="s">
        <v>32</v>
      </c>
      <c r="AX636" s="13" t="s">
        <v>77</v>
      </c>
      <c r="AY636" s="243" t="s">
        <v>157</v>
      </c>
    </row>
    <row r="637" s="14" customFormat="1">
      <c r="A637" s="14"/>
      <c r="B637" s="244"/>
      <c r="C637" s="245"/>
      <c r="D637" s="234" t="s">
        <v>165</v>
      </c>
      <c r="E637" s="246" t="s">
        <v>1</v>
      </c>
      <c r="F637" s="247" t="s">
        <v>1072</v>
      </c>
      <c r="G637" s="245"/>
      <c r="H637" s="246" t="s">
        <v>1</v>
      </c>
      <c r="I637" s="248"/>
      <c r="J637" s="245"/>
      <c r="K637" s="245"/>
      <c r="L637" s="249"/>
      <c r="M637" s="250"/>
      <c r="N637" s="251"/>
      <c r="O637" s="251"/>
      <c r="P637" s="251"/>
      <c r="Q637" s="251"/>
      <c r="R637" s="251"/>
      <c r="S637" s="251"/>
      <c r="T637" s="252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T637" s="253" t="s">
        <v>165</v>
      </c>
      <c r="AU637" s="253" t="s">
        <v>86</v>
      </c>
      <c r="AV637" s="14" t="s">
        <v>8</v>
      </c>
      <c r="AW637" s="14" t="s">
        <v>32</v>
      </c>
      <c r="AX637" s="14" t="s">
        <v>77</v>
      </c>
      <c r="AY637" s="253" t="s">
        <v>157</v>
      </c>
    </row>
    <row r="638" s="13" customFormat="1">
      <c r="A638" s="13"/>
      <c r="B638" s="232"/>
      <c r="C638" s="233"/>
      <c r="D638" s="234" t="s">
        <v>165</v>
      </c>
      <c r="E638" s="235" t="s">
        <v>1</v>
      </c>
      <c r="F638" s="236" t="s">
        <v>1093</v>
      </c>
      <c r="G638" s="233"/>
      <c r="H638" s="237">
        <v>17.789999999999999</v>
      </c>
      <c r="I638" s="238"/>
      <c r="J638" s="233"/>
      <c r="K638" s="233"/>
      <c r="L638" s="239"/>
      <c r="M638" s="240"/>
      <c r="N638" s="241"/>
      <c r="O638" s="241"/>
      <c r="P638" s="241"/>
      <c r="Q638" s="241"/>
      <c r="R638" s="241"/>
      <c r="S638" s="241"/>
      <c r="T638" s="242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T638" s="243" t="s">
        <v>165</v>
      </c>
      <c r="AU638" s="243" t="s">
        <v>86</v>
      </c>
      <c r="AV638" s="13" t="s">
        <v>86</v>
      </c>
      <c r="AW638" s="13" t="s">
        <v>32</v>
      </c>
      <c r="AX638" s="13" t="s">
        <v>77</v>
      </c>
      <c r="AY638" s="243" t="s">
        <v>157</v>
      </c>
    </row>
    <row r="639" s="14" customFormat="1">
      <c r="A639" s="14"/>
      <c r="B639" s="244"/>
      <c r="C639" s="245"/>
      <c r="D639" s="234" t="s">
        <v>165</v>
      </c>
      <c r="E639" s="246" t="s">
        <v>1</v>
      </c>
      <c r="F639" s="247" t="s">
        <v>1075</v>
      </c>
      <c r="G639" s="245"/>
      <c r="H639" s="246" t="s">
        <v>1</v>
      </c>
      <c r="I639" s="248"/>
      <c r="J639" s="245"/>
      <c r="K639" s="245"/>
      <c r="L639" s="249"/>
      <c r="M639" s="250"/>
      <c r="N639" s="251"/>
      <c r="O639" s="251"/>
      <c r="P639" s="251"/>
      <c r="Q639" s="251"/>
      <c r="R639" s="251"/>
      <c r="S639" s="251"/>
      <c r="T639" s="252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T639" s="253" t="s">
        <v>165</v>
      </c>
      <c r="AU639" s="253" t="s">
        <v>86</v>
      </c>
      <c r="AV639" s="14" t="s">
        <v>8</v>
      </c>
      <c r="AW639" s="14" t="s">
        <v>32</v>
      </c>
      <c r="AX639" s="14" t="s">
        <v>77</v>
      </c>
      <c r="AY639" s="253" t="s">
        <v>157</v>
      </c>
    </row>
    <row r="640" s="13" customFormat="1">
      <c r="A640" s="13"/>
      <c r="B640" s="232"/>
      <c r="C640" s="233"/>
      <c r="D640" s="234" t="s">
        <v>165</v>
      </c>
      <c r="E640" s="235" t="s">
        <v>1</v>
      </c>
      <c r="F640" s="236" t="s">
        <v>1094</v>
      </c>
      <c r="G640" s="233"/>
      <c r="H640" s="237">
        <v>150.715</v>
      </c>
      <c r="I640" s="238"/>
      <c r="J640" s="233"/>
      <c r="K640" s="233"/>
      <c r="L640" s="239"/>
      <c r="M640" s="240"/>
      <c r="N640" s="241"/>
      <c r="O640" s="241"/>
      <c r="P640" s="241"/>
      <c r="Q640" s="241"/>
      <c r="R640" s="241"/>
      <c r="S640" s="241"/>
      <c r="T640" s="242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T640" s="243" t="s">
        <v>165</v>
      </c>
      <c r="AU640" s="243" t="s">
        <v>86</v>
      </c>
      <c r="AV640" s="13" t="s">
        <v>86</v>
      </c>
      <c r="AW640" s="13" t="s">
        <v>32</v>
      </c>
      <c r="AX640" s="13" t="s">
        <v>77</v>
      </c>
      <c r="AY640" s="243" t="s">
        <v>157</v>
      </c>
    </row>
    <row r="641" s="2" customFormat="1" ht="24.15" customHeight="1">
      <c r="A641" s="37"/>
      <c r="B641" s="38"/>
      <c r="C641" s="218" t="s">
        <v>1095</v>
      </c>
      <c r="D641" s="218" t="s">
        <v>159</v>
      </c>
      <c r="E641" s="219" t="s">
        <v>1096</v>
      </c>
      <c r="F641" s="220" t="s">
        <v>1097</v>
      </c>
      <c r="G641" s="221" t="s">
        <v>209</v>
      </c>
      <c r="H641" s="222">
        <v>130.02000000000001</v>
      </c>
      <c r="I641" s="223"/>
      <c r="J641" s="224">
        <f>ROUND(I641*H641,0)</f>
        <v>0</v>
      </c>
      <c r="K641" s="225"/>
      <c r="L641" s="43"/>
      <c r="M641" s="226" t="s">
        <v>1</v>
      </c>
      <c r="N641" s="227" t="s">
        <v>42</v>
      </c>
      <c r="O641" s="90"/>
      <c r="P641" s="228">
        <f>O641*H641</f>
        <v>0</v>
      </c>
      <c r="Q641" s="228">
        <v>0.016920000000000001</v>
      </c>
      <c r="R641" s="228">
        <f>Q641*H641</f>
        <v>2.1999384000000002</v>
      </c>
      <c r="S641" s="228">
        <v>0</v>
      </c>
      <c r="T641" s="229">
        <f>S641*H641</f>
        <v>0</v>
      </c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R641" s="230" t="s">
        <v>246</v>
      </c>
      <c r="AT641" s="230" t="s">
        <v>159</v>
      </c>
      <c r="AU641" s="230" t="s">
        <v>86</v>
      </c>
      <c r="AY641" s="16" t="s">
        <v>157</v>
      </c>
      <c r="BE641" s="231">
        <f>IF(N641="základní",J641,0)</f>
        <v>0</v>
      </c>
      <c r="BF641" s="231">
        <f>IF(N641="snížená",J641,0)</f>
        <v>0</v>
      </c>
      <c r="BG641" s="231">
        <f>IF(N641="zákl. přenesená",J641,0)</f>
        <v>0</v>
      </c>
      <c r="BH641" s="231">
        <f>IF(N641="sníž. přenesená",J641,0)</f>
        <v>0</v>
      </c>
      <c r="BI641" s="231">
        <f>IF(N641="nulová",J641,0)</f>
        <v>0</v>
      </c>
      <c r="BJ641" s="16" t="s">
        <v>8</v>
      </c>
      <c r="BK641" s="231">
        <f>ROUND(I641*H641,0)</f>
        <v>0</v>
      </c>
      <c r="BL641" s="16" t="s">
        <v>246</v>
      </c>
      <c r="BM641" s="230" t="s">
        <v>1098</v>
      </c>
    </row>
    <row r="642" s="13" customFormat="1">
      <c r="A642" s="13"/>
      <c r="B642" s="232"/>
      <c r="C642" s="233"/>
      <c r="D642" s="234" t="s">
        <v>165</v>
      </c>
      <c r="E642" s="235" t="s">
        <v>1</v>
      </c>
      <c r="F642" s="236" t="s">
        <v>1099</v>
      </c>
      <c r="G642" s="233"/>
      <c r="H642" s="237">
        <v>84.420000000000002</v>
      </c>
      <c r="I642" s="238"/>
      <c r="J642" s="233"/>
      <c r="K642" s="233"/>
      <c r="L642" s="239"/>
      <c r="M642" s="240"/>
      <c r="N642" s="241"/>
      <c r="O642" s="241"/>
      <c r="P642" s="241"/>
      <c r="Q642" s="241"/>
      <c r="R642" s="241"/>
      <c r="S642" s="241"/>
      <c r="T642" s="242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T642" s="243" t="s">
        <v>165</v>
      </c>
      <c r="AU642" s="243" t="s">
        <v>86</v>
      </c>
      <c r="AV642" s="13" t="s">
        <v>86</v>
      </c>
      <c r="AW642" s="13" t="s">
        <v>32</v>
      </c>
      <c r="AX642" s="13" t="s">
        <v>77</v>
      </c>
      <c r="AY642" s="243" t="s">
        <v>157</v>
      </c>
    </row>
    <row r="643" s="13" customFormat="1">
      <c r="A643" s="13"/>
      <c r="B643" s="232"/>
      <c r="C643" s="233"/>
      <c r="D643" s="234" t="s">
        <v>165</v>
      </c>
      <c r="E643" s="235" t="s">
        <v>1</v>
      </c>
      <c r="F643" s="236" t="s">
        <v>1100</v>
      </c>
      <c r="G643" s="233"/>
      <c r="H643" s="237">
        <v>45.600000000000001</v>
      </c>
      <c r="I643" s="238"/>
      <c r="J643" s="233"/>
      <c r="K643" s="233"/>
      <c r="L643" s="239"/>
      <c r="M643" s="240"/>
      <c r="N643" s="241"/>
      <c r="O643" s="241"/>
      <c r="P643" s="241"/>
      <c r="Q643" s="241"/>
      <c r="R643" s="241"/>
      <c r="S643" s="241"/>
      <c r="T643" s="242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T643" s="243" t="s">
        <v>165</v>
      </c>
      <c r="AU643" s="243" t="s">
        <v>86</v>
      </c>
      <c r="AV643" s="13" t="s">
        <v>86</v>
      </c>
      <c r="AW643" s="13" t="s">
        <v>32</v>
      </c>
      <c r="AX643" s="13" t="s">
        <v>77</v>
      </c>
      <c r="AY643" s="243" t="s">
        <v>157</v>
      </c>
    </row>
    <row r="644" s="2" customFormat="1" ht="24.15" customHeight="1">
      <c r="A644" s="37"/>
      <c r="B644" s="38"/>
      <c r="C644" s="218" t="s">
        <v>1101</v>
      </c>
      <c r="D644" s="218" t="s">
        <v>159</v>
      </c>
      <c r="E644" s="219" t="s">
        <v>1102</v>
      </c>
      <c r="F644" s="220" t="s">
        <v>1103</v>
      </c>
      <c r="G644" s="221" t="s">
        <v>209</v>
      </c>
      <c r="H644" s="222">
        <v>23.140000000000001</v>
      </c>
      <c r="I644" s="223"/>
      <c r="J644" s="224">
        <f>ROUND(I644*H644,0)</f>
        <v>0</v>
      </c>
      <c r="K644" s="225"/>
      <c r="L644" s="43"/>
      <c r="M644" s="226" t="s">
        <v>1</v>
      </c>
      <c r="N644" s="227" t="s">
        <v>42</v>
      </c>
      <c r="O644" s="90"/>
      <c r="P644" s="228">
        <f>O644*H644</f>
        <v>0</v>
      </c>
      <c r="Q644" s="228">
        <v>0.013860000000000001</v>
      </c>
      <c r="R644" s="228">
        <f>Q644*H644</f>
        <v>0.32072040000000002</v>
      </c>
      <c r="S644" s="228">
        <v>0</v>
      </c>
      <c r="T644" s="229">
        <f>S644*H644</f>
        <v>0</v>
      </c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R644" s="230" t="s">
        <v>246</v>
      </c>
      <c r="AT644" s="230" t="s">
        <v>159</v>
      </c>
      <c r="AU644" s="230" t="s">
        <v>86</v>
      </c>
      <c r="AY644" s="16" t="s">
        <v>157</v>
      </c>
      <c r="BE644" s="231">
        <f>IF(N644="základní",J644,0)</f>
        <v>0</v>
      </c>
      <c r="BF644" s="231">
        <f>IF(N644="snížená",J644,0)</f>
        <v>0</v>
      </c>
      <c r="BG644" s="231">
        <f>IF(N644="zákl. přenesená",J644,0)</f>
        <v>0</v>
      </c>
      <c r="BH644" s="231">
        <f>IF(N644="sníž. přenesená",J644,0)</f>
        <v>0</v>
      </c>
      <c r="BI644" s="231">
        <f>IF(N644="nulová",J644,0)</f>
        <v>0</v>
      </c>
      <c r="BJ644" s="16" t="s">
        <v>8</v>
      </c>
      <c r="BK644" s="231">
        <f>ROUND(I644*H644,0)</f>
        <v>0</v>
      </c>
      <c r="BL644" s="16" t="s">
        <v>246</v>
      </c>
      <c r="BM644" s="230" t="s">
        <v>1104</v>
      </c>
    </row>
    <row r="645" s="13" customFormat="1">
      <c r="A645" s="13"/>
      <c r="B645" s="232"/>
      <c r="C645" s="233"/>
      <c r="D645" s="234" t="s">
        <v>165</v>
      </c>
      <c r="E645" s="235" t="s">
        <v>1</v>
      </c>
      <c r="F645" s="236" t="s">
        <v>1105</v>
      </c>
      <c r="G645" s="233"/>
      <c r="H645" s="237">
        <v>23.140000000000001</v>
      </c>
      <c r="I645" s="238"/>
      <c r="J645" s="233"/>
      <c r="K645" s="233"/>
      <c r="L645" s="239"/>
      <c r="M645" s="240"/>
      <c r="N645" s="241"/>
      <c r="O645" s="241"/>
      <c r="P645" s="241"/>
      <c r="Q645" s="241"/>
      <c r="R645" s="241"/>
      <c r="S645" s="241"/>
      <c r="T645" s="242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T645" s="243" t="s">
        <v>165</v>
      </c>
      <c r="AU645" s="243" t="s">
        <v>86</v>
      </c>
      <c r="AV645" s="13" t="s">
        <v>86</v>
      </c>
      <c r="AW645" s="13" t="s">
        <v>32</v>
      </c>
      <c r="AX645" s="13" t="s">
        <v>77</v>
      </c>
      <c r="AY645" s="243" t="s">
        <v>157</v>
      </c>
    </row>
    <row r="646" s="2" customFormat="1" ht="16.5" customHeight="1">
      <c r="A646" s="37"/>
      <c r="B646" s="38"/>
      <c r="C646" s="218" t="s">
        <v>1106</v>
      </c>
      <c r="D646" s="218" t="s">
        <v>159</v>
      </c>
      <c r="E646" s="219" t="s">
        <v>1107</v>
      </c>
      <c r="F646" s="220" t="s">
        <v>1108</v>
      </c>
      <c r="G646" s="221" t="s">
        <v>209</v>
      </c>
      <c r="H646" s="222">
        <v>70.819999999999993</v>
      </c>
      <c r="I646" s="223"/>
      <c r="J646" s="224">
        <f>ROUND(I646*H646,0)</f>
        <v>0</v>
      </c>
      <c r="K646" s="225"/>
      <c r="L646" s="43"/>
      <c r="M646" s="226" t="s">
        <v>1</v>
      </c>
      <c r="N646" s="227" t="s">
        <v>42</v>
      </c>
      <c r="O646" s="90"/>
      <c r="P646" s="228">
        <f>O646*H646</f>
        <v>0</v>
      </c>
      <c r="Q646" s="228">
        <v>0</v>
      </c>
      <c r="R646" s="228">
        <f>Q646*H646</f>
        <v>0</v>
      </c>
      <c r="S646" s="228">
        <v>0</v>
      </c>
      <c r="T646" s="229">
        <f>S646*H646</f>
        <v>0</v>
      </c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R646" s="230" t="s">
        <v>246</v>
      </c>
      <c r="AT646" s="230" t="s">
        <v>159</v>
      </c>
      <c r="AU646" s="230" t="s">
        <v>86</v>
      </c>
      <c r="AY646" s="16" t="s">
        <v>157</v>
      </c>
      <c r="BE646" s="231">
        <f>IF(N646="základní",J646,0)</f>
        <v>0</v>
      </c>
      <c r="BF646" s="231">
        <f>IF(N646="snížená",J646,0)</f>
        <v>0</v>
      </c>
      <c r="BG646" s="231">
        <f>IF(N646="zákl. přenesená",J646,0)</f>
        <v>0</v>
      </c>
      <c r="BH646" s="231">
        <f>IF(N646="sníž. přenesená",J646,0)</f>
        <v>0</v>
      </c>
      <c r="BI646" s="231">
        <f>IF(N646="nulová",J646,0)</f>
        <v>0</v>
      </c>
      <c r="BJ646" s="16" t="s">
        <v>8</v>
      </c>
      <c r="BK646" s="231">
        <f>ROUND(I646*H646,0)</f>
        <v>0</v>
      </c>
      <c r="BL646" s="16" t="s">
        <v>246</v>
      </c>
      <c r="BM646" s="230" t="s">
        <v>1109</v>
      </c>
    </row>
    <row r="647" s="13" customFormat="1">
      <c r="A647" s="13"/>
      <c r="B647" s="232"/>
      <c r="C647" s="233"/>
      <c r="D647" s="234" t="s">
        <v>165</v>
      </c>
      <c r="E647" s="235" t="s">
        <v>1</v>
      </c>
      <c r="F647" s="236" t="s">
        <v>1110</v>
      </c>
      <c r="G647" s="233"/>
      <c r="H647" s="237">
        <v>70.819999999999993</v>
      </c>
      <c r="I647" s="238"/>
      <c r="J647" s="233"/>
      <c r="K647" s="233"/>
      <c r="L647" s="239"/>
      <c r="M647" s="240"/>
      <c r="N647" s="241"/>
      <c r="O647" s="241"/>
      <c r="P647" s="241"/>
      <c r="Q647" s="241"/>
      <c r="R647" s="241"/>
      <c r="S647" s="241"/>
      <c r="T647" s="242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T647" s="243" t="s">
        <v>165</v>
      </c>
      <c r="AU647" s="243" t="s">
        <v>86</v>
      </c>
      <c r="AV647" s="13" t="s">
        <v>86</v>
      </c>
      <c r="AW647" s="13" t="s">
        <v>32</v>
      </c>
      <c r="AX647" s="13" t="s">
        <v>77</v>
      </c>
      <c r="AY647" s="243" t="s">
        <v>157</v>
      </c>
    </row>
    <row r="648" s="2" customFormat="1" ht="24.15" customHeight="1">
      <c r="A648" s="37"/>
      <c r="B648" s="38"/>
      <c r="C648" s="254" t="s">
        <v>1111</v>
      </c>
      <c r="D648" s="254" t="s">
        <v>229</v>
      </c>
      <c r="E648" s="255" t="s">
        <v>733</v>
      </c>
      <c r="F648" s="256" t="s">
        <v>734</v>
      </c>
      <c r="G648" s="257" t="s">
        <v>209</v>
      </c>
      <c r="H648" s="258">
        <v>39.783000000000001</v>
      </c>
      <c r="I648" s="259"/>
      <c r="J648" s="260">
        <f>ROUND(I648*H648,0)</f>
        <v>0</v>
      </c>
      <c r="K648" s="261"/>
      <c r="L648" s="262"/>
      <c r="M648" s="263" t="s">
        <v>1</v>
      </c>
      <c r="N648" s="264" t="s">
        <v>42</v>
      </c>
      <c r="O648" s="90"/>
      <c r="P648" s="228">
        <f>O648*H648</f>
        <v>0</v>
      </c>
      <c r="Q648" s="228">
        <v>0.00016000000000000001</v>
      </c>
      <c r="R648" s="228">
        <f>Q648*H648</f>
        <v>0.0063652800000000009</v>
      </c>
      <c r="S648" s="228">
        <v>0</v>
      </c>
      <c r="T648" s="229">
        <f>S648*H648</f>
        <v>0</v>
      </c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R648" s="230" t="s">
        <v>329</v>
      </c>
      <c r="AT648" s="230" t="s">
        <v>229</v>
      </c>
      <c r="AU648" s="230" t="s">
        <v>86</v>
      </c>
      <c r="AY648" s="16" t="s">
        <v>157</v>
      </c>
      <c r="BE648" s="231">
        <f>IF(N648="základní",J648,0)</f>
        <v>0</v>
      </c>
      <c r="BF648" s="231">
        <f>IF(N648="snížená",J648,0)</f>
        <v>0</v>
      </c>
      <c r="BG648" s="231">
        <f>IF(N648="zákl. přenesená",J648,0)</f>
        <v>0</v>
      </c>
      <c r="BH648" s="231">
        <f>IF(N648="sníž. přenesená",J648,0)</f>
        <v>0</v>
      </c>
      <c r="BI648" s="231">
        <f>IF(N648="nulová",J648,0)</f>
        <v>0</v>
      </c>
      <c r="BJ648" s="16" t="s">
        <v>8</v>
      </c>
      <c r="BK648" s="231">
        <f>ROUND(I648*H648,0)</f>
        <v>0</v>
      </c>
      <c r="BL648" s="16" t="s">
        <v>246</v>
      </c>
      <c r="BM648" s="230" t="s">
        <v>1112</v>
      </c>
    </row>
    <row r="649" s="13" customFormat="1">
      <c r="A649" s="13"/>
      <c r="B649" s="232"/>
      <c r="C649" s="233"/>
      <c r="D649" s="234" t="s">
        <v>165</v>
      </c>
      <c r="E649" s="235" t="s">
        <v>1</v>
      </c>
      <c r="F649" s="236" t="s">
        <v>1113</v>
      </c>
      <c r="G649" s="233"/>
      <c r="H649" s="237">
        <v>35.409999999999997</v>
      </c>
      <c r="I649" s="238"/>
      <c r="J649" s="233"/>
      <c r="K649" s="233"/>
      <c r="L649" s="239"/>
      <c r="M649" s="240"/>
      <c r="N649" s="241"/>
      <c r="O649" s="241"/>
      <c r="P649" s="241"/>
      <c r="Q649" s="241"/>
      <c r="R649" s="241"/>
      <c r="S649" s="241"/>
      <c r="T649" s="242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T649" s="243" t="s">
        <v>165</v>
      </c>
      <c r="AU649" s="243" t="s">
        <v>86</v>
      </c>
      <c r="AV649" s="13" t="s">
        <v>86</v>
      </c>
      <c r="AW649" s="13" t="s">
        <v>32</v>
      </c>
      <c r="AX649" s="13" t="s">
        <v>8</v>
      </c>
      <c r="AY649" s="243" t="s">
        <v>157</v>
      </c>
    </row>
    <row r="650" s="13" customFormat="1">
      <c r="A650" s="13"/>
      <c r="B650" s="232"/>
      <c r="C650" s="233"/>
      <c r="D650" s="234" t="s">
        <v>165</v>
      </c>
      <c r="E650" s="233"/>
      <c r="F650" s="236" t="s">
        <v>1114</v>
      </c>
      <c r="G650" s="233"/>
      <c r="H650" s="237">
        <v>39.783000000000001</v>
      </c>
      <c r="I650" s="238"/>
      <c r="J650" s="233"/>
      <c r="K650" s="233"/>
      <c r="L650" s="239"/>
      <c r="M650" s="240"/>
      <c r="N650" s="241"/>
      <c r="O650" s="241"/>
      <c r="P650" s="241"/>
      <c r="Q650" s="241"/>
      <c r="R650" s="241"/>
      <c r="S650" s="241"/>
      <c r="T650" s="242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T650" s="243" t="s">
        <v>165</v>
      </c>
      <c r="AU650" s="243" t="s">
        <v>86</v>
      </c>
      <c r="AV650" s="13" t="s">
        <v>86</v>
      </c>
      <c r="AW650" s="13" t="s">
        <v>4</v>
      </c>
      <c r="AX650" s="13" t="s">
        <v>8</v>
      </c>
      <c r="AY650" s="243" t="s">
        <v>157</v>
      </c>
    </row>
    <row r="651" s="2" customFormat="1" ht="37.8" customHeight="1">
      <c r="A651" s="37"/>
      <c r="B651" s="38"/>
      <c r="C651" s="254" t="s">
        <v>1115</v>
      </c>
      <c r="D651" s="254" t="s">
        <v>229</v>
      </c>
      <c r="E651" s="255" t="s">
        <v>1116</v>
      </c>
      <c r="F651" s="256" t="s">
        <v>1117</v>
      </c>
      <c r="G651" s="257" t="s">
        <v>209</v>
      </c>
      <c r="H651" s="258">
        <v>39.783000000000001</v>
      </c>
      <c r="I651" s="259"/>
      <c r="J651" s="260">
        <f>ROUND(I651*H651,0)</f>
        <v>0</v>
      </c>
      <c r="K651" s="261"/>
      <c r="L651" s="262"/>
      <c r="M651" s="263" t="s">
        <v>1</v>
      </c>
      <c r="N651" s="264" t="s">
        <v>42</v>
      </c>
      <c r="O651" s="90"/>
      <c r="P651" s="228">
        <f>O651*H651</f>
        <v>0</v>
      </c>
      <c r="Q651" s="228">
        <v>0.00014999999999999999</v>
      </c>
      <c r="R651" s="228">
        <f>Q651*H651</f>
        <v>0.00596745</v>
      </c>
      <c r="S651" s="228">
        <v>0</v>
      </c>
      <c r="T651" s="229">
        <f>S651*H651</f>
        <v>0</v>
      </c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R651" s="230" t="s">
        <v>329</v>
      </c>
      <c r="AT651" s="230" t="s">
        <v>229</v>
      </c>
      <c r="AU651" s="230" t="s">
        <v>86</v>
      </c>
      <c r="AY651" s="16" t="s">
        <v>157</v>
      </c>
      <c r="BE651" s="231">
        <f>IF(N651="základní",J651,0)</f>
        <v>0</v>
      </c>
      <c r="BF651" s="231">
        <f>IF(N651="snížená",J651,0)</f>
        <v>0</v>
      </c>
      <c r="BG651" s="231">
        <f>IF(N651="zákl. přenesená",J651,0)</f>
        <v>0</v>
      </c>
      <c r="BH651" s="231">
        <f>IF(N651="sníž. přenesená",J651,0)</f>
        <v>0</v>
      </c>
      <c r="BI651" s="231">
        <f>IF(N651="nulová",J651,0)</f>
        <v>0</v>
      </c>
      <c r="BJ651" s="16" t="s">
        <v>8</v>
      </c>
      <c r="BK651" s="231">
        <f>ROUND(I651*H651,0)</f>
        <v>0</v>
      </c>
      <c r="BL651" s="16" t="s">
        <v>246</v>
      </c>
      <c r="BM651" s="230" t="s">
        <v>1118</v>
      </c>
    </row>
    <row r="652" s="13" customFormat="1">
      <c r="A652" s="13"/>
      <c r="B652" s="232"/>
      <c r="C652" s="233"/>
      <c r="D652" s="234" t="s">
        <v>165</v>
      </c>
      <c r="E652" s="235" t="s">
        <v>1</v>
      </c>
      <c r="F652" s="236" t="s">
        <v>1113</v>
      </c>
      <c r="G652" s="233"/>
      <c r="H652" s="237">
        <v>35.409999999999997</v>
      </c>
      <c r="I652" s="238"/>
      <c r="J652" s="233"/>
      <c r="K652" s="233"/>
      <c r="L652" s="239"/>
      <c r="M652" s="240"/>
      <c r="N652" s="241"/>
      <c r="O652" s="241"/>
      <c r="P652" s="241"/>
      <c r="Q652" s="241"/>
      <c r="R652" s="241"/>
      <c r="S652" s="241"/>
      <c r="T652" s="242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T652" s="243" t="s">
        <v>165</v>
      </c>
      <c r="AU652" s="243" t="s">
        <v>86</v>
      </c>
      <c r="AV652" s="13" t="s">
        <v>86</v>
      </c>
      <c r="AW652" s="13" t="s">
        <v>32</v>
      </c>
      <c r="AX652" s="13" t="s">
        <v>8</v>
      </c>
      <c r="AY652" s="243" t="s">
        <v>157</v>
      </c>
    </row>
    <row r="653" s="13" customFormat="1">
      <c r="A653" s="13"/>
      <c r="B653" s="232"/>
      <c r="C653" s="233"/>
      <c r="D653" s="234" t="s">
        <v>165</v>
      </c>
      <c r="E653" s="233"/>
      <c r="F653" s="236" t="s">
        <v>1114</v>
      </c>
      <c r="G653" s="233"/>
      <c r="H653" s="237">
        <v>39.783000000000001</v>
      </c>
      <c r="I653" s="238"/>
      <c r="J653" s="233"/>
      <c r="K653" s="233"/>
      <c r="L653" s="239"/>
      <c r="M653" s="240"/>
      <c r="N653" s="241"/>
      <c r="O653" s="241"/>
      <c r="P653" s="241"/>
      <c r="Q653" s="241"/>
      <c r="R653" s="241"/>
      <c r="S653" s="241"/>
      <c r="T653" s="242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T653" s="243" t="s">
        <v>165</v>
      </c>
      <c r="AU653" s="243" t="s">
        <v>86</v>
      </c>
      <c r="AV653" s="13" t="s">
        <v>86</v>
      </c>
      <c r="AW653" s="13" t="s">
        <v>4</v>
      </c>
      <c r="AX653" s="13" t="s">
        <v>8</v>
      </c>
      <c r="AY653" s="243" t="s">
        <v>157</v>
      </c>
    </row>
    <row r="654" s="2" customFormat="1" ht="21.75" customHeight="1">
      <c r="A654" s="37"/>
      <c r="B654" s="38"/>
      <c r="C654" s="218" t="s">
        <v>1119</v>
      </c>
      <c r="D654" s="218" t="s">
        <v>159</v>
      </c>
      <c r="E654" s="219" t="s">
        <v>1120</v>
      </c>
      <c r="F654" s="220" t="s">
        <v>1121</v>
      </c>
      <c r="G654" s="221" t="s">
        <v>209</v>
      </c>
      <c r="H654" s="222">
        <v>15.050000000000001</v>
      </c>
      <c r="I654" s="223"/>
      <c r="J654" s="224">
        <f>ROUND(I654*H654,0)</f>
        <v>0</v>
      </c>
      <c r="K654" s="225"/>
      <c r="L654" s="43"/>
      <c r="M654" s="226" t="s">
        <v>1</v>
      </c>
      <c r="N654" s="227" t="s">
        <v>42</v>
      </c>
      <c r="O654" s="90"/>
      <c r="P654" s="228">
        <f>O654*H654</f>
        <v>0</v>
      </c>
      <c r="Q654" s="228">
        <v>0</v>
      </c>
      <c r="R654" s="228">
        <f>Q654*H654</f>
        <v>0</v>
      </c>
      <c r="S654" s="228">
        <v>0</v>
      </c>
      <c r="T654" s="229">
        <f>S654*H654</f>
        <v>0</v>
      </c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R654" s="230" t="s">
        <v>246</v>
      </c>
      <c r="AT654" s="230" t="s">
        <v>159</v>
      </c>
      <c r="AU654" s="230" t="s">
        <v>86</v>
      </c>
      <c r="AY654" s="16" t="s">
        <v>157</v>
      </c>
      <c r="BE654" s="231">
        <f>IF(N654="základní",J654,0)</f>
        <v>0</v>
      </c>
      <c r="BF654" s="231">
        <f>IF(N654="snížená",J654,0)</f>
        <v>0</v>
      </c>
      <c r="BG654" s="231">
        <f>IF(N654="zákl. přenesená",J654,0)</f>
        <v>0</v>
      </c>
      <c r="BH654" s="231">
        <f>IF(N654="sníž. přenesená",J654,0)</f>
        <v>0</v>
      </c>
      <c r="BI654" s="231">
        <f>IF(N654="nulová",J654,0)</f>
        <v>0</v>
      </c>
      <c r="BJ654" s="16" t="s">
        <v>8</v>
      </c>
      <c r="BK654" s="231">
        <f>ROUND(I654*H654,0)</f>
        <v>0</v>
      </c>
      <c r="BL654" s="16" t="s">
        <v>246</v>
      </c>
      <c r="BM654" s="230" t="s">
        <v>1122</v>
      </c>
    </row>
    <row r="655" s="13" customFormat="1">
      <c r="A655" s="13"/>
      <c r="B655" s="232"/>
      <c r="C655" s="233"/>
      <c r="D655" s="234" t="s">
        <v>165</v>
      </c>
      <c r="E655" s="235" t="s">
        <v>1</v>
      </c>
      <c r="F655" s="236" t="s">
        <v>1123</v>
      </c>
      <c r="G655" s="233"/>
      <c r="H655" s="237">
        <v>15.050000000000001</v>
      </c>
      <c r="I655" s="238"/>
      <c r="J655" s="233"/>
      <c r="K655" s="233"/>
      <c r="L655" s="239"/>
      <c r="M655" s="240"/>
      <c r="N655" s="241"/>
      <c r="O655" s="241"/>
      <c r="P655" s="241"/>
      <c r="Q655" s="241"/>
      <c r="R655" s="241"/>
      <c r="S655" s="241"/>
      <c r="T655" s="242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T655" s="243" t="s">
        <v>165</v>
      </c>
      <c r="AU655" s="243" t="s">
        <v>86</v>
      </c>
      <c r="AV655" s="13" t="s">
        <v>86</v>
      </c>
      <c r="AW655" s="13" t="s">
        <v>32</v>
      </c>
      <c r="AX655" s="13" t="s">
        <v>77</v>
      </c>
      <c r="AY655" s="243" t="s">
        <v>157</v>
      </c>
    </row>
    <row r="656" s="2" customFormat="1" ht="33" customHeight="1">
      <c r="A656" s="37"/>
      <c r="B656" s="38"/>
      <c r="C656" s="218" t="s">
        <v>1124</v>
      </c>
      <c r="D656" s="218" t="s">
        <v>159</v>
      </c>
      <c r="E656" s="219" t="s">
        <v>1125</v>
      </c>
      <c r="F656" s="220" t="s">
        <v>1126</v>
      </c>
      <c r="G656" s="221" t="s">
        <v>209</v>
      </c>
      <c r="H656" s="222">
        <v>993.13999999999999</v>
      </c>
      <c r="I656" s="223"/>
      <c r="J656" s="224">
        <f>ROUND(I656*H656,0)</f>
        <v>0</v>
      </c>
      <c r="K656" s="225"/>
      <c r="L656" s="43"/>
      <c r="M656" s="226" t="s">
        <v>1</v>
      </c>
      <c r="N656" s="227" t="s">
        <v>42</v>
      </c>
      <c r="O656" s="90"/>
      <c r="P656" s="228">
        <f>O656*H656</f>
        <v>0</v>
      </c>
      <c r="Q656" s="228">
        <v>0.00125</v>
      </c>
      <c r="R656" s="228">
        <f>Q656*H656</f>
        <v>1.241425</v>
      </c>
      <c r="S656" s="228">
        <v>0</v>
      </c>
      <c r="T656" s="229">
        <f>S656*H656</f>
        <v>0</v>
      </c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R656" s="230" t="s">
        <v>246</v>
      </c>
      <c r="AT656" s="230" t="s">
        <v>159</v>
      </c>
      <c r="AU656" s="230" t="s">
        <v>86</v>
      </c>
      <c r="AY656" s="16" t="s">
        <v>157</v>
      </c>
      <c r="BE656" s="231">
        <f>IF(N656="základní",J656,0)</f>
        <v>0</v>
      </c>
      <c r="BF656" s="231">
        <f>IF(N656="snížená",J656,0)</f>
        <v>0</v>
      </c>
      <c r="BG656" s="231">
        <f>IF(N656="zákl. přenesená",J656,0)</f>
        <v>0</v>
      </c>
      <c r="BH656" s="231">
        <f>IF(N656="sníž. přenesená",J656,0)</f>
        <v>0</v>
      </c>
      <c r="BI656" s="231">
        <f>IF(N656="nulová",J656,0)</f>
        <v>0</v>
      </c>
      <c r="BJ656" s="16" t="s">
        <v>8</v>
      </c>
      <c r="BK656" s="231">
        <f>ROUND(I656*H656,0)</f>
        <v>0</v>
      </c>
      <c r="BL656" s="16" t="s">
        <v>246</v>
      </c>
      <c r="BM656" s="230" t="s">
        <v>1127</v>
      </c>
    </row>
    <row r="657" s="13" customFormat="1">
      <c r="A657" s="13"/>
      <c r="B657" s="232"/>
      <c r="C657" s="233"/>
      <c r="D657" s="234" t="s">
        <v>165</v>
      </c>
      <c r="E657" s="235" t="s">
        <v>1</v>
      </c>
      <c r="F657" s="236" t="s">
        <v>1128</v>
      </c>
      <c r="G657" s="233"/>
      <c r="H657" s="237">
        <v>471.18000000000001</v>
      </c>
      <c r="I657" s="238"/>
      <c r="J657" s="233"/>
      <c r="K657" s="233"/>
      <c r="L657" s="239"/>
      <c r="M657" s="240"/>
      <c r="N657" s="241"/>
      <c r="O657" s="241"/>
      <c r="P657" s="241"/>
      <c r="Q657" s="241"/>
      <c r="R657" s="241"/>
      <c r="S657" s="241"/>
      <c r="T657" s="242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T657" s="243" t="s">
        <v>165</v>
      </c>
      <c r="AU657" s="243" t="s">
        <v>86</v>
      </c>
      <c r="AV657" s="13" t="s">
        <v>86</v>
      </c>
      <c r="AW657" s="13" t="s">
        <v>32</v>
      </c>
      <c r="AX657" s="13" t="s">
        <v>77</v>
      </c>
      <c r="AY657" s="243" t="s">
        <v>157</v>
      </c>
    </row>
    <row r="658" s="13" customFormat="1">
      <c r="A658" s="13"/>
      <c r="B658" s="232"/>
      <c r="C658" s="233"/>
      <c r="D658" s="234" t="s">
        <v>165</v>
      </c>
      <c r="E658" s="235" t="s">
        <v>1</v>
      </c>
      <c r="F658" s="236" t="s">
        <v>1129</v>
      </c>
      <c r="G658" s="233"/>
      <c r="H658" s="237">
        <v>521.96000000000004</v>
      </c>
      <c r="I658" s="238"/>
      <c r="J658" s="233"/>
      <c r="K658" s="233"/>
      <c r="L658" s="239"/>
      <c r="M658" s="240"/>
      <c r="N658" s="241"/>
      <c r="O658" s="241"/>
      <c r="P658" s="241"/>
      <c r="Q658" s="241"/>
      <c r="R658" s="241"/>
      <c r="S658" s="241"/>
      <c r="T658" s="242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T658" s="243" t="s">
        <v>165</v>
      </c>
      <c r="AU658" s="243" t="s">
        <v>86</v>
      </c>
      <c r="AV658" s="13" t="s">
        <v>86</v>
      </c>
      <c r="AW658" s="13" t="s">
        <v>32</v>
      </c>
      <c r="AX658" s="13" t="s">
        <v>77</v>
      </c>
      <c r="AY658" s="243" t="s">
        <v>157</v>
      </c>
    </row>
    <row r="659" s="2" customFormat="1" ht="24.15" customHeight="1">
      <c r="A659" s="37"/>
      <c r="B659" s="38"/>
      <c r="C659" s="254" t="s">
        <v>1130</v>
      </c>
      <c r="D659" s="254" t="s">
        <v>229</v>
      </c>
      <c r="E659" s="255" t="s">
        <v>1131</v>
      </c>
      <c r="F659" s="256" t="s">
        <v>1132</v>
      </c>
      <c r="G659" s="257" t="s">
        <v>209</v>
      </c>
      <c r="H659" s="258">
        <v>1042.797</v>
      </c>
      <c r="I659" s="259"/>
      <c r="J659" s="260">
        <f>ROUND(I659*H659,0)</f>
        <v>0</v>
      </c>
      <c r="K659" s="261"/>
      <c r="L659" s="262"/>
      <c r="M659" s="263" t="s">
        <v>1</v>
      </c>
      <c r="N659" s="264" t="s">
        <v>42</v>
      </c>
      <c r="O659" s="90"/>
      <c r="P659" s="228">
        <f>O659*H659</f>
        <v>0</v>
      </c>
      <c r="Q659" s="228">
        <v>0.0080000000000000002</v>
      </c>
      <c r="R659" s="228">
        <f>Q659*H659</f>
        <v>8.3423759999999998</v>
      </c>
      <c r="S659" s="228">
        <v>0</v>
      </c>
      <c r="T659" s="229">
        <f>S659*H659</f>
        <v>0</v>
      </c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R659" s="230" t="s">
        <v>329</v>
      </c>
      <c r="AT659" s="230" t="s">
        <v>229</v>
      </c>
      <c r="AU659" s="230" t="s">
        <v>86</v>
      </c>
      <c r="AY659" s="16" t="s">
        <v>157</v>
      </c>
      <c r="BE659" s="231">
        <f>IF(N659="základní",J659,0)</f>
        <v>0</v>
      </c>
      <c r="BF659" s="231">
        <f>IF(N659="snížená",J659,0)</f>
        <v>0</v>
      </c>
      <c r="BG659" s="231">
        <f>IF(N659="zákl. přenesená",J659,0)</f>
        <v>0</v>
      </c>
      <c r="BH659" s="231">
        <f>IF(N659="sníž. přenesená",J659,0)</f>
        <v>0</v>
      </c>
      <c r="BI659" s="231">
        <f>IF(N659="nulová",J659,0)</f>
        <v>0</v>
      </c>
      <c r="BJ659" s="16" t="s">
        <v>8</v>
      </c>
      <c r="BK659" s="231">
        <f>ROUND(I659*H659,0)</f>
        <v>0</v>
      </c>
      <c r="BL659" s="16" t="s">
        <v>246</v>
      </c>
      <c r="BM659" s="230" t="s">
        <v>1133</v>
      </c>
    </row>
    <row r="660" s="13" customFormat="1">
      <c r="A660" s="13"/>
      <c r="B660" s="232"/>
      <c r="C660" s="233"/>
      <c r="D660" s="234" t="s">
        <v>165</v>
      </c>
      <c r="E660" s="235" t="s">
        <v>1</v>
      </c>
      <c r="F660" s="236" t="s">
        <v>1134</v>
      </c>
      <c r="G660" s="233"/>
      <c r="H660" s="237">
        <v>993.13999999999999</v>
      </c>
      <c r="I660" s="238"/>
      <c r="J660" s="233"/>
      <c r="K660" s="233"/>
      <c r="L660" s="239"/>
      <c r="M660" s="240"/>
      <c r="N660" s="241"/>
      <c r="O660" s="241"/>
      <c r="P660" s="241"/>
      <c r="Q660" s="241"/>
      <c r="R660" s="241"/>
      <c r="S660" s="241"/>
      <c r="T660" s="242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T660" s="243" t="s">
        <v>165</v>
      </c>
      <c r="AU660" s="243" t="s">
        <v>86</v>
      </c>
      <c r="AV660" s="13" t="s">
        <v>86</v>
      </c>
      <c r="AW660" s="13" t="s">
        <v>32</v>
      </c>
      <c r="AX660" s="13" t="s">
        <v>8</v>
      </c>
      <c r="AY660" s="243" t="s">
        <v>157</v>
      </c>
    </row>
    <row r="661" s="13" customFormat="1">
      <c r="A661" s="13"/>
      <c r="B661" s="232"/>
      <c r="C661" s="233"/>
      <c r="D661" s="234" t="s">
        <v>165</v>
      </c>
      <c r="E661" s="233"/>
      <c r="F661" s="236" t="s">
        <v>1135</v>
      </c>
      <c r="G661" s="233"/>
      <c r="H661" s="237">
        <v>1042.797</v>
      </c>
      <c r="I661" s="238"/>
      <c r="J661" s="233"/>
      <c r="K661" s="233"/>
      <c r="L661" s="239"/>
      <c r="M661" s="240"/>
      <c r="N661" s="241"/>
      <c r="O661" s="241"/>
      <c r="P661" s="241"/>
      <c r="Q661" s="241"/>
      <c r="R661" s="241"/>
      <c r="S661" s="241"/>
      <c r="T661" s="242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T661" s="243" t="s">
        <v>165</v>
      </c>
      <c r="AU661" s="243" t="s">
        <v>86</v>
      </c>
      <c r="AV661" s="13" t="s">
        <v>86</v>
      </c>
      <c r="AW661" s="13" t="s">
        <v>4</v>
      </c>
      <c r="AX661" s="13" t="s">
        <v>8</v>
      </c>
      <c r="AY661" s="243" t="s">
        <v>157</v>
      </c>
    </row>
    <row r="662" s="2" customFormat="1" ht="33" customHeight="1">
      <c r="A662" s="37"/>
      <c r="B662" s="38"/>
      <c r="C662" s="218" t="s">
        <v>1136</v>
      </c>
      <c r="D662" s="218" t="s">
        <v>159</v>
      </c>
      <c r="E662" s="219" t="s">
        <v>1137</v>
      </c>
      <c r="F662" s="220" t="s">
        <v>1138</v>
      </c>
      <c r="G662" s="221" t="s">
        <v>565</v>
      </c>
      <c r="H662" s="222">
        <v>20</v>
      </c>
      <c r="I662" s="223"/>
      <c r="J662" s="224">
        <f>ROUND(I662*H662,0)</f>
        <v>0</v>
      </c>
      <c r="K662" s="225"/>
      <c r="L662" s="43"/>
      <c r="M662" s="226" t="s">
        <v>1</v>
      </c>
      <c r="N662" s="227" t="s">
        <v>42</v>
      </c>
      <c r="O662" s="90"/>
      <c r="P662" s="228">
        <f>O662*H662</f>
        <v>0</v>
      </c>
      <c r="Q662" s="228">
        <v>0.00018000000000000001</v>
      </c>
      <c r="R662" s="228">
        <f>Q662*H662</f>
        <v>0.0036000000000000003</v>
      </c>
      <c r="S662" s="228">
        <v>0</v>
      </c>
      <c r="T662" s="229">
        <f>S662*H662</f>
        <v>0</v>
      </c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R662" s="230" t="s">
        <v>246</v>
      </c>
      <c r="AT662" s="230" t="s">
        <v>159</v>
      </c>
      <c r="AU662" s="230" t="s">
        <v>86</v>
      </c>
      <c r="AY662" s="16" t="s">
        <v>157</v>
      </c>
      <c r="BE662" s="231">
        <f>IF(N662="základní",J662,0)</f>
        <v>0</v>
      </c>
      <c r="BF662" s="231">
        <f>IF(N662="snížená",J662,0)</f>
        <v>0</v>
      </c>
      <c r="BG662" s="231">
        <f>IF(N662="zákl. přenesená",J662,0)</f>
        <v>0</v>
      </c>
      <c r="BH662" s="231">
        <f>IF(N662="sníž. přenesená",J662,0)</f>
        <v>0</v>
      </c>
      <c r="BI662" s="231">
        <f>IF(N662="nulová",J662,0)</f>
        <v>0</v>
      </c>
      <c r="BJ662" s="16" t="s">
        <v>8</v>
      </c>
      <c r="BK662" s="231">
        <f>ROUND(I662*H662,0)</f>
        <v>0</v>
      </c>
      <c r="BL662" s="16" t="s">
        <v>246</v>
      </c>
      <c r="BM662" s="230" t="s">
        <v>1139</v>
      </c>
    </row>
    <row r="663" s="2" customFormat="1" ht="24.15" customHeight="1">
      <c r="A663" s="37"/>
      <c r="B663" s="38"/>
      <c r="C663" s="218" t="s">
        <v>1140</v>
      </c>
      <c r="D663" s="218" t="s">
        <v>159</v>
      </c>
      <c r="E663" s="219" t="s">
        <v>1141</v>
      </c>
      <c r="F663" s="220" t="s">
        <v>1142</v>
      </c>
      <c r="G663" s="221" t="s">
        <v>565</v>
      </c>
      <c r="H663" s="222">
        <v>20</v>
      </c>
      <c r="I663" s="223"/>
      <c r="J663" s="224">
        <f>ROUND(I663*H663,0)</f>
        <v>0</v>
      </c>
      <c r="K663" s="225"/>
      <c r="L663" s="43"/>
      <c r="M663" s="226" t="s">
        <v>1</v>
      </c>
      <c r="N663" s="227" t="s">
        <v>42</v>
      </c>
      <c r="O663" s="90"/>
      <c r="P663" s="228">
        <f>O663*H663</f>
        <v>0</v>
      </c>
      <c r="Q663" s="228">
        <v>0.00018000000000000001</v>
      </c>
      <c r="R663" s="228">
        <f>Q663*H663</f>
        <v>0.0036000000000000003</v>
      </c>
      <c r="S663" s="228">
        <v>0</v>
      </c>
      <c r="T663" s="229">
        <f>S663*H663</f>
        <v>0</v>
      </c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R663" s="230" t="s">
        <v>246</v>
      </c>
      <c r="AT663" s="230" t="s">
        <v>159</v>
      </c>
      <c r="AU663" s="230" t="s">
        <v>86</v>
      </c>
      <c r="AY663" s="16" t="s">
        <v>157</v>
      </c>
      <c r="BE663" s="231">
        <f>IF(N663="základní",J663,0)</f>
        <v>0</v>
      </c>
      <c r="BF663" s="231">
        <f>IF(N663="snížená",J663,0)</f>
        <v>0</v>
      </c>
      <c r="BG663" s="231">
        <f>IF(N663="zákl. přenesená",J663,0)</f>
        <v>0</v>
      </c>
      <c r="BH663" s="231">
        <f>IF(N663="sníž. přenesená",J663,0)</f>
        <v>0</v>
      </c>
      <c r="BI663" s="231">
        <f>IF(N663="nulová",J663,0)</f>
        <v>0</v>
      </c>
      <c r="BJ663" s="16" t="s">
        <v>8</v>
      </c>
      <c r="BK663" s="231">
        <f>ROUND(I663*H663,0)</f>
        <v>0</v>
      </c>
      <c r="BL663" s="16" t="s">
        <v>246</v>
      </c>
      <c r="BM663" s="230" t="s">
        <v>1143</v>
      </c>
    </row>
    <row r="664" s="2" customFormat="1" ht="24.15" customHeight="1">
      <c r="A664" s="37"/>
      <c r="B664" s="38"/>
      <c r="C664" s="254" t="s">
        <v>1144</v>
      </c>
      <c r="D664" s="254" t="s">
        <v>229</v>
      </c>
      <c r="E664" s="255" t="s">
        <v>1145</v>
      </c>
      <c r="F664" s="256" t="s">
        <v>1146</v>
      </c>
      <c r="G664" s="257" t="s">
        <v>565</v>
      </c>
      <c r="H664" s="258">
        <v>40</v>
      </c>
      <c r="I664" s="259"/>
      <c r="J664" s="260">
        <f>ROUND(I664*H664,0)</f>
        <v>0</v>
      </c>
      <c r="K664" s="261"/>
      <c r="L664" s="262"/>
      <c r="M664" s="263" t="s">
        <v>1</v>
      </c>
      <c r="N664" s="264" t="s">
        <v>42</v>
      </c>
      <c r="O664" s="90"/>
      <c r="P664" s="228">
        <f>O664*H664</f>
        <v>0</v>
      </c>
      <c r="Q664" s="228">
        <v>0.0089999999999999993</v>
      </c>
      <c r="R664" s="228">
        <f>Q664*H664</f>
        <v>0.35999999999999999</v>
      </c>
      <c r="S664" s="228">
        <v>0</v>
      </c>
      <c r="T664" s="229">
        <f>S664*H664</f>
        <v>0</v>
      </c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R664" s="230" t="s">
        <v>329</v>
      </c>
      <c r="AT664" s="230" t="s">
        <v>229</v>
      </c>
      <c r="AU664" s="230" t="s">
        <v>86</v>
      </c>
      <c r="AY664" s="16" t="s">
        <v>157</v>
      </c>
      <c r="BE664" s="231">
        <f>IF(N664="základní",J664,0)</f>
        <v>0</v>
      </c>
      <c r="BF664" s="231">
        <f>IF(N664="snížená",J664,0)</f>
        <v>0</v>
      </c>
      <c r="BG664" s="231">
        <f>IF(N664="zákl. přenesená",J664,0)</f>
        <v>0</v>
      </c>
      <c r="BH664" s="231">
        <f>IF(N664="sníž. přenesená",J664,0)</f>
        <v>0</v>
      </c>
      <c r="BI664" s="231">
        <f>IF(N664="nulová",J664,0)</f>
        <v>0</v>
      </c>
      <c r="BJ664" s="16" t="s">
        <v>8</v>
      </c>
      <c r="BK664" s="231">
        <f>ROUND(I664*H664,0)</f>
        <v>0</v>
      </c>
      <c r="BL664" s="16" t="s">
        <v>246</v>
      </c>
      <c r="BM664" s="230" t="s">
        <v>1147</v>
      </c>
    </row>
    <row r="665" s="2" customFormat="1" ht="16.5" customHeight="1">
      <c r="A665" s="37"/>
      <c r="B665" s="38"/>
      <c r="C665" s="218" t="s">
        <v>1148</v>
      </c>
      <c r="D665" s="218" t="s">
        <v>159</v>
      </c>
      <c r="E665" s="219" t="s">
        <v>1149</v>
      </c>
      <c r="F665" s="220" t="s">
        <v>1150</v>
      </c>
      <c r="G665" s="221" t="s">
        <v>565</v>
      </c>
      <c r="H665" s="222">
        <v>29</v>
      </c>
      <c r="I665" s="223"/>
      <c r="J665" s="224">
        <f>ROUND(I665*H665,0)</f>
        <v>0</v>
      </c>
      <c r="K665" s="225"/>
      <c r="L665" s="43"/>
      <c r="M665" s="226" t="s">
        <v>1</v>
      </c>
      <c r="N665" s="227" t="s">
        <v>42</v>
      </c>
      <c r="O665" s="90"/>
      <c r="P665" s="228">
        <f>O665*H665</f>
        <v>0</v>
      </c>
      <c r="Q665" s="228">
        <v>1.0000000000000001E-05</v>
      </c>
      <c r="R665" s="228">
        <f>Q665*H665</f>
        <v>0.00029</v>
      </c>
      <c r="S665" s="228">
        <v>0</v>
      </c>
      <c r="T665" s="229">
        <f>S665*H665</f>
        <v>0</v>
      </c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R665" s="230" t="s">
        <v>246</v>
      </c>
      <c r="AT665" s="230" t="s">
        <v>159</v>
      </c>
      <c r="AU665" s="230" t="s">
        <v>86</v>
      </c>
      <c r="AY665" s="16" t="s">
        <v>157</v>
      </c>
      <c r="BE665" s="231">
        <f>IF(N665="základní",J665,0)</f>
        <v>0</v>
      </c>
      <c r="BF665" s="231">
        <f>IF(N665="snížená",J665,0)</f>
        <v>0</v>
      </c>
      <c r="BG665" s="231">
        <f>IF(N665="zákl. přenesená",J665,0)</f>
        <v>0</v>
      </c>
      <c r="BH665" s="231">
        <f>IF(N665="sníž. přenesená",J665,0)</f>
        <v>0</v>
      </c>
      <c r="BI665" s="231">
        <f>IF(N665="nulová",J665,0)</f>
        <v>0</v>
      </c>
      <c r="BJ665" s="16" t="s">
        <v>8</v>
      </c>
      <c r="BK665" s="231">
        <f>ROUND(I665*H665,0)</f>
        <v>0</v>
      </c>
      <c r="BL665" s="16" t="s">
        <v>246</v>
      </c>
      <c r="BM665" s="230" t="s">
        <v>1151</v>
      </c>
    </row>
    <row r="666" s="2" customFormat="1" ht="24.15" customHeight="1">
      <c r="A666" s="37"/>
      <c r="B666" s="38"/>
      <c r="C666" s="254" t="s">
        <v>1152</v>
      </c>
      <c r="D666" s="254" t="s">
        <v>229</v>
      </c>
      <c r="E666" s="255" t="s">
        <v>1153</v>
      </c>
      <c r="F666" s="256" t="s">
        <v>1154</v>
      </c>
      <c r="G666" s="257" t="s">
        <v>565</v>
      </c>
      <c r="H666" s="258">
        <v>29</v>
      </c>
      <c r="I666" s="259"/>
      <c r="J666" s="260">
        <f>ROUND(I666*H666,0)</f>
        <v>0</v>
      </c>
      <c r="K666" s="261"/>
      <c r="L666" s="262"/>
      <c r="M666" s="263" t="s">
        <v>1</v>
      </c>
      <c r="N666" s="264" t="s">
        <v>42</v>
      </c>
      <c r="O666" s="90"/>
      <c r="P666" s="228">
        <f>O666*H666</f>
        <v>0</v>
      </c>
      <c r="Q666" s="228">
        <v>0.0025000000000000001</v>
      </c>
      <c r="R666" s="228">
        <f>Q666*H666</f>
        <v>0.072499999999999995</v>
      </c>
      <c r="S666" s="228">
        <v>0</v>
      </c>
      <c r="T666" s="229">
        <f>S666*H666</f>
        <v>0</v>
      </c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R666" s="230" t="s">
        <v>329</v>
      </c>
      <c r="AT666" s="230" t="s">
        <v>229</v>
      </c>
      <c r="AU666" s="230" t="s">
        <v>86</v>
      </c>
      <c r="AY666" s="16" t="s">
        <v>157</v>
      </c>
      <c r="BE666" s="231">
        <f>IF(N666="základní",J666,0)</f>
        <v>0</v>
      </c>
      <c r="BF666" s="231">
        <f>IF(N666="snížená",J666,0)</f>
        <v>0</v>
      </c>
      <c r="BG666" s="231">
        <f>IF(N666="zákl. přenesená",J666,0)</f>
        <v>0</v>
      </c>
      <c r="BH666" s="231">
        <f>IF(N666="sníž. přenesená",J666,0)</f>
        <v>0</v>
      </c>
      <c r="BI666" s="231">
        <f>IF(N666="nulová",J666,0)</f>
        <v>0</v>
      </c>
      <c r="BJ666" s="16" t="s">
        <v>8</v>
      </c>
      <c r="BK666" s="231">
        <f>ROUND(I666*H666,0)</f>
        <v>0</v>
      </c>
      <c r="BL666" s="16" t="s">
        <v>246</v>
      </c>
      <c r="BM666" s="230" t="s">
        <v>1155</v>
      </c>
    </row>
    <row r="667" s="2" customFormat="1" ht="16.5" customHeight="1">
      <c r="A667" s="37"/>
      <c r="B667" s="38"/>
      <c r="C667" s="218" t="s">
        <v>1156</v>
      </c>
      <c r="D667" s="218" t="s">
        <v>159</v>
      </c>
      <c r="E667" s="219" t="s">
        <v>1157</v>
      </c>
      <c r="F667" s="220" t="s">
        <v>1158</v>
      </c>
      <c r="G667" s="221" t="s">
        <v>565</v>
      </c>
      <c r="H667" s="222">
        <v>7</v>
      </c>
      <c r="I667" s="223"/>
      <c r="J667" s="224">
        <f>ROUND(I667*H667,0)</f>
        <v>0</v>
      </c>
      <c r="K667" s="225"/>
      <c r="L667" s="43"/>
      <c r="M667" s="226" t="s">
        <v>1</v>
      </c>
      <c r="N667" s="227" t="s">
        <v>42</v>
      </c>
      <c r="O667" s="90"/>
      <c r="P667" s="228">
        <f>O667*H667</f>
        <v>0</v>
      </c>
      <c r="Q667" s="228">
        <v>1.0000000000000001E-05</v>
      </c>
      <c r="R667" s="228">
        <f>Q667*H667</f>
        <v>7.0000000000000007E-05</v>
      </c>
      <c r="S667" s="228">
        <v>0</v>
      </c>
      <c r="T667" s="229">
        <f>S667*H667</f>
        <v>0</v>
      </c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R667" s="230" t="s">
        <v>246</v>
      </c>
      <c r="AT667" s="230" t="s">
        <v>159</v>
      </c>
      <c r="AU667" s="230" t="s">
        <v>86</v>
      </c>
      <c r="AY667" s="16" t="s">
        <v>157</v>
      </c>
      <c r="BE667" s="231">
        <f>IF(N667="základní",J667,0)</f>
        <v>0</v>
      </c>
      <c r="BF667" s="231">
        <f>IF(N667="snížená",J667,0)</f>
        <v>0</v>
      </c>
      <c r="BG667" s="231">
        <f>IF(N667="zákl. přenesená",J667,0)</f>
        <v>0</v>
      </c>
      <c r="BH667" s="231">
        <f>IF(N667="sníž. přenesená",J667,0)</f>
        <v>0</v>
      </c>
      <c r="BI667" s="231">
        <f>IF(N667="nulová",J667,0)</f>
        <v>0</v>
      </c>
      <c r="BJ667" s="16" t="s">
        <v>8</v>
      </c>
      <c r="BK667" s="231">
        <f>ROUND(I667*H667,0)</f>
        <v>0</v>
      </c>
      <c r="BL667" s="16" t="s">
        <v>246</v>
      </c>
      <c r="BM667" s="230" t="s">
        <v>1159</v>
      </c>
    </row>
    <row r="668" s="2" customFormat="1" ht="24.15" customHeight="1">
      <c r="A668" s="37"/>
      <c r="B668" s="38"/>
      <c r="C668" s="254" t="s">
        <v>1160</v>
      </c>
      <c r="D668" s="254" t="s">
        <v>229</v>
      </c>
      <c r="E668" s="255" t="s">
        <v>1161</v>
      </c>
      <c r="F668" s="256" t="s">
        <v>1162</v>
      </c>
      <c r="G668" s="257" t="s">
        <v>565</v>
      </c>
      <c r="H668" s="258">
        <v>7</v>
      </c>
      <c r="I668" s="259"/>
      <c r="J668" s="260">
        <f>ROUND(I668*H668,0)</f>
        <v>0</v>
      </c>
      <c r="K668" s="261"/>
      <c r="L668" s="262"/>
      <c r="M668" s="263" t="s">
        <v>1</v>
      </c>
      <c r="N668" s="264" t="s">
        <v>42</v>
      </c>
      <c r="O668" s="90"/>
      <c r="P668" s="228">
        <f>O668*H668</f>
        <v>0</v>
      </c>
      <c r="Q668" s="228">
        <v>0.0025000000000000001</v>
      </c>
      <c r="R668" s="228">
        <f>Q668*H668</f>
        <v>0.017500000000000002</v>
      </c>
      <c r="S668" s="228">
        <v>0</v>
      </c>
      <c r="T668" s="229">
        <f>S668*H668</f>
        <v>0</v>
      </c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R668" s="230" t="s">
        <v>329</v>
      </c>
      <c r="AT668" s="230" t="s">
        <v>229</v>
      </c>
      <c r="AU668" s="230" t="s">
        <v>86</v>
      </c>
      <c r="AY668" s="16" t="s">
        <v>157</v>
      </c>
      <c r="BE668" s="231">
        <f>IF(N668="základní",J668,0)</f>
        <v>0</v>
      </c>
      <c r="BF668" s="231">
        <f>IF(N668="snížená",J668,0)</f>
        <v>0</v>
      </c>
      <c r="BG668" s="231">
        <f>IF(N668="zákl. přenesená",J668,0)</f>
        <v>0</v>
      </c>
      <c r="BH668" s="231">
        <f>IF(N668="sníž. přenesená",J668,0)</f>
        <v>0</v>
      </c>
      <c r="BI668" s="231">
        <f>IF(N668="nulová",J668,0)</f>
        <v>0</v>
      </c>
      <c r="BJ668" s="16" t="s">
        <v>8</v>
      </c>
      <c r="BK668" s="231">
        <f>ROUND(I668*H668,0)</f>
        <v>0</v>
      </c>
      <c r="BL668" s="16" t="s">
        <v>246</v>
      </c>
      <c r="BM668" s="230" t="s">
        <v>1163</v>
      </c>
    </row>
    <row r="669" s="2" customFormat="1" ht="16.5" customHeight="1">
      <c r="A669" s="37"/>
      <c r="B669" s="38"/>
      <c r="C669" s="218" t="s">
        <v>1164</v>
      </c>
      <c r="D669" s="218" t="s">
        <v>159</v>
      </c>
      <c r="E669" s="219" t="s">
        <v>1165</v>
      </c>
      <c r="F669" s="220" t="s">
        <v>1166</v>
      </c>
      <c r="G669" s="221" t="s">
        <v>565</v>
      </c>
      <c r="H669" s="222">
        <v>19</v>
      </c>
      <c r="I669" s="223"/>
      <c r="J669" s="224">
        <f>ROUND(I669*H669,0)</f>
        <v>0</v>
      </c>
      <c r="K669" s="225"/>
      <c r="L669" s="43"/>
      <c r="M669" s="226" t="s">
        <v>1</v>
      </c>
      <c r="N669" s="227" t="s">
        <v>42</v>
      </c>
      <c r="O669" s="90"/>
      <c r="P669" s="228">
        <f>O669*H669</f>
        <v>0</v>
      </c>
      <c r="Q669" s="228">
        <v>1.0000000000000001E-05</v>
      </c>
      <c r="R669" s="228">
        <f>Q669*H669</f>
        <v>0.00019000000000000001</v>
      </c>
      <c r="S669" s="228">
        <v>0</v>
      </c>
      <c r="T669" s="229">
        <f>S669*H669</f>
        <v>0</v>
      </c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R669" s="230" t="s">
        <v>246</v>
      </c>
      <c r="AT669" s="230" t="s">
        <v>159</v>
      </c>
      <c r="AU669" s="230" t="s">
        <v>86</v>
      </c>
      <c r="AY669" s="16" t="s">
        <v>157</v>
      </c>
      <c r="BE669" s="231">
        <f>IF(N669="základní",J669,0)</f>
        <v>0</v>
      </c>
      <c r="BF669" s="231">
        <f>IF(N669="snížená",J669,0)</f>
        <v>0</v>
      </c>
      <c r="BG669" s="231">
        <f>IF(N669="zákl. přenesená",J669,0)</f>
        <v>0</v>
      </c>
      <c r="BH669" s="231">
        <f>IF(N669="sníž. přenesená",J669,0)</f>
        <v>0</v>
      </c>
      <c r="BI669" s="231">
        <f>IF(N669="nulová",J669,0)</f>
        <v>0</v>
      </c>
      <c r="BJ669" s="16" t="s">
        <v>8</v>
      </c>
      <c r="BK669" s="231">
        <f>ROUND(I669*H669,0)</f>
        <v>0</v>
      </c>
      <c r="BL669" s="16" t="s">
        <v>246</v>
      </c>
      <c r="BM669" s="230" t="s">
        <v>1167</v>
      </c>
    </row>
    <row r="670" s="2" customFormat="1" ht="24.15" customHeight="1">
      <c r="A670" s="37"/>
      <c r="B670" s="38"/>
      <c r="C670" s="254" t="s">
        <v>1168</v>
      </c>
      <c r="D670" s="254" t="s">
        <v>229</v>
      </c>
      <c r="E670" s="255" t="s">
        <v>1169</v>
      </c>
      <c r="F670" s="256" t="s">
        <v>1170</v>
      </c>
      <c r="G670" s="257" t="s">
        <v>565</v>
      </c>
      <c r="H670" s="258">
        <v>19</v>
      </c>
      <c r="I670" s="259"/>
      <c r="J670" s="260">
        <f>ROUND(I670*H670,0)</f>
        <v>0</v>
      </c>
      <c r="K670" s="261"/>
      <c r="L670" s="262"/>
      <c r="M670" s="263" t="s">
        <v>1</v>
      </c>
      <c r="N670" s="264" t="s">
        <v>42</v>
      </c>
      <c r="O670" s="90"/>
      <c r="P670" s="228">
        <f>O670*H670</f>
        <v>0</v>
      </c>
      <c r="Q670" s="228">
        <v>0.0067000000000000002</v>
      </c>
      <c r="R670" s="228">
        <f>Q670*H670</f>
        <v>0.1273</v>
      </c>
      <c r="S670" s="228">
        <v>0</v>
      </c>
      <c r="T670" s="229">
        <f>S670*H670</f>
        <v>0</v>
      </c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R670" s="230" t="s">
        <v>329</v>
      </c>
      <c r="AT670" s="230" t="s">
        <v>229</v>
      </c>
      <c r="AU670" s="230" t="s">
        <v>86</v>
      </c>
      <c r="AY670" s="16" t="s">
        <v>157</v>
      </c>
      <c r="BE670" s="231">
        <f>IF(N670="základní",J670,0)</f>
        <v>0</v>
      </c>
      <c r="BF670" s="231">
        <f>IF(N670="snížená",J670,0)</f>
        <v>0</v>
      </c>
      <c r="BG670" s="231">
        <f>IF(N670="zákl. přenesená",J670,0)</f>
        <v>0</v>
      </c>
      <c r="BH670" s="231">
        <f>IF(N670="sníž. přenesená",J670,0)</f>
        <v>0</v>
      </c>
      <c r="BI670" s="231">
        <f>IF(N670="nulová",J670,0)</f>
        <v>0</v>
      </c>
      <c r="BJ670" s="16" t="s">
        <v>8</v>
      </c>
      <c r="BK670" s="231">
        <f>ROUND(I670*H670,0)</f>
        <v>0</v>
      </c>
      <c r="BL670" s="16" t="s">
        <v>246</v>
      </c>
      <c r="BM670" s="230" t="s">
        <v>1171</v>
      </c>
    </row>
    <row r="671" s="2" customFormat="1" ht="24.15" customHeight="1">
      <c r="A671" s="37"/>
      <c r="B671" s="38"/>
      <c r="C671" s="218" t="s">
        <v>1172</v>
      </c>
      <c r="D671" s="218" t="s">
        <v>159</v>
      </c>
      <c r="E671" s="219" t="s">
        <v>1173</v>
      </c>
      <c r="F671" s="220" t="s">
        <v>1174</v>
      </c>
      <c r="G671" s="221" t="s">
        <v>565</v>
      </c>
      <c r="H671" s="222">
        <v>66</v>
      </c>
      <c r="I671" s="223"/>
      <c r="J671" s="224">
        <f>ROUND(I671*H671,0)</f>
        <v>0</v>
      </c>
      <c r="K671" s="225"/>
      <c r="L671" s="43"/>
      <c r="M671" s="226" t="s">
        <v>1</v>
      </c>
      <c r="N671" s="227" t="s">
        <v>42</v>
      </c>
      <c r="O671" s="90"/>
      <c r="P671" s="228">
        <f>O671*H671</f>
        <v>0</v>
      </c>
      <c r="Q671" s="228">
        <v>0.0050299999999999997</v>
      </c>
      <c r="R671" s="228">
        <f>Q671*H671</f>
        <v>0.33198</v>
      </c>
      <c r="S671" s="228">
        <v>0</v>
      </c>
      <c r="T671" s="229">
        <f>S671*H671</f>
        <v>0</v>
      </c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R671" s="230" t="s">
        <v>246</v>
      </c>
      <c r="AT671" s="230" t="s">
        <v>159</v>
      </c>
      <c r="AU671" s="230" t="s">
        <v>86</v>
      </c>
      <c r="AY671" s="16" t="s">
        <v>157</v>
      </c>
      <c r="BE671" s="231">
        <f>IF(N671="základní",J671,0)</f>
        <v>0</v>
      </c>
      <c r="BF671" s="231">
        <f>IF(N671="snížená",J671,0)</f>
        <v>0</v>
      </c>
      <c r="BG671" s="231">
        <f>IF(N671="zákl. přenesená",J671,0)</f>
        <v>0</v>
      </c>
      <c r="BH671" s="231">
        <f>IF(N671="sníž. přenesená",J671,0)</f>
        <v>0</v>
      </c>
      <c r="BI671" s="231">
        <f>IF(N671="nulová",J671,0)</f>
        <v>0</v>
      </c>
      <c r="BJ671" s="16" t="s">
        <v>8</v>
      </c>
      <c r="BK671" s="231">
        <f>ROUND(I671*H671,0)</f>
        <v>0</v>
      </c>
      <c r="BL671" s="16" t="s">
        <v>246</v>
      </c>
      <c r="BM671" s="230" t="s">
        <v>1175</v>
      </c>
    </row>
    <row r="672" s="13" customFormat="1">
      <c r="A672" s="13"/>
      <c r="B672" s="232"/>
      <c r="C672" s="233"/>
      <c r="D672" s="234" t="s">
        <v>165</v>
      </c>
      <c r="E672" s="235" t="s">
        <v>1</v>
      </c>
      <c r="F672" s="236" t="s">
        <v>1176</v>
      </c>
      <c r="G672" s="233"/>
      <c r="H672" s="237">
        <v>44</v>
      </c>
      <c r="I672" s="238"/>
      <c r="J672" s="233"/>
      <c r="K672" s="233"/>
      <c r="L672" s="239"/>
      <c r="M672" s="240"/>
      <c r="N672" s="241"/>
      <c r="O672" s="241"/>
      <c r="P672" s="241"/>
      <c r="Q672" s="241"/>
      <c r="R672" s="241"/>
      <c r="S672" s="241"/>
      <c r="T672" s="242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T672" s="243" t="s">
        <v>165</v>
      </c>
      <c r="AU672" s="243" t="s">
        <v>86</v>
      </c>
      <c r="AV672" s="13" t="s">
        <v>86</v>
      </c>
      <c r="AW672" s="13" t="s">
        <v>32</v>
      </c>
      <c r="AX672" s="13" t="s">
        <v>77</v>
      </c>
      <c r="AY672" s="243" t="s">
        <v>157</v>
      </c>
    </row>
    <row r="673" s="13" customFormat="1">
      <c r="A673" s="13"/>
      <c r="B673" s="232"/>
      <c r="C673" s="233"/>
      <c r="D673" s="234" t="s">
        <v>165</v>
      </c>
      <c r="E673" s="235" t="s">
        <v>1</v>
      </c>
      <c r="F673" s="236" t="s">
        <v>1177</v>
      </c>
      <c r="G673" s="233"/>
      <c r="H673" s="237">
        <v>22</v>
      </c>
      <c r="I673" s="238"/>
      <c r="J673" s="233"/>
      <c r="K673" s="233"/>
      <c r="L673" s="239"/>
      <c r="M673" s="240"/>
      <c r="N673" s="241"/>
      <c r="O673" s="241"/>
      <c r="P673" s="241"/>
      <c r="Q673" s="241"/>
      <c r="R673" s="241"/>
      <c r="S673" s="241"/>
      <c r="T673" s="242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T673" s="243" t="s">
        <v>165</v>
      </c>
      <c r="AU673" s="243" t="s">
        <v>86</v>
      </c>
      <c r="AV673" s="13" t="s">
        <v>86</v>
      </c>
      <c r="AW673" s="13" t="s">
        <v>32</v>
      </c>
      <c r="AX673" s="13" t="s">
        <v>77</v>
      </c>
      <c r="AY673" s="243" t="s">
        <v>157</v>
      </c>
    </row>
    <row r="674" s="2" customFormat="1" ht="24.15" customHeight="1">
      <c r="A674" s="37"/>
      <c r="B674" s="38"/>
      <c r="C674" s="218" t="s">
        <v>1178</v>
      </c>
      <c r="D674" s="218" t="s">
        <v>159</v>
      </c>
      <c r="E674" s="219" t="s">
        <v>1179</v>
      </c>
      <c r="F674" s="220" t="s">
        <v>1180</v>
      </c>
      <c r="G674" s="221" t="s">
        <v>216</v>
      </c>
      <c r="H674" s="222">
        <v>126.29000000000001</v>
      </c>
      <c r="I674" s="223"/>
      <c r="J674" s="224">
        <f>ROUND(I674*H674,0)</f>
        <v>0</v>
      </c>
      <c r="K674" s="225"/>
      <c r="L674" s="43"/>
      <c r="M674" s="226" t="s">
        <v>1</v>
      </c>
      <c r="N674" s="227" t="s">
        <v>42</v>
      </c>
      <c r="O674" s="90"/>
      <c r="P674" s="228">
        <f>O674*H674</f>
        <v>0</v>
      </c>
      <c r="Q674" s="228">
        <v>0.0046100000000000004</v>
      </c>
      <c r="R674" s="228">
        <f>Q674*H674</f>
        <v>0.58219690000000013</v>
      </c>
      <c r="S674" s="228">
        <v>0</v>
      </c>
      <c r="T674" s="229">
        <f>S674*H674</f>
        <v>0</v>
      </c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R674" s="230" t="s">
        <v>246</v>
      </c>
      <c r="AT674" s="230" t="s">
        <v>159</v>
      </c>
      <c r="AU674" s="230" t="s">
        <v>86</v>
      </c>
      <c r="AY674" s="16" t="s">
        <v>157</v>
      </c>
      <c r="BE674" s="231">
        <f>IF(N674="základní",J674,0)</f>
        <v>0</v>
      </c>
      <c r="BF674" s="231">
        <f>IF(N674="snížená",J674,0)</f>
        <v>0</v>
      </c>
      <c r="BG674" s="231">
        <f>IF(N674="zákl. přenesená",J674,0)</f>
        <v>0</v>
      </c>
      <c r="BH674" s="231">
        <f>IF(N674="sníž. přenesená",J674,0)</f>
        <v>0</v>
      </c>
      <c r="BI674" s="231">
        <f>IF(N674="nulová",J674,0)</f>
        <v>0</v>
      </c>
      <c r="BJ674" s="16" t="s">
        <v>8</v>
      </c>
      <c r="BK674" s="231">
        <f>ROUND(I674*H674,0)</f>
        <v>0</v>
      </c>
      <c r="BL674" s="16" t="s">
        <v>246</v>
      </c>
      <c r="BM674" s="230" t="s">
        <v>1181</v>
      </c>
    </row>
    <row r="675" s="14" customFormat="1">
      <c r="A675" s="14"/>
      <c r="B675" s="244"/>
      <c r="C675" s="245"/>
      <c r="D675" s="234" t="s">
        <v>165</v>
      </c>
      <c r="E675" s="246" t="s">
        <v>1</v>
      </c>
      <c r="F675" s="247" t="s">
        <v>1182</v>
      </c>
      <c r="G675" s="245"/>
      <c r="H675" s="246" t="s">
        <v>1</v>
      </c>
      <c r="I675" s="248"/>
      <c r="J675" s="245"/>
      <c r="K675" s="245"/>
      <c r="L675" s="249"/>
      <c r="M675" s="250"/>
      <c r="N675" s="251"/>
      <c r="O675" s="251"/>
      <c r="P675" s="251"/>
      <c r="Q675" s="251"/>
      <c r="R675" s="251"/>
      <c r="S675" s="251"/>
      <c r="T675" s="252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T675" s="253" t="s">
        <v>165</v>
      </c>
      <c r="AU675" s="253" t="s">
        <v>86</v>
      </c>
      <c r="AV675" s="14" t="s">
        <v>8</v>
      </c>
      <c r="AW675" s="14" t="s">
        <v>32</v>
      </c>
      <c r="AX675" s="14" t="s">
        <v>77</v>
      </c>
      <c r="AY675" s="253" t="s">
        <v>157</v>
      </c>
    </row>
    <row r="676" s="13" customFormat="1">
      <c r="A676" s="13"/>
      <c r="B676" s="232"/>
      <c r="C676" s="233"/>
      <c r="D676" s="234" t="s">
        <v>165</v>
      </c>
      <c r="E676" s="235" t="s">
        <v>1</v>
      </c>
      <c r="F676" s="236" t="s">
        <v>1183</v>
      </c>
      <c r="G676" s="233"/>
      <c r="H676" s="237">
        <v>52.710000000000001</v>
      </c>
      <c r="I676" s="238"/>
      <c r="J676" s="233"/>
      <c r="K676" s="233"/>
      <c r="L676" s="239"/>
      <c r="M676" s="240"/>
      <c r="N676" s="241"/>
      <c r="O676" s="241"/>
      <c r="P676" s="241"/>
      <c r="Q676" s="241"/>
      <c r="R676" s="241"/>
      <c r="S676" s="241"/>
      <c r="T676" s="242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T676" s="243" t="s">
        <v>165</v>
      </c>
      <c r="AU676" s="243" t="s">
        <v>86</v>
      </c>
      <c r="AV676" s="13" t="s">
        <v>86</v>
      </c>
      <c r="AW676" s="13" t="s">
        <v>32</v>
      </c>
      <c r="AX676" s="13" t="s">
        <v>77</v>
      </c>
      <c r="AY676" s="243" t="s">
        <v>157</v>
      </c>
    </row>
    <row r="677" s="13" customFormat="1">
      <c r="A677" s="13"/>
      <c r="B677" s="232"/>
      <c r="C677" s="233"/>
      <c r="D677" s="234" t="s">
        <v>165</v>
      </c>
      <c r="E677" s="235" t="s">
        <v>1</v>
      </c>
      <c r="F677" s="236" t="s">
        <v>1184</v>
      </c>
      <c r="G677" s="233"/>
      <c r="H677" s="237">
        <v>28.800000000000001</v>
      </c>
      <c r="I677" s="238"/>
      <c r="J677" s="233"/>
      <c r="K677" s="233"/>
      <c r="L677" s="239"/>
      <c r="M677" s="240"/>
      <c r="N677" s="241"/>
      <c r="O677" s="241"/>
      <c r="P677" s="241"/>
      <c r="Q677" s="241"/>
      <c r="R677" s="241"/>
      <c r="S677" s="241"/>
      <c r="T677" s="242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T677" s="243" t="s">
        <v>165</v>
      </c>
      <c r="AU677" s="243" t="s">
        <v>86</v>
      </c>
      <c r="AV677" s="13" t="s">
        <v>86</v>
      </c>
      <c r="AW677" s="13" t="s">
        <v>32</v>
      </c>
      <c r="AX677" s="13" t="s">
        <v>77</v>
      </c>
      <c r="AY677" s="243" t="s">
        <v>157</v>
      </c>
    </row>
    <row r="678" s="14" customFormat="1">
      <c r="A678" s="14"/>
      <c r="B678" s="244"/>
      <c r="C678" s="245"/>
      <c r="D678" s="234" t="s">
        <v>165</v>
      </c>
      <c r="E678" s="246" t="s">
        <v>1</v>
      </c>
      <c r="F678" s="247" t="s">
        <v>1185</v>
      </c>
      <c r="G678" s="245"/>
      <c r="H678" s="246" t="s">
        <v>1</v>
      </c>
      <c r="I678" s="248"/>
      <c r="J678" s="245"/>
      <c r="K678" s="245"/>
      <c r="L678" s="249"/>
      <c r="M678" s="250"/>
      <c r="N678" s="251"/>
      <c r="O678" s="251"/>
      <c r="P678" s="251"/>
      <c r="Q678" s="251"/>
      <c r="R678" s="251"/>
      <c r="S678" s="251"/>
      <c r="T678" s="252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T678" s="253" t="s">
        <v>165</v>
      </c>
      <c r="AU678" s="253" t="s">
        <v>86</v>
      </c>
      <c r="AV678" s="14" t="s">
        <v>8</v>
      </c>
      <c r="AW678" s="14" t="s">
        <v>32</v>
      </c>
      <c r="AX678" s="14" t="s">
        <v>77</v>
      </c>
      <c r="AY678" s="253" t="s">
        <v>157</v>
      </c>
    </row>
    <row r="679" s="13" customFormat="1">
      <c r="A679" s="13"/>
      <c r="B679" s="232"/>
      <c r="C679" s="233"/>
      <c r="D679" s="234" t="s">
        <v>165</v>
      </c>
      <c r="E679" s="235" t="s">
        <v>1</v>
      </c>
      <c r="F679" s="236" t="s">
        <v>1186</v>
      </c>
      <c r="G679" s="233"/>
      <c r="H679" s="237">
        <v>16.699999999999999</v>
      </c>
      <c r="I679" s="238"/>
      <c r="J679" s="233"/>
      <c r="K679" s="233"/>
      <c r="L679" s="239"/>
      <c r="M679" s="240"/>
      <c r="N679" s="241"/>
      <c r="O679" s="241"/>
      <c r="P679" s="241"/>
      <c r="Q679" s="241"/>
      <c r="R679" s="241"/>
      <c r="S679" s="241"/>
      <c r="T679" s="242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T679" s="243" t="s">
        <v>165</v>
      </c>
      <c r="AU679" s="243" t="s">
        <v>86</v>
      </c>
      <c r="AV679" s="13" t="s">
        <v>86</v>
      </c>
      <c r="AW679" s="13" t="s">
        <v>32</v>
      </c>
      <c r="AX679" s="13" t="s">
        <v>77</v>
      </c>
      <c r="AY679" s="243" t="s">
        <v>157</v>
      </c>
    </row>
    <row r="680" s="14" customFormat="1">
      <c r="A680" s="14"/>
      <c r="B680" s="244"/>
      <c r="C680" s="245"/>
      <c r="D680" s="234" t="s">
        <v>165</v>
      </c>
      <c r="E680" s="246" t="s">
        <v>1</v>
      </c>
      <c r="F680" s="247" t="s">
        <v>1187</v>
      </c>
      <c r="G680" s="245"/>
      <c r="H680" s="246" t="s">
        <v>1</v>
      </c>
      <c r="I680" s="248"/>
      <c r="J680" s="245"/>
      <c r="K680" s="245"/>
      <c r="L680" s="249"/>
      <c r="M680" s="250"/>
      <c r="N680" s="251"/>
      <c r="O680" s="251"/>
      <c r="P680" s="251"/>
      <c r="Q680" s="251"/>
      <c r="R680" s="251"/>
      <c r="S680" s="251"/>
      <c r="T680" s="252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T680" s="253" t="s">
        <v>165</v>
      </c>
      <c r="AU680" s="253" t="s">
        <v>86</v>
      </c>
      <c r="AV680" s="14" t="s">
        <v>8</v>
      </c>
      <c r="AW680" s="14" t="s">
        <v>32</v>
      </c>
      <c r="AX680" s="14" t="s">
        <v>77</v>
      </c>
      <c r="AY680" s="253" t="s">
        <v>157</v>
      </c>
    </row>
    <row r="681" s="13" customFormat="1">
      <c r="A681" s="13"/>
      <c r="B681" s="232"/>
      <c r="C681" s="233"/>
      <c r="D681" s="234" t="s">
        <v>165</v>
      </c>
      <c r="E681" s="235" t="s">
        <v>1</v>
      </c>
      <c r="F681" s="236" t="s">
        <v>1188</v>
      </c>
      <c r="G681" s="233"/>
      <c r="H681" s="237">
        <v>28.079999999999998</v>
      </c>
      <c r="I681" s="238"/>
      <c r="J681" s="233"/>
      <c r="K681" s="233"/>
      <c r="L681" s="239"/>
      <c r="M681" s="240"/>
      <c r="N681" s="241"/>
      <c r="O681" s="241"/>
      <c r="P681" s="241"/>
      <c r="Q681" s="241"/>
      <c r="R681" s="241"/>
      <c r="S681" s="241"/>
      <c r="T681" s="242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T681" s="243" t="s">
        <v>165</v>
      </c>
      <c r="AU681" s="243" t="s">
        <v>86</v>
      </c>
      <c r="AV681" s="13" t="s">
        <v>86</v>
      </c>
      <c r="AW681" s="13" t="s">
        <v>32</v>
      </c>
      <c r="AX681" s="13" t="s">
        <v>77</v>
      </c>
      <c r="AY681" s="243" t="s">
        <v>157</v>
      </c>
    </row>
    <row r="682" s="2" customFormat="1" ht="24.15" customHeight="1">
      <c r="A682" s="37"/>
      <c r="B682" s="38"/>
      <c r="C682" s="218" t="s">
        <v>1189</v>
      </c>
      <c r="D682" s="218" t="s">
        <v>159</v>
      </c>
      <c r="E682" s="219" t="s">
        <v>1190</v>
      </c>
      <c r="F682" s="220" t="s">
        <v>1191</v>
      </c>
      <c r="G682" s="221" t="s">
        <v>193</v>
      </c>
      <c r="H682" s="222">
        <v>113.984</v>
      </c>
      <c r="I682" s="223"/>
      <c r="J682" s="224">
        <f>ROUND(I682*H682,0)</f>
        <v>0</v>
      </c>
      <c r="K682" s="225"/>
      <c r="L682" s="43"/>
      <c r="M682" s="226" t="s">
        <v>1</v>
      </c>
      <c r="N682" s="227" t="s">
        <v>42</v>
      </c>
      <c r="O682" s="90"/>
      <c r="P682" s="228">
        <f>O682*H682</f>
        <v>0</v>
      </c>
      <c r="Q682" s="228">
        <v>0</v>
      </c>
      <c r="R682" s="228">
        <f>Q682*H682</f>
        <v>0</v>
      </c>
      <c r="S682" s="228">
        <v>0</v>
      </c>
      <c r="T682" s="229">
        <f>S682*H682</f>
        <v>0</v>
      </c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R682" s="230" t="s">
        <v>246</v>
      </c>
      <c r="AT682" s="230" t="s">
        <v>159</v>
      </c>
      <c r="AU682" s="230" t="s">
        <v>86</v>
      </c>
      <c r="AY682" s="16" t="s">
        <v>157</v>
      </c>
      <c r="BE682" s="231">
        <f>IF(N682="základní",J682,0)</f>
        <v>0</v>
      </c>
      <c r="BF682" s="231">
        <f>IF(N682="snížená",J682,0)</f>
        <v>0</v>
      </c>
      <c r="BG682" s="231">
        <f>IF(N682="zákl. přenesená",J682,0)</f>
        <v>0</v>
      </c>
      <c r="BH682" s="231">
        <f>IF(N682="sníž. přenesená",J682,0)</f>
        <v>0</v>
      </c>
      <c r="BI682" s="231">
        <f>IF(N682="nulová",J682,0)</f>
        <v>0</v>
      </c>
      <c r="BJ682" s="16" t="s">
        <v>8</v>
      </c>
      <c r="BK682" s="231">
        <f>ROUND(I682*H682,0)</f>
        <v>0</v>
      </c>
      <c r="BL682" s="16" t="s">
        <v>246</v>
      </c>
      <c r="BM682" s="230" t="s">
        <v>1192</v>
      </c>
    </row>
    <row r="683" s="12" customFormat="1" ht="22.8" customHeight="1">
      <c r="A683" s="12"/>
      <c r="B683" s="202"/>
      <c r="C683" s="203"/>
      <c r="D683" s="204" t="s">
        <v>76</v>
      </c>
      <c r="E683" s="216" t="s">
        <v>1193</v>
      </c>
      <c r="F683" s="216" t="s">
        <v>1194</v>
      </c>
      <c r="G683" s="203"/>
      <c r="H683" s="203"/>
      <c r="I683" s="206"/>
      <c r="J683" s="217">
        <f>BK683</f>
        <v>0</v>
      </c>
      <c r="K683" s="203"/>
      <c r="L683" s="208"/>
      <c r="M683" s="209"/>
      <c r="N683" s="210"/>
      <c r="O683" s="210"/>
      <c r="P683" s="211">
        <f>SUM(P684:P697)</f>
        <v>0</v>
      </c>
      <c r="Q683" s="210"/>
      <c r="R683" s="211">
        <f>SUM(R684:R697)</f>
        <v>0.97104099999999993</v>
      </c>
      <c r="S683" s="210"/>
      <c r="T683" s="212">
        <f>SUM(T684:T697)</f>
        <v>0</v>
      </c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R683" s="213" t="s">
        <v>86</v>
      </c>
      <c r="AT683" s="214" t="s">
        <v>76</v>
      </c>
      <c r="AU683" s="214" t="s">
        <v>8</v>
      </c>
      <c r="AY683" s="213" t="s">
        <v>157</v>
      </c>
      <c r="BK683" s="215">
        <f>SUM(BK684:BK697)</f>
        <v>0</v>
      </c>
    </row>
    <row r="684" s="2" customFormat="1" ht="24.15" customHeight="1">
      <c r="A684" s="37"/>
      <c r="B684" s="38"/>
      <c r="C684" s="218" t="s">
        <v>1195</v>
      </c>
      <c r="D684" s="218" t="s">
        <v>159</v>
      </c>
      <c r="E684" s="219" t="s">
        <v>1196</v>
      </c>
      <c r="F684" s="220" t="s">
        <v>1197</v>
      </c>
      <c r="G684" s="221" t="s">
        <v>216</v>
      </c>
      <c r="H684" s="222">
        <v>11.5</v>
      </c>
      <c r="I684" s="223"/>
      <c r="J684" s="224">
        <f>ROUND(I684*H684,0)</f>
        <v>0</v>
      </c>
      <c r="K684" s="225"/>
      <c r="L684" s="43"/>
      <c r="M684" s="226" t="s">
        <v>1</v>
      </c>
      <c r="N684" s="227" t="s">
        <v>42</v>
      </c>
      <c r="O684" s="90"/>
      <c r="P684" s="228">
        <f>O684*H684</f>
        <v>0</v>
      </c>
      <c r="Q684" s="228">
        <v>0.0030599999999999998</v>
      </c>
      <c r="R684" s="228">
        <f>Q684*H684</f>
        <v>0.035189999999999999</v>
      </c>
      <c r="S684" s="228">
        <v>0</v>
      </c>
      <c r="T684" s="229">
        <f>S684*H684</f>
        <v>0</v>
      </c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R684" s="230" t="s">
        <v>246</v>
      </c>
      <c r="AT684" s="230" t="s">
        <v>159</v>
      </c>
      <c r="AU684" s="230" t="s">
        <v>86</v>
      </c>
      <c r="AY684" s="16" t="s">
        <v>157</v>
      </c>
      <c r="BE684" s="231">
        <f>IF(N684="základní",J684,0)</f>
        <v>0</v>
      </c>
      <c r="BF684" s="231">
        <f>IF(N684="snížená",J684,0)</f>
        <v>0</v>
      </c>
      <c r="BG684" s="231">
        <f>IF(N684="zákl. přenesená",J684,0)</f>
        <v>0</v>
      </c>
      <c r="BH684" s="231">
        <f>IF(N684="sníž. přenesená",J684,0)</f>
        <v>0</v>
      </c>
      <c r="BI684" s="231">
        <f>IF(N684="nulová",J684,0)</f>
        <v>0</v>
      </c>
      <c r="BJ684" s="16" t="s">
        <v>8</v>
      </c>
      <c r="BK684" s="231">
        <f>ROUND(I684*H684,0)</f>
        <v>0</v>
      </c>
      <c r="BL684" s="16" t="s">
        <v>246</v>
      </c>
      <c r="BM684" s="230" t="s">
        <v>1198</v>
      </c>
    </row>
    <row r="685" s="13" customFormat="1">
      <c r="A685" s="13"/>
      <c r="B685" s="232"/>
      <c r="C685" s="233"/>
      <c r="D685" s="234" t="s">
        <v>165</v>
      </c>
      <c r="E685" s="235" t="s">
        <v>1</v>
      </c>
      <c r="F685" s="236" t="s">
        <v>1199</v>
      </c>
      <c r="G685" s="233"/>
      <c r="H685" s="237">
        <v>11.5</v>
      </c>
      <c r="I685" s="238"/>
      <c r="J685" s="233"/>
      <c r="K685" s="233"/>
      <c r="L685" s="239"/>
      <c r="M685" s="240"/>
      <c r="N685" s="241"/>
      <c r="O685" s="241"/>
      <c r="P685" s="241"/>
      <c r="Q685" s="241"/>
      <c r="R685" s="241"/>
      <c r="S685" s="241"/>
      <c r="T685" s="242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T685" s="243" t="s">
        <v>165</v>
      </c>
      <c r="AU685" s="243" t="s">
        <v>86</v>
      </c>
      <c r="AV685" s="13" t="s">
        <v>86</v>
      </c>
      <c r="AW685" s="13" t="s">
        <v>32</v>
      </c>
      <c r="AX685" s="13" t="s">
        <v>77</v>
      </c>
      <c r="AY685" s="243" t="s">
        <v>157</v>
      </c>
    </row>
    <row r="686" s="2" customFormat="1" ht="24.15" customHeight="1">
      <c r="A686" s="37"/>
      <c r="B686" s="38"/>
      <c r="C686" s="218" t="s">
        <v>1200</v>
      </c>
      <c r="D686" s="218" t="s">
        <v>159</v>
      </c>
      <c r="E686" s="219" t="s">
        <v>1201</v>
      </c>
      <c r="F686" s="220" t="s">
        <v>1202</v>
      </c>
      <c r="G686" s="221" t="s">
        <v>216</v>
      </c>
      <c r="H686" s="222">
        <v>151.59999999999999</v>
      </c>
      <c r="I686" s="223"/>
      <c r="J686" s="224">
        <f>ROUND(I686*H686,0)</f>
        <v>0</v>
      </c>
      <c r="K686" s="225"/>
      <c r="L686" s="43"/>
      <c r="M686" s="226" t="s">
        <v>1</v>
      </c>
      <c r="N686" s="227" t="s">
        <v>42</v>
      </c>
      <c r="O686" s="90"/>
      <c r="P686" s="228">
        <f>O686*H686</f>
        <v>0</v>
      </c>
      <c r="Q686" s="228">
        <v>0.00108</v>
      </c>
      <c r="R686" s="228">
        <f>Q686*H686</f>
        <v>0.16372799999999999</v>
      </c>
      <c r="S686" s="228">
        <v>0</v>
      </c>
      <c r="T686" s="229">
        <f>S686*H686</f>
        <v>0</v>
      </c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R686" s="230" t="s">
        <v>246</v>
      </c>
      <c r="AT686" s="230" t="s">
        <v>159</v>
      </c>
      <c r="AU686" s="230" t="s">
        <v>86</v>
      </c>
      <c r="AY686" s="16" t="s">
        <v>157</v>
      </c>
      <c r="BE686" s="231">
        <f>IF(N686="základní",J686,0)</f>
        <v>0</v>
      </c>
      <c r="BF686" s="231">
        <f>IF(N686="snížená",J686,0)</f>
        <v>0</v>
      </c>
      <c r="BG686" s="231">
        <f>IF(N686="zákl. přenesená",J686,0)</f>
        <v>0</v>
      </c>
      <c r="BH686" s="231">
        <f>IF(N686="sníž. přenesená",J686,0)</f>
        <v>0</v>
      </c>
      <c r="BI686" s="231">
        <f>IF(N686="nulová",J686,0)</f>
        <v>0</v>
      </c>
      <c r="BJ686" s="16" t="s">
        <v>8</v>
      </c>
      <c r="BK686" s="231">
        <f>ROUND(I686*H686,0)</f>
        <v>0</v>
      </c>
      <c r="BL686" s="16" t="s">
        <v>246</v>
      </c>
      <c r="BM686" s="230" t="s">
        <v>1203</v>
      </c>
    </row>
    <row r="687" s="13" customFormat="1">
      <c r="A687" s="13"/>
      <c r="B687" s="232"/>
      <c r="C687" s="233"/>
      <c r="D687" s="234" t="s">
        <v>165</v>
      </c>
      <c r="E687" s="235" t="s">
        <v>1</v>
      </c>
      <c r="F687" s="236" t="s">
        <v>1204</v>
      </c>
      <c r="G687" s="233"/>
      <c r="H687" s="237">
        <v>151.59999999999999</v>
      </c>
      <c r="I687" s="238"/>
      <c r="J687" s="233"/>
      <c r="K687" s="233"/>
      <c r="L687" s="239"/>
      <c r="M687" s="240"/>
      <c r="N687" s="241"/>
      <c r="O687" s="241"/>
      <c r="P687" s="241"/>
      <c r="Q687" s="241"/>
      <c r="R687" s="241"/>
      <c r="S687" s="241"/>
      <c r="T687" s="242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T687" s="243" t="s">
        <v>165</v>
      </c>
      <c r="AU687" s="243" t="s">
        <v>86</v>
      </c>
      <c r="AV687" s="13" t="s">
        <v>86</v>
      </c>
      <c r="AW687" s="13" t="s">
        <v>32</v>
      </c>
      <c r="AX687" s="13" t="s">
        <v>77</v>
      </c>
      <c r="AY687" s="243" t="s">
        <v>157</v>
      </c>
    </row>
    <row r="688" s="2" customFormat="1" ht="24.15" customHeight="1">
      <c r="A688" s="37"/>
      <c r="B688" s="38"/>
      <c r="C688" s="218" t="s">
        <v>1205</v>
      </c>
      <c r="D688" s="218" t="s">
        <v>159</v>
      </c>
      <c r="E688" s="219" t="s">
        <v>1206</v>
      </c>
      <c r="F688" s="220" t="s">
        <v>1207</v>
      </c>
      <c r="G688" s="221" t="s">
        <v>216</v>
      </c>
      <c r="H688" s="222">
        <v>15.300000000000001</v>
      </c>
      <c r="I688" s="223"/>
      <c r="J688" s="224">
        <f>ROUND(I688*H688,0)</f>
        <v>0</v>
      </c>
      <c r="K688" s="225"/>
      <c r="L688" s="43"/>
      <c r="M688" s="226" t="s">
        <v>1</v>
      </c>
      <c r="N688" s="227" t="s">
        <v>42</v>
      </c>
      <c r="O688" s="90"/>
      <c r="P688" s="228">
        <f>O688*H688</f>
        <v>0</v>
      </c>
      <c r="Q688" s="228">
        <v>0.0031900000000000001</v>
      </c>
      <c r="R688" s="228">
        <f>Q688*H688</f>
        <v>0.048807000000000003</v>
      </c>
      <c r="S688" s="228">
        <v>0</v>
      </c>
      <c r="T688" s="229">
        <f>S688*H688</f>
        <v>0</v>
      </c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R688" s="230" t="s">
        <v>246</v>
      </c>
      <c r="AT688" s="230" t="s">
        <v>159</v>
      </c>
      <c r="AU688" s="230" t="s">
        <v>86</v>
      </c>
      <c r="AY688" s="16" t="s">
        <v>157</v>
      </c>
      <c r="BE688" s="231">
        <f>IF(N688="základní",J688,0)</f>
        <v>0</v>
      </c>
      <c r="BF688" s="231">
        <f>IF(N688="snížená",J688,0)</f>
        <v>0</v>
      </c>
      <c r="BG688" s="231">
        <f>IF(N688="zákl. přenesená",J688,0)</f>
        <v>0</v>
      </c>
      <c r="BH688" s="231">
        <f>IF(N688="sníž. přenesená",J688,0)</f>
        <v>0</v>
      </c>
      <c r="BI688" s="231">
        <f>IF(N688="nulová",J688,0)</f>
        <v>0</v>
      </c>
      <c r="BJ688" s="16" t="s">
        <v>8</v>
      </c>
      <c r="BK688" s="231">
        <f>ROUND(I688*H688,0)</f>
        <v>0</v>
      </c>
      <c r="BL688" s="16" t="s">
        <v>246</v>
      </c>
      <c r="BM688" s="230" t="s">
        <v>1208</v>
      </c>
    </row>
    <row r="689" s="13" customFormat="1">
      <c r="A689" s="13"/>
      <c r="B689" s="232"/>
      <c r="C689" s="233"/>
      <c r="D689" s="234" t="s">
        <v>165</v>
      </c>
      <c r="E689" s="235" t="s">
        <v>1</v>
      </c>
      <c r="F689" s="236" t="s">
        <v>1209</v>
      </c>
      <c r="G689" s="233"/>
      <c r="H689" s="237">
        <v>15.300000000000001</v>
      </c>
      <c r="I689" s="238"/>
      <c r="J689" s="233"/>
      <c r="K689" s="233"/>
      <c r="L689" s="239"/>
      <c r="M689" s="240"/>
      <c r="N689" s="241"/>
      <c r="O689" s="241"/>
      <c r="P689" s="241"/>
      <c r="Q689" s="241"/>
      <c r="R689" s="241"/>
      <c r="S689" s="241"/>
      <c r="T689" s="242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T689" s="243" t="s">
        <v>165</v>
      </c>
      <c r="AU689" s="243" t="s">
        <v>86</v>
      </c>
      <c r="AV689" s="13" t="s">
        <v>86</v>
      </c>
      <c r="AW689" s="13" t="s">
        <v>32</v>
      </c>
      <c r="AX689" s="13" t="s">
        <v>77</v>
      </c>
      <c r="AY689" s="243" t="s">
        <v>157</v>
      </c>
    </row>
    <row r="690" s="2" customFormat="1" ht="24.15" customHeight="1">
      <c r="A690" s="37"/>
      <c r="B690" s="38"/>
      <c r="C690" s="218" t="s">
        <v>1210</v>
      </c>
      <c r="D690" s="218" t="s">
        <v>159</v>
      </c>
      <c r="E690" s="219" t="s">
        <v>1211</v>
      </c>
      <c r="F690" s="220" t="s">
        <v>1212</v>
      </c>
      <c r="G690" s="221" t="s">
        <v>216</v>
      </c>
      <c r="H690" s="222">
        <v>108.40000000000001</v>
      </c>
      <c r="I690" s="223"/>
      <c r="J690" s="224">
        <f>ROUND(I690*H690,0)</f>
        <v>0</v>
      </c>
      <c r="K690" s="225"/>
      <c r="L690" s="43"/>
      <c r="M690" s="226" t="s">
        <v>1</v>
      </c>
      <c r="N690" s="227" t="s">
        <v>42</v>
      </c>
      <c r="O690" s="90"/>
      <c r="P690" s="228">
        <f>O690*H690</f>
        <v>0</v>
      </c>
      <c r="Q690" s="228">
        <v>0.0039699999999999996</v>
      </c>
      <c r="R690" s="228">
        <f>Q690*H690</f>
        <v>0.43034799999999995</v>
      </c>
      <c r="S690" s="228">
        <v>0</v>
      </c>
      <c r="T690" s="229">
        <f>S690*H690</f>
        <v>0</v>
      </c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R690" s="230" t="s">
        <v>246</v>
      </c>
      <c r="AT690" s="230" t="s">
        <v>159</v>
      </c>
      <c r="AU690" s="230" t="s">
        <v>86</v>
      </c>
      <c r="AY690" s="16" t="s">
        <v>157</v>
      </c>
      <c r="BE690" s="231">
        <f>IF(N690="základní",J690,0)</f>
        <v>0</v>
      </c>
      <c r="BF690" s="231">
        <f>IF(N690="snížená",J690,0)</f>
        <v>0</v>
      </c>
      <c r="BG690" s="231">
        <f>IF(N690="zákl. přenesená",J690,0)</f>
        <v>0</v>
      </c>
      <c r="BH690" s="231">
        <f>IF(N690="sníž. přenesená",J690,0)</f>
        <v>0</v>
      </c>
      <c r="BI690" s="231">
        <f>IF(N690="nulová",J690,0)</f>
        <v>0</v>
      </c>
      <c r="BJ690" s="16" t="s">
        <v>8</v>
      </c>
      <c r="BK690" s="231">
        <f>ROUND(I690*H690,0)</f>
        <v>0</v>
      </c>
      <c r="BL690" s="16" t="s">
        <v>246</v>
      </c>
      <c r="BM690" s="230" t="s">
        <v>1213</v>
      </c>
    </row>
    <row r="691" s="13" customFormat="1">
      <c r="A691" s="13"/>
      <c r="B691" s="232"/>
      <c r="C691" s="233"/>
      <c r="D691" s="234" t="s">
        <v>165</v>
      </c>
      <c r="E691" s="235" t="s">
        <v>1</v>
      </c>
      <c r="F691" s="236" t="s">
        <v>1214</v>
      </c>
      <c r="G691" s="233"/>
      <c r="H691" s="237">
        <v>100.8</v>
      </c>
      <c r="I691" s="238"/>
      <c r="J691" s="233"/>
      <c r="K691" s="233"/>
      <c r="L691" s="239"/>
      <c r="M691" s="240"/>
      <c r="N691" s="241"/>
      <c r="O691" s="241"/>
      <c r="P691" s="241"/>
      <c r="Q691" s="241"/>
      <c r="R691" s="241"/>
      <c r="S691" s="241"/>
      <c r="T691" s="242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T691" s="243" t="s">
        <v>165</v>
      </c>
      <c r="AU691" s="243" t="s">
        <v>86</v>
      </c>
      <c r="AV691" s="13" t="s">
        <v>86</v>
      </c>
      <c r="AW691" s="13" t="s">
        <v>32</v>
      </c>
      <c r="AX691" s="13" t="s">
        <v>77</v>
      </c>
      <c r="AY691" s="243" t="s">
        <v>157</v>
      </c>
    </row>
    <row r="692" s="13" customFormat="1">
      <c r="A692" s="13"/>
      <c r="B692" s="232"/>
      <c r="C692" s="233"/>
      <c r="D692" s="234" t="s">
        <v>165</v>
      </c>
      <c r="E692" s="235" t="s">
        <v>1</v>
      </c>
      <c r="F692" s="236" t="s">
        <v>1215</v>
      </c>
      <c r="G692" s="233"/>
      <c r="H692" s="237">
        <v>7.5999999999999996</v>
      </c>
      <c r="I692" s="238"/>
      <c r="J692" s="233"/>
      <c r="K692" s="233"/>
      <c r="L692" s="239"/>
      <c r="M692" s="240"/>
      <c r="N692" s="241"/>
      <c r="O692" s="241"/>
      <c r="P692" s="241"/>
      <c r="Q692" s="241"/>
      <c r="R692" s="241"/>
      <c r="S692" s="241"/>
      <c r="T692" s="242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T692" s="243" t="s">
        <v>165</v>
      </c>
      <c r="AU692" s="243" t="s">
        <v>86</v>
      </c>
      <c r="AV692" s="13" t="s">
        <v>86</v>
      </c>
      <c r="AW692" s="13" t="s">
        <v>32</v>
      </c>
      <c r="AX692" s="13" t="s">
        <v>77</v>
      </c>
      <c r="AY692" s="243" t="s">
        <v>157</v>
      </c>
    </row>
    <row r="693" s="2" customFormat="1" ht="24.15" customHeight="1">
      <c r="A693" s="37"/>
      <c r="B693" s="38"/>
      <c r="C693" s="218" t="s">
        <v>1216</v>
      </c>
      <c r="D693" s="218" t="s">
        <v>159</v>
      </c>
      <c r="E693" s="219" t="s">
        <v>1217</v>
      </c>
      <c r="F693" s="220" t="s">
        <v>1218</v>
      </c>
      <c r="G693" s="221" t="s">
        <v>216</v>
      </c>
      <c r="H693" s="222">
        <v>1.8</v>
      </c>
      <c r="I693" s="223"/>
      <c r="J693" s="224">
        <f>ROUND(I693*H693,0)</f>
        <v>0</v>
      </c>
      <c r="K693" s="225"/>
      <c r="L693" s="43"/>
      <c r="M693" s="226" t="s">
        <v>1</v>
      </c>
      <c r="N693" s="227" t="s">
        <v>42</v>
      </c>
      <c r="O693" s="90"/>
      <c r="P693" s="228">
        <f>O693*H693</f>
        <v>0</v>
      </c>
      <c r="Q693" s="228">
        <v>0.0040000000000000001</v>
      </c>
      <c r="R693" s="228">
        <f>Q693*H693</f>
        <v>0.0072000000000000007</v>
      </c>
      <c r="S693" s="228">
        <v>0</v>
      </c>
      <c r="T693" s="229">
        <f>S693*H693</f>
        <v>0</v>
      </c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R693" s="230" t="s">
        <v>246</v>
      </c>
      <c r="AT693" s="230" t="s">
        <v>159</v>
      </c>
      <c r="AU693" s="230" t="s">
        <v>86</v>
      </c>
      <c r="AY693" s="16" t="s">
        <v>157</v>
      </c>
      <c r="BE693" s="231">
        <f>IF(N693="základní",J693,0)</f>
        <v>0</v>
      </c>
      <c r="BF693" s="231">
        <f>IF(N693="snížená",J693,0)</f>
        <v>0</v>
      </c>
      <c r="BG693" s="231">
        <f>IF(N693="zákl. přenesená",J693,0)</f>
        <v>0</v>
      </c>
      <c r="BH693" s="231">
        <f>IF(N693="sníž. přenesená",J693,0)</f>
        <v>0</v>
      </c>
      <c r="BI693" s="231">
        <f>IF(N693="nulová",J693,0)</f>
        <v>0</v>
      </c>
      <c r="BJ693" s="16" t="s">
        <v>8</v>
      </c>
      <c r="BK693" s="231">
        <f>ROUND(I693*H693,0)</f>
        <v>0</v>
      </c>
      <c r="BL693" s="16" t="s">
        <v>246</v>
      </c>
      <c r="BM693" s="230" t="s">
        <v>1219</v>
      </c>
    </row>
    <row r="694" s="13" customFormat="1">
      <c r="A694" s="13"/>
      <c r="B694" s="232"/>
      <c r="C694" s="233"/>
      <c r="D694" s="234" t="s">
        <v>165</v>
      </c>
      <c r="E694" s="235" t="s">
        <v>1</v>
      </c>
      <c r="F694" s="236" t="s">
        <v>1220</v>
      </c>
      <c r="G694" s="233"/>
      <c r="H694" s="237">
        <v>1.8</v>
      </c>
      <c r="I694" s="238"/>
      <c r="J694" s="233"/>
      <c r="K694" s="233"/>
      <c r="L694" s="239"/>
      <c r="M694" s="240"/>
      <c r="N694" s="241"/>
      <c r="O694" s="241"/>
      <c r="P694" s="241"/>
      <c r="Q694" s="241"/>
      <c r="R694" s="241"/>
      <c r="S694" s="241"/>
      <c r="T694" s="242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T694" s="243" t="s">
        <v>165</v>
      </c>
      <c r="AU694" s="243" t="s">
        <v>86</v>
      </c>
      <c r="AV694" s="13" t="s">
        <v>86</v>
      </c>
      <c r="AW694" s="13" t="s">
        <v>32</v>
      </c>
      <c r="AX694" s="13" t="s">
        <v>77</v>
      </c>
      <c r="AY694" s="243" t="s">
        <v>157</v>
      </c>
    </row>
    <row r="695" s="2" customFormat="1" ht="33" customHeight="1">
      <c r="A695" s="37"/>
      <c r="B695" s="38"/>
      <c r="C695" s="218" t="s">
        <v>1221</v>
      </c>
      <c r="D695" s="218" t="s">
        <v>159</v>
      </c>
      <c r="E695" s="219" t="s">
        <v>1222</v>
      </c>
      <c r="F695" s="220" t="s">
        <v>1223</v>
      </c>
      <c r="G695" s="221" t="s">
        <v>216</v>
      </c>
      <c r="H695" s="222">
        <v>97.200000000000003</v>
      </c>
      <c r="I695" s="223"/>
      <c r="J695" s="224">
        <f>ROUND(I695*H695,0)</f>
        <v>0</v>
      </c>
      <c r="K695" s="225"/>
      <c r="L695" s="43"/>
      <c r="M695" s="226" t="s">
        <v>1</v>
      </c>
      <c r="N695" s="227" t="s">
        <v>42</v>
      </c>
      <c r="O695" s="90"/>
      <c r="P695" s="228">
        <f>O695*H695</f>
        <v>0</v>
      </c>
      <c r="Q695" s="228">
        <v>0.0029399999999999999</v>
      </c>
      <c r="R695" s="228">
        <f>Q695*H695</f>
        <v>0.28576800000000002</v>
      </c>
      <c r="S695" s="228">
        <v>0</v>
      </c>
      <c r="T695" s="229">
        <f>S695*H695</f>
        <v>0</v>
      </c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R695" s="230" t="s">
        <v>246</v>
      </c>
      <c r="AT695" s="230" t="s">
        <v>159</v>
      </c>
      <c r="AU695" s="230" t="s">
        <v>86</v>
      </c>
      <c r="AY695" s="16" t="s">
        <v>157</v>
      </c>
      <c r="BE695" s="231">
        <f>IF(N695="základní",J695,0)</f>
        <v>0</v>
      </c>
      <c r="BF695" s="231">
        <f>IF(N695="snížená",J695,0)</f>
        <v>0</v>
      </c>
      <c r="BG695" s="231">
        <f>IF(N695="zákl. přenesená",J695,0)</f>
        <v>0</v>
      </c>
      <c r="BH695" s="231">
        <f>IF(N695="sníž. přenesená",J695,0)</f>
        <v>0</v>
      </c>
      <c r="BI695" s="231">
        <f>IF(N695="nulová",J695,0)</f>
        <v>0</v>
      </c>
      <c r="BJ695" s="16" t="s">
        <v>8</v>
      </c>
      <c r="BK695" s="231">
        <f>ROUND(I695*H695,0)</f>
        <v>0</v>
      </c>
      <c r="BL695" s="16" t="s">
        <v>246</v>
      </c>
      <c r="BM695" s="230" t="s">
        <v>1224</v>
      </c>
    </row>
    <row r="696" s="13" customFormat="1">
      <c r="A696" s="13"/>
      <c r="B696" s="232"/>
      <c r="C696" s="233"/>
      <c r="D696" s="234" t="s">
        <v>165</v>
      </c>
      <c r="E696" s="235" t="s">
        <v>1</v>
      </c>
      <c r="F696" s="236" t="s">
        <v>1225</v>
      </c>
      <c r="G696" s="233"/>
      <c r="H696" s="237">
        <v>97.200000000000003</v>
      </c>
      <c r="I696" s="238"/>
      <c r="J696" s="233"/>
      <c r="K696" s="233"/>
      <c r="L696" s="239"/>
      <c r="M696" s="240"/>
      <c r="N696" s="241"/>
      <c r="O696" s="241"/>
      <c r="P696" s="241"/>
      <c r="Q696" s="241"/>
      <c r="R696" s="241"/>
      <c r="S696" s="241"/>
      <c r="T696" s="242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T696" s="243" t="s">
        <v>165</v>
      </c>
      <c r="AU696" s="243" t="s">
        <v>86</v>
      </c>
      <c r="AV696" s="13" t="s">
        <v>86</v>
      </c>
      <c r="AW696" s="13" t="s">
        <v>32</v>
      </c>
      <c r="AX696" s="13" t="s">
        <v>77</v>
      </c>
      <c r="AY696" s="243" t="s">
        <v>157</v>
      </c>
    </row>
    <row r="697" s="2" customFormat="1" ht="24.15" customHeight="1">
      <c r="A697" s="37"/>
      <c r="B697" s="38"/>
      <c r="C697" s="218" t="s">
        <v>1226</v>
      </c>
      <c r="D697" s="218" t="s">
        <v>159</v>
      </c>
      <c r="E697" s="219" t="s">
        <v>1227</v>
      </c>
      <c r="F697" s="220" t="s">
        <v>1228</v>
      </c>
      <c r="G697" s="221" t="s">
        <v>193</v>
      </c>
      <c r="H697" s="222">
        <v>0.97099999999999997</v>
      </c>
      <c r="I697" s="223"/>
      <c r="J697" s="224">
        <f>ROUND(I697*H697,0)</f>
        <v>0</v>
      </c>
      <c r="K697" s="225"/>
      <c r="L697" s="43"/>
      <c r="M697" s="226" t="s">
        <v>1</v>
      </c>
      <c r="N697" s="227" t="s">
        <v>42</v>
      </c>
      <c r="O697" s="90"/>
      <c r="P697" s="228">
        <f>O697*H697</f>
        <v>0</v>
      </c>
      <c r="Q697" s="228">
        <v>0</v>
      </c>
      <c r="R697" s="228">
        <f>Q697*H697</f>
        <v>0</v>
      </c>
      <c r="S697" s="228">
        <v>0</v>
      </c>
      <c r="T697" s="229">
        <f>S697*H697</f>
        <v>0</v>
      </c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R697" s="230" t="s">
        <v>246</v>
      </c>
      <c r="AT697" s="230" t="s">
        <v>159</v>
      </c>
      <c r="AU697" s="230" t="s">
        <v>86</v>
      </c>
      <c r="AY697" s="16" t="s">
        <v>157</v>
      </c>
      <c r="BE697" s="231">
        <f>IF(N697="základní",J697,0)</f>
        <v>0</v>
      </c>
      <c r="BF697" s="231">
        <f>IF(N697="snížená",J697,0)</f>
        <v>0</v>
      </c>
      <c r="BG697" s="231">
        <f>IF(N697="zákl. přenesená",J697,0)</f>
        <v>0</v>
      </c>
      <c r="BH697" s="231">
        <f>IF(N697="sníž. přenesená",J697,0)</f>
        <v>0</v>
      </c>
      <c r="BI697" s="231">
        <f>IF(N697="nulová",J697,0)</f>
        <v>0</v>
      </c>
      <c r="BJ697" s="16" t="s">
        <v>8</v>
      </c>
      <c r="BK697" s="231">
        <f>ROUND(I697*H697,0)</f>
        <v>0</v>
      </c>
      <c r="BL697" s="16" t="s">
        <v>246</v>
      </c>
      <c r="BM697" s="230" t="s">
        <v>1229</v>
      </c>
    </row>
    <row r="698" s="12" customFormat="1" ht="22.8" customHeight="1">
      <c r="A698" s="12"/>
      <c r="B698" s="202"/>
      <c r="C698" s="203"/>
      <c r="D698" s="204" t="s">
        <v>76</v>
      </c>
      <c r="E698" s="216" t="s">
        <v>1230</v>
      </c>
      <c r="F698" s="216" t="s">
        <v>1231</v>
      </c>
      <c r="G698" s="203"/>
      <c r="H698" s="203"/>
      <c r="I698" s="206"/>
      <c r="J698" s="217">
        <f>BK698</f>
        <v>0</v>
      </c>
      <c r="K698" s="203"/>
      <c r="L698" s="208"/>
      <c r="M698" s="209"/>
      <c r="N698" s="210"/>
      <c r="O698" s="210"/>
      <c r="P698" s="211">
        <f>SUM(P699:P729)</f>
        <v>0</v>
      </c>
      <c r="Q698" s="210"/>
      <c r="R698" s="211">
        <f>SUM(R699:R729)</f>
        <v>0.29694600000000004</v>
      </c>
      <c r="S698" s="210"/>
      <c r="T698" s="212">
        <f>SUM(T699:T729)</f>
        <v>0</v>
      </c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R698" s="213" t="s">
        <v>86</v>
      </c>
      <c r="AT698" s="214" t="s">
        <v>76</v>
      </c>
      <c r="AU698" s="214" t="s">
        <v>8</v>
      </c>
      <c r="AY698" s="213" t="s">
        <v>157</v>
      </c>
      <c r="BK698" s="215">
        <f>SUM(BK699:BK729)</f>
        <v>0</v>
      </c>
    </row>
    <row r="699" s="2" customFormat="1" ht="24.15" customHeight="1">
      <c r="A699" s="37"/>
      <c r="B699" s="38"/>
      <c r="C699" s="218" t="s">
        <v>1232</v>
      </c>
      <c r="D699" s="218" t="s">
        <v>159</v>
      </c>
      <c r="E699" s="219" t="s">
        <v>1233</v>
      </c>
      <c r="F699" s="220" t="s">
        <v>1234</v>
      </c>
      <c r="G699" s="221" t="s">
        <v>565</v>
      </c>
      <c r="H699" s="222">
        <v>55</v>
      </c>
      <c r="I699" s="223"/>
      <c r="J699" s="224">
        <f>ROUND(I699*H699,0)</f>
        <v>0</v>
      </c>
      <c r="K699" s="225"/>
      <c r="L699" s="43"/>
      <c r="M699" s="226" t="s">
        <v>1</v>
      </c>
      <c r="N699" s="227" t="s">
        <v>42</v>
      </c>
      <c r="O699" s="90"/>
      <c r="P699" s="228">
        <f>O699*H699</f>
        <v>0</v>
      </c>
      <c r="Q699" s="228">
        <v>0</v>
      </c>
      <c r="R699" s="228">
        <f>Q699*H699</f>
        <v>0</v>
      </c>
      <c r="S699" s="228">
        <v>0</v>
      </c>
      <c r="T699" s="229">
        <f>S699*H699</f>
        <v>0</v>
      </c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R699" s="230" t="s">
        <v>246</v>
      </c>
      <c r="AT699" s="230" t="s">
        <v>159</v>
      </c>
      <c r="AU699" s="230" t="s">
        <v>86</v>
      </c>
      <c r="AY699" s="16" t="s">
        <v>157</v>
      </c>
      <c r="BE699" s="231">
        <f>IF(N699="základní",J699,0)</f>
        <v>0</v>
      </c>
      <c r="BF699" s="231">
        <f>IF(N699="snížená",J699,0)</f>
        <v>0</v>
      </c>
      <c r="BG699" s="231">
        <f>IF(N699="zákl. přenesená",J699,0)</f>
        <v>0</v>
      </c>
      <c r="BH699" s="231">
        <f>IF(N699="sníž. přenesená",J699,0)</f>
        <v>0</v>
      </c>
      <c r="BI699" s="231">
        <f>IF(N699="nulová",J699,0)</f>
        <v>0</v>
      </c>
      <c r="BJ699" s="16" t="s">
        <v>8</v>
      </c>
      <c r="BK699" s="231">
        <f>ROUND(I699*H699,0)</f>
        <v>0</v>
      </c>
      <c r="BL699" s="16" t="s">
        <v>246</v>
      </c>
      <c r="BM699" s="230" t="s">
        <v>1235</v>
      </c>
    </row>
    <row r="700" s="13" customFormat="1">
      <c r="A700" s="13"/>
      <c r="B700" s="232"/>
      <c r="C700" s="233"/>
      <c r="D700" s="234" t="s">
        <v>165</v>
      </c>
      <c r="E700" s="235" t="s">
        <v>1</v>
      </c>
      <c r="F700" s="236" t="s">
        <v>567</v>
      </c>
      <c r="G700" s="233"/>
      <c r="H700" s="237">
        <v>22</v>
      </c>
      <c r="I700" s="238"/>
      <c r="J700" s="233"/>
      <c r="K700" s="233"/>
      <c r="L700" s="239"/>
      <c r="M700" s="240"/>
      <c r="N700" s="241"/>
      <c r="O700" s="241"/>
      <c r="P700" s="241"/>
      <c r="Q700" s="241"/>
      <c r="R700" s="241"/>
      <c r="S700" s="241"/>
      <c r="T700" s="242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T700" s="243" t="s">
        <v>165</v>
      </c>
      <c r="AU700" s="243" t="s">
        <v>86</v>
      </c>
      <c r="AV700" s="13" t="s">
        <v>86</v>
      </c>
      <c r="AW700" s="13" t="s">
        <v>32</v>
      </c>
      <c r="AX700" s="13" t="s">
        <v>77</v>
      </c>
      <c r="AY700" s="243" t="s">
        <v>157</v>
      </c>
    </row>
    <row r="701" s="13" customFormat="1">
      <c r="A701" s="13"/>
      <c r="B701" s="232"/>
      <c r="C701" s="233"/>
      <c r="D701" s="234" t="s">
        <v>165</v>
      </c>
      <c r="E701" s="235" t="s">
        <v>1</v>
      </c>
      <c r="F701" s="236" t="s">
        <v>568</v>
      </c>
      <c r="G701" s="233"/>
      <c r="H701" s="237">
        <v>32</v>
      </c>
      <c r="I701" s="238"/>
      <c r="J701" s="233"/>
      <c r="K701" s="233"/>
      <c r="L701" s="239"/>
      <c r="M701" s="240"/>
      <c r="N701" s="241"/>
      <c r="O701" s="241"/>
      <c r="P701" s="241"/>
      <c r="Q701" s="241"/>
      <c r="R701" s="241"/>
      <c r="S701" s="241"/>
      <c r="T701" s="242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T701" s="243" t="s">
        <v>165</v>
      </c>
      <c r="AU701" s="243" t="s">
        <v>86</v>
      </c>
      <c r="AV701" s="13" t="s">
        <v>86</v>
      </c>
      <c r="AW701" s="13" t="s">
        <v>32</v>
      </c>
      <c r="AX701" s="13" t="s">
        <v>77</v>
      </c>
      <c r="AY701" s="243" t="s">
        <v>157</v>
      </c>
    </row>
    <row r="702" s="13" customFormat="1">
      <c r="A702" s="13"/>
      <c r="B702" s="232"/>
      <c r="C702" s="233"/>
      <c r="D702" s="234" t="s">
        <v>165</v>
      </c>
      <c r="E702" s="235" t="s">
        <v>1</v>
      </c>
      <c r="F702" s="236" t="s">
        <v>570</v>
      </c>
      <c r="G702" s="233"/>
      <c r="H702" s="237">
        <v>1</v>
      </c>
      <c r="I702" s="238"/>
      <c r="J702" s="233"/>
      <c r="K702" s="233"/>
      <c r="L702" s="239"/>
      <c r="M702" s="240"/>
      <c r="N702" s="241"/>
      <c r="O702" s="241"/>
      <c r="P702" s="241"/>
      <c r="Q702" s="241"/>
      <c r="R702" s="241"/>
      <c r="S702" s="241"/>
      <c r="T702" s="242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T702" s="243" t="s">
        <v>165</v>
      </c>
      <c r="AU702" s="243" t="s">
        <v>86</v>
      </c>
      <c r="AV702" s="13" t="s">
        <v>86</v>
      </c>
      <c r="AW702" s="13" t="s">
        <v>32</v>
      </c>
      <c r="AX702" s="13" t="s">
        <v>77</v>
      </c>
      <c r="AY702" s="243" t="s">
        <v>157</v>
      </c>
    </row>
    <row r="703" s="2" customFormat="1" ht="24.15" customHeight="1">
      <c r="A703" s="37"/>
      <c r="B703" s="38"/>
      <c r="C703" s="254" t="s">
        <v>1236</v>
      </c>
      <c r="D703" s="254" t="s">
        <v>229</v>
      </c>
      <c r="E703" s="255" t="s">
        <v>1237</v>
      </c>
      <c r="F703" s="256" t="s">
        <v>1238</v>
      </c>
      <c r="G703" s="257" t="s">
        <v>353</v>
      </c>
      <c r="H703" s="258">
        <v>22</v>
      </c>
      <c r="I703" s="259"/>
      <c r="J703" s="260">
        <f>ROUND(I703*H703,0)</f>
        <v>0</v>
      </c>
      <c r="K703" s="261"/>
      <c r="L703" s="262"/>
      <c r="M703" s="263" t="s">
        <v>1</v>
      </c>
      <c r="N703" s="264" t="s">
        <v>42</v>
      </c>
      <c r="O703" s="90"/>
      <c r="P703" s="228">
        <f>O703*H703</f>
        <v>0</v>
      </c>
      <c r="Q703" s="228">
        <v>0</v>
      </c>
      <c r="R703" s="228">
        <f>Q703*H703</f>
        <v>0</v>
      </c>
      <c r="S703" s="228">
        <v>0</v>
      </c>
      <c r="T703" s="229">
        <f>S703*H703</f>
        <v>0</v>
      </c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R703" s="230" t="s">
        <v>329</v>
      </c>
      <c r="AT703" s="230" t="s">
        <v>229</v>
      </c>
      <c r="AU703" s="230" t="s">
        <v>86</v>
      </c>
      <c r="AY703" s="16" t="s">
        <v>157</v>
      </c>
      <c r="BE703" s="231">
        <f>IF(N703="základní",J703,0)</f>
        <v>0</v>
      </c>
      <c r="BF703" s="231">
        <f>IF(N703="snížená",J703,0)</f>
        <v>0</v>
      </c>
      <c r="BG703" s="231">
        <f>IF(N703="zákl. přenesená",J703,0)</f>
        <v>0</v>
      </c>
      <c r="BH703" s="231">
        <f>IF(N703="sníž. přenesená",J703,0)</f>
        <v>0</v>
      </c>
      <c r="BI703" s="231">
        <f>IF(N703="nulová",J703,0)</f>
        <v>0</v>
      </c>
      <c r="BJ703" s="16" t="s">
        <v>8</v>
      </c>
      <c r="BK703" s="231">
        <f>ROUND(I703*H703,0)</f>
        <v>0</v>
      </c>
      <c r="BL703" s="16" t="s">
        <v>246</v>
      </c>
      <c r="BM703" s="230" t="s">
        <v>1239</v>
      </c>
    </row>
    <row r="704" s="2" customFormat="1" ht="24.15" customHeight="1">
      <c r="A704" s="37"/>
      <c r="B704" s="38"/>
      <c r="C704" s="254" t="s">
        <v>1240</v>
      </c>
      <c r="D704" s="254" t="s">
        <v>229</v>
      </c>
      <c r="E704" s="255" t="s">
        <v>1241</v>
      </c>
      <c r="F704" s="256" t="s">
        <v>1242</v>
      </c>
      <c r="G704" s="257" t="s">
        <v>353</v>
      </c>
      <c r="H704" s="258">
        <v>33</v>
      </c>
      <c r="I704" s="259"/>
      <c r="J704" s="260">
        <f>ROUND(I704*H704,0)</f>
        <v>0</v>
      </c>
      <c r="K704" s="261"/>
      <c r="L704" s="262"/>
      <c r="M704" s="263" t="s">
        <v>1</v>
      </c>
      <c r="N704" s="264" t="s">
        <v>42</v>
      </c>
      <c r="O704" s="90"/>
      <c r="P704" s="228">
        <f>O704*H704</f>
        <v>0</v>
      </c>
      <c r="Q704" s="228">
        <v>0</v>
      </c>
      <c r="R704" s="228">
        <f>Q704*H704</f>
        <v>0</v>
      </c>
      <c r="S704" s="228">
        <v>0</v>
      </c>
      <c r="T704" s="229">
        <f>S704*H704</f>
        <v>0</v>
      </c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R704" s="230" t="s">
        <v>329</v>
      </c>
      <c r="AT704" s="230" t="s">
        <v>229</v>
      </c>
      <c r="AU704" s="230" t="s">
        <v>86</v>
      </c>
      <c r="AY704" s="16" t="s">
        <v>157</v>
      </c>
      <c r="BE704" s="231">
        <f>IF(N704="základní",J704,0)</f>
        <v>0</v>
      </c>
      <c r="BF704" s="231">
        <f>IF(N704="snížená",J704,0)</f>
        <v>0</v>
      </c>
      <c r="BG704" s="231">
        <f>IF(N704="zákl. přenesená",J704,0)</f>
        <v>0</v>
      </c>
      <c r="BH704" s="231">
        <f>IF(N704="sníž. přenesená",J704,0)</f>
        <v>0</v>
      </c>
      <c r="BI704" s="231">
        <f>IF(N704="nulová",J704,0)</f>
        <v>0</v>
      </c>
      <c r="BJ704" s="16" t="s">
        <v>8</v>
      </c>
      <c r="BK704" s="231">
        <f>ROUND(I704*H704,0)</f>
        <v>0</v>
      </c>
      <c r="BL704" s="16" t="s">
        <v>246</v>
      </c>
      <c r="BM704" s="230" t="s">
        <v>1243</v>
      </c>
    </row>
    <row r="705" s="2" customFormat="1" ht="24.15" customHeight="1">
      <c r="A705" s="37"/>
      <c r="B705" s="38"/>
      <c r="C705" s="218" t="s">
        <v>1244</v>
      </c>
      <c r="D705" s="218" t="s">
        <v>159</v>
      </c>
      <c r="E705" s="219" t="s">
        <v>1245</v>
      </c>
      <c r="F705" s="220" t="s">
        <v>1246</v>
      </c>
      <c r="G705" s="221" t="s">
        <v>565</v>
      </c>
      <c r="H705" s="222">
        <v>2</v>
      </c>
      <c r="I705" s="223"/>
      <c r="J705" s="224">
        <f>ROUND(I705*H705,0)</f>
        <v>0</v>
      </c>
      <c r="K705" s="225"/>
      <c r="L705" s="43"/>
      <c r="M705" s="226" t="s">
        <v>1</v>
      </c>
      <c r="N705" s="227" t="s">
        <v>42</v>
      </c>
      <c r="O705" s="90"/>
      <c r="P705" s="228">
        <f>O705*H705</f>
        <v>0</v>
      </c>
      <c r="Q705" s="228">
        <v>0</v>
      </c>
      <c r="R705" s="228">
        <f>Q705*H705</f>
        <v>0</v>
      </c>
      <c r="S705" s="228">
        <v>0</v>
      </c>
      <c r="T705" s="229">
        <f>S705*H705</f>
        <v>0</v>
      </c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R705" s="230" t="s">
        <v>246</v>
      </c>
      <c r="AT705" s="230" t="s">
        <v>159</v>
      </c>
      <c r="AU705" s="230" t="s">
        <v>86</v>
      </c>
      <c r="AY705" s="16" t="s">
        <v>157</v>
      </c>
      <c r="BE705" s="231">
        <f>IF(N705="základní",J705,0)</f>
        <v>0</v>
      </c>
      <c r="BF705" s="231">
        <f>IF(N705="snížená",J705,0)</f>
        <v>0</v>
      </c>
      <c r="BG705" s="231">
        <f>IF(N705="zákl. přenesená",J705,0)</f>
        <v>0</v>
      </c>
      <c r="BH705" s="231">
        <f>IF(N705="sníž. přenesená",J705,0)</f>
        <v>0</v>
      </c>
      <c r="BI705" s="231">
        <f>IF(N705="nulová",J705,0)</f>
        <v>0</v>
      </c>
      <c r="BJ705" s="16" t="s">
        <v>8</v>
      </c>
      <c r="BK705" s="231">
        <f>ROUND(I705*H705,0)</f>
        <v>0</v>
      </c>
      <c r="BL705" s="16" t="s">
        <v>246</v>
      </c>
      <c r="BM705" s="230" t="s">
        <v>1247</v>
      </c>
    </row>
    <row r="706" s="13" customFormat="1">
      <c r="A706" s="13"/>
      <c r="B706" s="232"/>
      <c r="C706" s="233"/>
      <c r="D706" s="234" t="s">
        <v>165</v>
      </c>
      <c r="E706" s="235" t="s">
        <v>1</v>
      </c>
      <c r="F706" s="236" t="s">
        <v>569</v>
      </c>
      <c r="G706" s="233"/>
      <c r="H706" s="237">
        <v>2</v>
      </c>
      <c r="I706" s="238"/>
      <c r="J706" s="233"/>
      <c r="K706" s="233"/>
      <c r="L706" s="239"/>
      <c r="M706" s="240"/>
      <c r="N706" s="241"/>
      <c r="O706" s="241"/>
      <c r="P706" s="241"/>
      <c r="Q706" s="241"/>
      <c r="R706" s="241"/>
      <c r="S706" s="241"/>
      <c r="T706" s="242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T706" s="243" t="s">
        <v>165</v>
      </c>
      <c r="AU706" s="243" t="s">
        <v>86</v>
      </c>
      <c r="AV706" s="13" t="s">
        <v>86</v>
      </c>
      <c r="AW706" s="13" t="s">
        <v>32</v>
      </c>
      <c r="AX706" s="13" t="s">
        <v>77</v>
      </c>
      <c r="AY706" s="243" t="s">
        <v>157</v>
      </c>
    </row>
    <row r="707" s="2" customFormat="1" ht="24.15" customHeight="1">
      <c r="A707" s="37"/>
      <c r="B707" s="38"/>
      <c r="C707" s="254" t="s">
        <v>1248</v>
      </c>
      <c r="D707" s="254" t="s">
        <v>229</v>
      </c>
      <c r="E707" s="255" t="s">
        <v>1249</v>
      </c>
      <c r="F707" s="256" t="s">
        <v>1250</v>
      </c>
      <c r="G707" s="257" t="s">
        <v>353</v>
      </c>
      <c r="H707" s="258">
        <v>2</v>
      </c>
      <c r="I707" s="259"/>
      <c r="J707" s="260">
        <f>ROUND(I707*H707,0)</f>
        <v>0</v>
      </c>
      <c r="K707" s="261"/>
      <c r="L707" s="262"/>
      <c r="M707" s="263" t="s">
        <v>1</v>
      </c>
      <c r="N707" s="264" t="s">
        <v>42</v>
      </c>
      <c r="O707" s="90"/>
      <c r="P707" s="228">
        <f>O707*H707</f>
        <v>0</v>
      </c>
      <c r="Q707" s="228">
        <v>0</v>
      </c>
      <c r="R707" s="228">
        <f>Q707*H707</f>
        <v>0</v>
      </c>
      <c r="S707" s="228">
        <v>0</v>
      </c>
      <c r="T707" s="229">
        <f>S707*H707</f>
        <v>0</v>
      </c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R707" s="230" t="s">
        <v>329</v>
      </c>
      <c r="AT707" s="230" t="s">
        <v>229</v>
      </c>
      <c r="AU707" s="230" t="s">
        <v>86</v>
      </c>
      <c r="AY707" s="16" t="s">
        <v>157</v>
      </c>
      <c r="BE707" s="231">
        <f>IF(N707="základní",J707,0)</f>
        <v>0</v>
      </c>
      <c r="BF707" s="231">
        <f>IF(N707="snížená",J707,0)</f>
        <v>0</v>
      </c>
      <c r="BG707" s="231">
        <f>IF(N707="zákl. přenesená",J707,0)</f>
        <v>0</v>
      </c>
      <c r="BH707" s="231">
        <f>IF(N707="sníž. přenesená",J707,0)</f>
        <v>0</v>
      </c>
      <c r="BI707" s="231">
        <f>IF(N707="nulová",J707,0)</f>
        <v>0</v>
      </c>
      <c r="BJ707" s="16" t="s">
        <v>8</v>
      </c>
      <c r="BK707" s="231">
        <f>ROUND(I707*H707,0)</f>
        <v>0</v>
      </c>
      <c r="BL707" s="16" t="s">
        <v>246</v>
      </c>
      <c r="BM707" s="230" t="s">
        <v>1251</v>
      </c>
    </row>
    <row r="708" s="2" customFormat="1" ht="24.15" customHeight="1">
      <c r="A708" s="37"/>
      <c r="B708" s="38"/>
      <c r="C708" s="218" t="s">
        <v>1252</v>
      </c>
      <c r="D708" s="218" t="s">
        <v>159</v>
      </c>
      <c r="E708" s="219" t="s">
        <v>1253</v>
      </c>
      <c r="F708" s="220" t="s">
        <v>1254</v>
      </c>
      <c r="G708" s="221" t="s">
        <v>565</v>
      </c>
      <c r="H708" s="222">
        <v>10</v>
      </c>
      <c r="I708" s="223"/>
      <c r="J708" s="224">
        <f>ROUND(I708*H708,0)</f>
        <v>0</v>
      </c>
      <c r="K708" s="225"/>
      <c r="L708" s="43"/>
      <c r="M708" s="226" t="s">
        <v>1</v>
      </c>
      <c r="N708" s="227" t="s">
        <v>42</v>
      </c>
      <c r="O708" s="90"/>
      <c r="P708" s="228">
        <f>O708*H708</f>
        <v>0</v>
      </c>
      <c r="Q708" s="228">
        <v>0</v>
      </c>
      <c r="R708" s="228">
        <f>Q708*H708</f>
        <v>0</v>
      </c>
      <c r="S708" s="228">
        <v>0</v>
      </c>
      <c r="T708" s="229">
        <f>S708*H708</f>
        <v>0</v>
      </c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R708" s="230" t="s">
        <v>246</v>
      </c>
      <c r="AT708" s="230" t="s">
        <v>159</v>
      </c>
      <c r="AU708" s="230" t="s">
        <v>86</v>
      </c>
      <c r="AY708" s="16" t="s">
        <v>157</v>
      </c>
      <c r="BE708" s="231">
        <f>IF(N708="základní",J708,0)</f>
        <v>0</v>
      </c>
      <c r="BF708" s="231">
        <f>IF(N708="snížená",J708,0)</f>
        <v>0</v>
      </c>
      <c r="BG708" s="231">
        <f>IF(N708="zákl. přenesená",J708,0)</f>
        <v>0</v>
      </c>
      <c r="BH708" s="231">
        <f>IF(N708="sníž. přenesená",J708,0)</f>
        <v>0</v>
      </c>
      <c r="BI708" s="231">
        <f>IF(N708="nulová",J708,0)</f>
        <v>0</v>
      </c>
      <c r="BJ708" s="16" t="s">
        <v>8</v>
      </c>
      <c r="BK708" s="231">
        <f>ROUND(I708*H708,0)</f>
        <v>0</v>
      </c>
      <c r="BL708" s="16" t="s">
        <v>246</v>
      </c>
      <c r="BM708" s="230" t="s">
        <v>1255</v>
      </c>
    </row>
    <row r="709" s="13" customFormat="1">
      <c r="A709" s="13"/>
      <c r="B709" s="232"/>
      <c r="C709" s="233"/>
      <c r="D709" s="234" t="s">
        <v>165</v>
      </c>
      <c r="E709" s="235" t="s">
        <v>1</v>
      </c>
      <c r="F709" s="236" t="s">
        <v>579</v>
      </c>
      <c r="G709" s="233"/>
      <c r="H709" s="237">
        <v>1</v>
      </c>
      <c r="I709" s="238"/>
      <c r="J709" s="233"/>
      <c r="K709" s="233"/>
      <c r="L709" s="239"/>
      <c r="M709" s="240"/>
      <c r="N709" s="241"/>
      <c r="O709" s="241"/>
      <c r="P709" s="241"/>
      <c r="Q709" s="241"/>
      <c r="R709" s="241"/>
      <c r="S709" s="241"/>
      <c r="T709" s="242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T709" s="243" t="s">
        <v>165</v>
      </c>
      <c r="AU709" s="243" t="s">
        <v>86</v>
      </c>
      <c r="AV709" s="13" t="s">
        <v>86</v>
      </c>
      <c r="AW709" s="13" t="s">
        <v>32</v>
      </c>
      <c r="AX709" s="13" t="s">
        <v>77</v>
      </c>
      <c r="AY709" s="243" t="s">
        <v>157</v>
      </c>
    </row>
    <row r="710" s="13" customFormat="1">
      <c r="A710" s="13"/>
      <c r="B710" s="232"/>
      <c r="C710" s="233"/>
      <c r="D710" s="234" t="s">
        <v>165</v>
      </c>
      <c r="E710" s="235" t="s">
        <v>1</v>
      </c>
      <c r="F710" s="236" t="s">
        <v>580</v>
      </c>
      <c r="G710" s="233"/>
      <c r="H710" s="237">
        <v>1</v>
      </c>
      <c r="I710" s="238"/>
      <c r="J710" s="233"/>
      <c r="K710" s="233"/>
      <c r="L710" s="239"/>
      <c r="M710" s="240"/>
      <c r="N710" s="241"/>
      <c r="O710" s="241"/>
      <c r="P710" s="241"/>
      <c r="Q710" s="241"/>
      <c r="R710" s="241"/>
      <c r="S710" s="241"/>
      <c r="T710" s="242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T710" s="243" t="s">
        <v>165</v>
      </c>
      <c r="AU710" s="243" t="s">
        <v>86</v>
      </c>
      <c r="AV710" s="13" t="s">
        <v>86</v>
      </c>
      <c r="AW710" s="13" t="s">
        <v>32</v>
      </c>
      <c r="AX710" s="13" t="s">
        <v>77</v>
      </c>
      <c r="AY710" s="243" t="s">
        <v>157</v>
      </c>
    </row>
    <row r="711" s="13" customFormat="1">
      <c r="A711" s="13"/>
      <c r="B711" s="232"/>
      <c r="C711" s="233"/>
      <c r="D711" s="234" t="s">
        <v>165</v>
      </c>
      <c r="E711" s="235" t="s">
        <v>1</v>
      </c>
      <c r="F711" s="236" t="s">
        <v>581</v>
      </c>
      <c r="G711" s="233"/>
      <c r="H711" s="237">
        <v>7</v>
      </c>
      <c r="I711" s="238"/>
      <c r="J711" s="233"/>
      <c r="K711" s="233"/>
      <c r="L711" s="239"/>
      <c r="M711" s="240"/>
      <c r="N711" s="241"/>
      <c r="O711" s="241"/>
      <c r="P711" s="241"/>
      <c r="Q711" s="241"/>
      <c r="R711" s="241"/>
      <c r="S711" s="241"/>
      <c r="T711" s="242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T711" s="243" t="s">
        <v>165</v>
      </c>
      <c r="AU711" s="243" t="s">
        <v>86</v>
      </c>
      <c r="AV711" s="13" t="s">
        <v>86</v>
      </c>
      <c r="AW711" s="13" t="s">
        <v>32</v>
      </c>
      <c r="AX711" s="13" t="s">
        <v>77</v>
      </c>
      <c r="AY711" s="243" t="s">
        <v>157</v>
      </c>
    </row>
    <row r="712" s="13" customFormat="1">
      <c r="A712" s="13"/>
      <c r="B712" s="232"/>
      <c r="C712" s="233"/>
      <c r="D712" s="234" t="s">
        <v>165</v>
      </c>
      <c r="E712" s="235" t="s">
        <v>1</v>
      </c>
      <c r="F712" s="236" t="s">
        <v>582</v>
      </c>
      <c r="G712" s="233"/>
      <c r="H712" s="237">
        <v>1</v>
      </c>
      <c r="I712" s="238"/>
      <c r="J712" s="233"/>
      <c r="K712" s="233"/>
      <c r="L712" s="239"/>
      <c r="M712" s="240"/>
      <c r="N712" s="241"/>
      <c r="O712" s="241"/>
      <c r="P712" s="241"/>
      <c r="Q712" s="241"/>
      <c r="R712" s="241"/>
      <c r="S712" s="241"/>
      <c r="T712" s="242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T712" s="243" t="s">
        <v>165</v>
      </c>
      <c r="AU712" s="243" t="s">
        <v>86</v>
      </c>
      <c r="AV712" s="13" t="s">
        <v>86</v>
      </c>
      <c r="AW712" s="13" t="s">
        <v>32</v>
      </c>
      <c r="AX712" s="13" t="s">
        <v>77</v>
      </c>
      <c r="AY712" s="243" t="s">
        <v>157</v>
      </c>
    </row>
    <row r="713" s="2" customFormat="1" ht="24.15" customHeight="1">
      <c r="A713" s="37"/>
      <c r="B713" s="38"/>
      <c r="C713" s="254" t="s">
        <v>1256</v>
      </c>
      <c r="D713" s="254" t="s">
        <v>229</v>
      </c>
      <c r="E713" s="255" t="s">
        <v>1257</v>
      </c>
      <c r="F713" s="256" t="s">
        <v>1258</v>
      </c>
      <c r="G713" s="257" t="s">
        <v>353</v>
      </c>
      <c r="H713" s="258">
        <v>10</v>
      </c>
      <c r="I713" s="259"/>
      <c r="J713" s="260">
        <f>ROUND(I713*H713,0)</f>
        <v>0</v>
      </c>
      <c r="K713" s="261"/>
      <c r="L713" s="262"/>
      <c r="M713" s="263" t="s">
        <v>1</v>
      </c>
      <c r="N713" s="264" t="s">
        <v>42</v>
      </c>
      <c r="O713" s="90"/>
      <c r="P713" s="228">
        <f>O713*H713</f>
        <v>0</v>
      </c>
      <c r="Q713" s="228">
        <v>0</v>
      </c>
      <c r="R713" s="228">
        <f>Q713*H713</f>
        <v>0</v>
      </c>
      <c r="S713" s="228">
        <v>0</v>
      </c>
      <c r="T713" s="229">
        <f>S713*H713</f>
        <v>0</v>
      </c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R713" s="230" t="s">
        <v>329</v>
      </c>
      <c r="AT713" s="230" t="s">
        <v>229</v>
      </c>
      <c r="AU713" s="230" t="s">
        <v>86</v>
      </c>
      <c r="AY713" s="16" t="s">
        <v>157</v>
      </c>
      <c r="BE713" s="231">
        <f>IF(N713="základní",J713,0)</f>
        <v>0</v>
      </c>
      <c r="BF713" s="231">
        <f>IF(N713="snížená",J713,0)</f>
        <v>0</v>
      </c>
      <c r="BG713" s="231">
        <f>IF(N713="zákl. přenesená",J713,0)</f>
        <v>0</v>
      </c>
      <c r="BH713" s="231">
        <f>IF(N713="sníž. přenesená",J713,0)</f>
        <v>0</v>
      </c>
      <c r="BI713" s="231">
        <f>IF(N713="nulová",J713,0)</f>
        <v>0</v>
      </c>
      <c r="BJ713" s="16" t="s">
        <v>8</v>
      </c>
      <c r="BK713" s="231">
        <f>ROUND(I713*H713,0)</f>
        <v>0</v>
      </c>
      <c r="BL713" s="16" t="s">
        <v>246</v>
      </c>
      <c r="BM713" s="230" t="s">
        <v>1259</v>
      </c>
    </row>
    <row r="714" s="2" customFormat="1" ht="24.15" customHeight="1">
      <c r="A714" s="37"/>
      <c r="B714" s="38"/>
      <c r="C714" s="218" t="s">
        <v>1260</v>
      </c>
      <c r="D714" s="218" t="s">
        <v>159</v>
      </c>
      <c r="E714" s="219" t="s">
        <v>1261</v>
      </c>
      <c r="F714" s="220" t="s">
        <v>1262</v>
      </c>
      <c r="G714" s="221" t="s">
        <v>565</v>
      </c>
      <c r="H714" s="222">
        <v>10</v>
      </c>
      <c r="I714" s="223"/>
      <c r="J714" s="224">
        <f>ROUND(I714*H714,0)</f>
        <v>0</v>
      </c>
      <c r="K714" s="225"/>
      <c r="L714" s="43"/>
      <c r="M714" s="226" t="s">
        <v>1</v>
      </c>
      <c r="N714" s="227" t="s">
        <v>42</v>
      </c>
      <c r="O714" s="90"/>
      <c r="P714" s="228">
        <f>O714*H714</f>
        <v>0</v>
      </c>
      <c r="Q714" s="228">
        <v>0</v>
      </c>
      <c r="R714" s="228">
        <f>Q714*H714</f>
        <v>0</v>
      </c>
      <c r="S714" s="228">
        <v>0</v>
      </c>
      <c r="T714" s="229">
        <f>S714*H714</f>
        <v>0</v>
      </c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R714" s="230" t="s">
        <v>246</v>
      </c>
      <c r="AT714" s="230" t="s">
        <v>159</v>
      </c>
      <c r="AU714" s="230" t="s">
        <v>86</v>
      </c>
      <c r="AY714" s="16" t="s">
        <v>157</v>
      </c>
      <c r="BE714" s="231">
        <f>IF(N714="základní",J714,0)</f>
        <v>0</v>
      </c>
      <c r="BF714" s="231">
        <f>IF(N714="snížená",J714,0)</f>
        <v>0</v>
      </c>
      <c r="BG714" s="231">
        <f>IF(N714="zákl. přenesená",J714,0)</f>
        <v>0</v>
      </c>
      <c r="BH714" s="231">
        <f>IF(N714="sníž. přenesená",J714,0)</f>
        <v>0</v>
      </c>
      <c r="BI714" s="231">
        <f>IF(N714="nulová",J714,0)</f>
        <v>0</v>
      </c>
      <c r="BJ714" s="16" t="s">
        <v>8</v>
      </c>
      <c r="BK714" s="231">
        <f>ROUND(I714*H714,0)</f>
        <v>0</v>
      </c>
      <c r="BL714" s="16" t="s">
        <v>246</v>
      </c>
      <c r="BM714" s="230" t="s">
        <v>1263</v>
      </c>
    </row>
    <row r="715" s="2" customFormat="1" ht="16.5" customHeight="1">
      <c r="A715" s="37"/>
      <c r="B715" s="38"/>
      <c r="C715" s="254" t="s">
        <v>1264</v>
      </c>
      <c r="D715" s="254" t="s">
        <v>229</v>
      </c>
      <c r="E715" s="255" t="s">
        <v>1265</v>
      </c>
      <c r="F715" s="256" t="s">
        <v>1266</v>
      </c>
      <c r="G715" s="257" t="s">
        <v>565</v>
      </c>
      <c r="H715" s="258">
        <v>10</v>
      </c>
      <c r="I715" s="259"/>
      <c r="J715" s="260">
        <f>ROUND(I715*H715,0)</f>
        <v>0</v>
      </c>
      <c r="K715" s="261"/>
      <c r="L715" s="262"/>
      <c r="M715" s="263" t="s">
        <v>1</v>
      </c>
      <c r="N715" s="264" t="s">
        <v>42</v>
      </c>
      <c r="O715" s="90"/>
      <c r="P715" s="228">
        <f>O715*H715</f>
        <v>0</v>
      </c>
      <c r="Q715" s="228">
        <v>0.0023999999999999998</v>
      </c>
      <c r="R715" s="228">
        <f>Q715*H715</f>
        <v>0.023999999999999997</v>
      </c>
      <c r="S715" s="228">
        <v>0</v>
      </c>
      <c r="T715" s="229">
        <f>S715*H715</f>
        <v>0</v>
      </c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R715" s="230" t="s">
        <v>329</v>
      </c>
      <c r="AT715" s="230" t="s">
        <v>229</v>
      </c>
      <c r="AU715" s="230" t="s">
        <v>86</v>
      </c>
      <c r="AY715" s="16" t="s">
        <v>157</v>
      </c>
      <c r="BE715" s="231">
        <f>IF(N715="základní",J715,0)</f>
        <v>0</v>
      </c>
      <c r="BF715" s="231">
        <f>IF(N715="snížená",J715,0)</f>
        <v>0</v>
      </c>
      <c r="BG715" s="231">
        <f>IF(N715="zákl. přenesená",J715,0)</f>
        <v>0</v>
      </c>
      <c r="BH715" s="231">
        <f>IF(N715="sníž. přenesená",J715,0)</f>
        <v>0</v>
      </c>
      <c r="BI715" s="231">
        <f>IF(N715="nulová",J715,0)</f>
        <v>0</v>
      </c>
      <c r="BJ715" s="16" t="s">
        <v>8</v>
      </c>
      <c r="BK715" s="231">
        <f>ROUND(I715*H715,0)</f>
        <v>0</v>
      </c>
      <c r="BL715" s="16" t="s">
        <v>246</v>
      </c>
      <c r="BM715" s="230" t="s">
        <v>1267</v>
      </c>
    </row>
    <row r="716" s="2" customFormat="1" ht="21.75" customHeight="1">
      <c r="A716" s="37"/>
      <c r="B716" s="38"/>
      <c r="C716" s="218" t="s">
        <v>1268</v>
      </c>
      <c r="D716" s="218" t="s">
        <v>159</v>
      </c>
      <c r="E716" s="219" t="s">
        <v>1269</v>
      </c>
      <c r="F716" s="220" t="s">
        <v>1270</v>
      </c>
      <c r="G716" s="221" t="s">
        <v>565</v>
      </c>
      <c r="H716" s="222">
        <v>67</v>
      </c>
      <c r="I716" s="223"/>
      <c r="J716" s="224">
        <f>ROUND(I716*H716,0)</f>
        <v>0</v>
      </c>
      <c r="K716" s="225"/>
      <c r="L716" s="43"/>
      <c r="M716" s="226" t="s">
        <v>1</v>
      </c>
      <c r="N716" s="227" t="s">
        <v>42</v>
      </c>
      <c r="O716" s="90"/>
      <c r="P716" s="228">
        <f>O716*H716</f>
        <v>0</v>
      </c>
      <c r="Q716" s="228">
        <v>0</v>
      </c>
      <c r="R716" s="228">
        <f>Q716*H716</f>
        <v>0</v>
      </c>
      <c r="S716" s="228">
        <v>0</v>
      </c>
      <c r="T716" s="229">
        <f>S716*H716</f>
        <v>0</v>
      </c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R716" s="230" t="s">
        <v>246</v>
      </c>
      <c r="AT716" s="230" t="s">
        <v>159</v>
      </c>
      <c r="AU716" s="230" t="s">
        <v>86</v>
      </c>
      <c r="AY716" s="16" t="s">
        <v>157</v>
      </c>
      <c r="BE716" s="231">
        <f>IF(N716="základní",J716,0)</f>
        <v>0</v>
      </c>
      <c r="BF716" s="231">
        <f>IF(N716="snížená",J716,0)</f>
        <v>0</v>
      </c>
      <c r="BG716" s="231">
        <f>IF(N716="zákl. přenesená",J716,0)</f>
        <v>0</v>
      </c>
      <c r="BH716" s="231">
        <f>IF(N716="sníž. přenesená",J716,0)</f>
        <v>0</v>
      </c>
      <c r="BI716" s="231">
        <f>IF(N716="nulová",J716,0)</f>
        <v>0</v>
      </c>
      <c r="BJ716" s="16" t="s">
        <v>8</v>
      </c>
      <c r="BK716" s="231">
        <f>ROUND(I716*H716,0)</f>
        <v>0</v>
      </c>
      <c r="BL716" s="16" t="s">
        <v>246</v>
      </c>
      <c r="BM716" s="230" t="s">
        <v>1271</v>
      </c>
    </row>
    <row r="717" s="13" customFormat="1">
      <c r="A717" s="13"/>
      <c r="B717" s="232"/>
      <c r="C717" s="233"/>
      <c r="D717" s="234" t="s">
        <v>165</v>
      </c>
      <c r="E717" s="235" t="s">
        <v>1</v>
      </c>
      <c r="F717" s="236" t="s">
        <v>1272</v>
      </c>
      <c r="G717" s="233"/>
      <c r="H717" s="237">
        <v>67</v>
      </c>
      <c r="I717" s="238"/>
      <c r="J717" s="233"/>
      <c r="K717" s="233"/>
      <c r="L717" s="239"/>
      <c r="M717" s="240"/>
      <c r="N717" s="241"/>
      <c r="O717" s="241"/>
      <c r="P717" s="241"/>
      <c r="Q717" s="241"/>
      <c r="R717" s="241"/>
      <c r="S717" s="241"/>
      <c r="T717" s="242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T717" s="243" t="s">
        <v>165</v>
      </c>
      <c r="AU717" s="243" t="s">
        <v>86</v>
      </c>
      <c r="AV717" s="13" t="s">
        <v>86</v>
      </c>
      <c r="AW717" s="13" t="s">
        <v>32</v>
      </c>
      <c r="AX717" s="13" t="s">
        <v>77</v>
      </c>
      <c r="AY717" s="243" t="s">
        <v>157</v>
      </c>
    </row>
    <row r="718" s="2" customFormat="1" ht="16.5" customHeight="1">
      <c r="A718" s="37"/>
      <c r="B718" s="38"/>
      <c r="C718" s="254" t="s">
        <v>1273</v>
      </c>
      <c r="D718" s="254" t="s">
        <v>229</v>
      </c>
      <c r="E718" s="255" t="s">
        <v>1274</v>
      </c>
      <c r="F718" s="256" t="s">
        <v>1275</v>
      </c>
      <c r="G718" s="257" t="s">
        <v>565</v>
      </c>
      <c r="H718" s="258">
        <v>67</v>
      </c>
      <c r="I718" s="259"/>
      <c r="J718" s="260">
        <f>ROUND(I718*H718,0)</f>
        <v>0</v>
      </c>
      <c r="K718" s="261"/>
      <c r="L718" s="262"/>
      <c r="M718" s="263" t="s">
        <v>1</v>
      </c>
      <c r="N718" s="264" t="s">
        <v>42</v>
      </c>
      <c r="O718" s="90"/>
      <c r="P718" s="228">
        <f>O718*H718</f>
        <v>0</v>
      </c>
      <c r="Q718" s="228">
        <v>0.0022000000000000001</v>
      </c>
      <c r="R718" s="228">
        <f>Q718*H718</f>
        <v>0.1474</v>
      </c>
      <c r="S718" s="228">
        <v>0</v>
      </c>
      <c r="T718" s="229">
        <f>S718*H718</f>
        <v>0</v>
      </c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R718" s="230" t="s">
        <v>329</v>
      </c>
      <c r="AT718" s="230" t="s">
        <v>229</v>
      </c>
      <c r="AU718" s="230" t="s">
        <v>86</v>
      </c>
      <c r="AY718" s="16" t="s">
        <v>157</v>
      </c>
      <c r="BE718" s="231">
        <f>IF(N718="základní",J718,0)</f>
        <v>0</v>
      </c>
      <c r="BF718" s="231">
        <f>IF(N718="snížená",J718,0)</f>
        <v>0</v>
      </c>
      <c r="BG718" s="231">
        <f>IF(N718="zákl. přenesená",J718,0)</f>
        <v>0</v>
      </c>
      <c r="BH718" s="231">
        <f>IF(N718="sníž. přenesená",J718,0)</f>
        <v>0</v>
      </c>
      <c r="BI718" s="231">
        <f>IF(N718="nulová",J718,0)</f>
        <v>0</v>
      </c>
      <c r="BJ718" s="16" t="s">
        <v>8</v>
      </c>
      <c r="BK718" s="231">
        <f>ROUND(I718*H718,0)</f>
        <v>0</v>
      </c>
      <c r="BL718" s="16" t="s">
        <v>246</v>
      </c>
      <c r="BM718" s="230" t="s">
        <v>1276</v>
      </c>
    </row>
    <row r="719" s="2" customFormat="1" ht="16.5" customHeight="1">
      <c r="A719" s="37"/>
      <c r="B719" s="38"/>
      <c r="C719" s="218" t="s">
        <v>1277</v>
      </c>
      <c r="D719" s="218" t="s">
        <v>159</v>
      </c>
      <c r="E719" s="219" t="s">
        <v>1278</v>
      </c>
      <c r="F719" s="220" t="s">
        <v>1279</v>
      </c>
      <c r="G719" s="221" t="s">
        <v>565</v>
      </c>
      <c r="H719" s="222">
        <v>2</v>
      </c>
      <c r="I719" s="223"/>
      <c r="J719" s="224">
        <f>ROUND(I719*H719,0)</f>
        <v>0</v>
      </c>
      <c r="K719" s="225"/>
      <c r="L719" s="43"/>
      <c r="M719" s="226" t="s">
        <v>1</v>
      </c>
      <c r="N719" s="227" t="s">
        <v>42</v>
      </c>
      <c r="O719" s="90"/>
      <c r="P719" s="228">
        <f>O719*H719</f>
        <v>0</v>
      </c>
      <c r="Q719" s="228">
        <v>0</v>
      </c>
      <c r="R719" s="228">
        <f>Q719*H719</f>
        <v>0</v>
      </c>
      <c r="S719" s="228">
        <v>0</v>
      </c>
      <c r="T719" s="229">
        <f>S719*H719</f>
        <v>0</v>
      </c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R719" s="230" t="s">
        <v>246</v>
      </c>
      <c r="AT719" s="230" t="s">
        <v>159</v>
      </c>
      <c r="AU719" s="230" t="s">
        <v>86</v>
      </c>
      <c r="AY719" s="16" t="s">
        <v>157</v>
      </c>
      <c r="BE719" s="231">
        <f>IF(N719="základní",J719,0)</f>
        <v>0</v>
      </c>
      <c r="BF719" s="231">
        <f>IF(N719="snížená",J719,0)</f>
        <v>0</v>
      </c>
      <c r="BG719" s="231">
        <f>IF(N719="zákl. přenesená",J719,0)</f>
        <v>0</v>
      </c>
      <c r="BH719" s="231">
        <f>IF(N719="sníž. přenesená",J719,0)</f>
        <v>0</v>
      </c>
      <c r="BI719" s="231">
        <f>IF(N719="nulová",J719,0)</f>
        <v>0</v>
      </c>
      <c r="BJ719" s="16" t="s">
        <v>8</v>
      </c>
      <c r="BK719" s="231">
        <f>ROUND(I719*H719,0)</f>
        <v>0</v>
      </c>
      <c r="BL719" s="16" t="s">
        <v>246</v>
      </c>
      <c r="BM719" s="230" t="s">
        <v>1280</v>
      </c>
    </row>
    <row r="720" s="2" customFormat="1" ht="16.5" customHeight="1">
      <c r="A720" s="37"/>
      <c r="B720" s="38"/>
      <c r="C720" s="254" t="s">
        <v>1281</v>
      </c>
      <c r="D720" s="254" t="s">
        <v>229</v>
      </c>
      <c r="E720" s="255" t="s">
        <v>1282</v>
      </c>
      <c r="F720" s="256" t="s">
        <v>1283</v>
      </c>
      <c r="G720" s="257" t="s">
        <v>565</v>
      </c>
      <c r="H720" s="258">
        <v>2</v>
      </c>
      <c r="I720" s="259"/>
      <c r="J720" s="260">
        <f>ROUND(I720*H720,0)</f>
        <v>0</v>
      </c>
      <c r="K720" s="261"/>
      <c r="L720" s="262"/>
      <c r="M720" s="263" t="s">
        <v>1</v>
      </c>
      <c r="N720" s="264" t="s">
        <v>42</v>
      </c>
      <c r="O720" s="90"/>
      <c r="P720" s="228">
        <f>O720*H720</f>
        <v>0</v>
      </c>
      <c r="Q720" s="228">
        <v>0.0011999999999999999</v>
      </c>
      <c r="R720" s="228">
        <f>Q720*H720</f>
        <v>0.0023999999999999998</v>
      </c>
      <c r="S720" s="228">
        <v>0</v>
      </c>
      <c r="T720" s="229">
        <f>S720*H720</f>
        <v>0</v>
      </c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R720" s="230" t="s">
        <v>329</v>
      </c>
      <c r="AT720" s="230" t="s">
        <v>229</v>
      </c>
      <c r="AU720" s="230" t="s">
        <v>86</v>
      </c>
      <c r="AY720" s="16" t="s">
        <v>157</v>
      </c>
      <c r="BE720" s="231">
        <f>IF(N720="základní",J720,0)</f>
        <v>0</v>
      </c>
      <c r="BF720" s="231">
        <f>IF(N720="snížená",J720,0)</f>
        <v>0</v>
      </c>
      <c r="BG720" s="231">
        <f>IF(N720="zákl. přenesená",J720,0)</f>
        <v>0</v>
      </c>
      <c r="BH720" s="231">
        <f>IF(N720="sníž. přenesená",J720,0)</f>
        <v>0</v>
      </c>
      <c r="BI720" s="231">
        <f>IF(N720="nulová",J720,0)</f>
        <v>0</v>
      </c>
      <c r="BJ720" s="16" t="s">
        <v>8</v>
      </c>
      <c r="BK720" s="231">
        <f>ROUND(I720*H720,0)</f>
        <v>0</v>
      </c>
      <c r="BL720" s="16" t="s">
        <v>246</v>
      </c>
      <c r="BM720" s="230" t="s">
        <v>1284</v>
      </c>
    </row>
    <row r="721" s="2" customFormat="1" ht="21.75" customHeight="1">
      <c r="A721" s="37"/>
      <c r="B721" s="38"/>
      <c r="C721" s="218" t="s">
        <v>1285</v>
      </c>
      <c r="D721" s="218" t="s">
        <v>159</v>
      </c>
      <c r="E721" s="219" t="s">
        <v>1286</v>
      </c>
      <c r="F721" s="220" t="s">
        <v>1287</v>
      </c>
      <c r="G721" s="221" t="s">
        <v>565</v>
      </c>
      <c r="H721" s="222">
        <v>45</v>
      </c>
      <c r="I721" s="223"/>
      <c r="J721" s="224">
        <f>ROUND(I721*H721,0)</f>
        <v>0</v>
      </c>
      <c r="K721" s="225"/>
      <c r="L721" s="43"/>
      <c r="M721" s="226" t="s">
        <v>1</v>
      </c>
      <c r="N721" s="227" t="s">
        <v>42</v>
      </c>
      <c r="O721" s="90"/>
      <c r="P721" s="228">
        <f>O721*H721</f>
        <v>0</v>
      </c>
      <c r="Q721" s="228">
        <v>0</v>
      </c>
      <c r="R721" s="228">
        <f>Q721*H721</f>
        <v>0</v>
      </c>
      <c r="S721" s="228">
        <v>0</v>
      </c>
      <c r="T721" s="229">
        <f>S721*H721</f>
        <v>0</v>
      </c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R721" s="230" t="s">
        <v>246</v>
      </c>
      <c r="AT721" s="230" t="s">
        <v>159</v>
      </c>
      <c r="AU721" s="230" t="s">
        <v>86</v>
      </c>
      <c r="AY721" s="16" t="s">
        <v>157</v>
      </c>
      <c r="BE721" s="231">
        <f>IF(N721="základní",J721,0)</f>
        <v>0</v>
      </c>
      <c r="BF721" s="231">
        <f>IF(N721="snížená",J721,0)</f>
        <v>0</v>
      </c>
      <c r="BG721" s="231">
        <f>IF(N721="zákl. přenesená",J721,0)</f>
        <v>0</v>
      </c>
      <c r="BH721" s="231">
        <f>IF(N721="sníž. přenesená",J721,0)</f>
        <v>0</v>
      </c>
      <c r="BI721" s="231">
        <f>IF(N721="nulová",J721,0)</f>
        <v>0</v>
      </c>
      <c r="BJ721" s="16" t="s">
        <v>8</v>
      </c>
      <c r="BK721" s="231">
        <f>ROUND(I721*H721,0)</f>
        <v>0</v>
      </c>
      <c r="BL721" s="16" t="s">
        <v>246</v>
      </c>
      <c r="BM721" s="230" t="s">
        <v>1288</v>
      </c>
    </row>
    <row r="722" s="2" customFormat="1" ht="16.5" customHeight="1">
      <c r="A722" s="37"/>
      <c r="B722" s="38"/>
      <c r="C722" s="254" t="s">
        <v>1289</v>
      </c>
      <c r="D722" s="254" t="s">
        <v>229</v>
      </c>
      <c r="E722" s="255" t="s">
        <v>1290</v>
      </c>
      <c r="F722" s="256" t="s">
        <v>1291</v>
      </c>
      <c r="G722" s="257" t="s">
        <v>565</v>
      </c>
      <c r="H722" s="258">
        <v>45</v>
      </c>
      <c r="I722" s="259"/>
      <c r="J722" s="260">
        <f>ROUND(I722*H722,0)</f>
        <v>0</v>
      </c>
      <c r="K722" s="261"/>
      <c r="L722" s="262"/>
      <c r="M722" s="263" t="s">
        <v>1</v>
      </c>
      <c r="N722" s="264" t="s">
        <v>42</v>
      </c>
      <c r="O722" s="90"/>
      <c r="P722" s="228">
        <f>O722*H722</f>
        <v>0</v>
      </c>
      <c r="Q722" s="228">
        <v>0.00014999999999999999</v>
      </c>
      <c r="R722" s="228">
        <f>Q722*H722</f>
        <v>0.0067499999999999991</v>
      </c>
      <c r="S722" s="228">
        <v>0</v>
      </c>
      <c r="T722" s="229">
        <f>S722*H722</f>
        <v>0</v>
      </c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R722" s="230" t="s">
        <v>329</v>
      </c>
      <c r="AT722" s="230" t="s">
        <v>229</v>
      </c>
      <c r="AU722" s="230" t="s">
        <v>86</v>
      </c>
      <c r="AY722" s="16" t="s">
        <v>157</v>
      </c>
      <c r="BE722" s="231">
        <f>IF(N722="základní",J722,0)</f>
        <v>0</v>
      </c>
      <c r="BF722" s="231">
        <f>IF(N722="snížená",J722,0)</f>
        <v>0</v>
      </c>
      <c r="BG722" s="231">
        <f>IF(N722="zákl. přenesená",J722,0)</f>
        <v>0</v>
      </c>
      <c r="BH722" s="231">
        <f>IF(N722="sníž. přenesená",J722,0)</f>
        <v>0</v>
      </c>
      <c r="BI722" s="231">
        <f>IF(N722="nulová",J722,0)</f>
        <v>0</v>
      </c>
      <c r="BJ722" s="16" t="s">
        <v>8</v>
      </c>
      <c r="BK722" s="231">
        <f>ROUND(I722*H722,0)</f>
        <v>0</v>
      </c>
      <c r="BL722" s="16" t="s">
        <v>246</v>
      </c>
      <c r="BM722" s="230" t="s">
        <v>1292</v>
      </c>
    </row>
    <row r="723" s="2" customFormat="1" ht="24.15" customHeight="1">
      <c r="A723" s="37"/>
      <c r="B723" s="38"/>
      <c r="C723" s="218" t="s">
        <v>1293</v>
      </c>
      <c r="D723" s="218" t="s">
        <v>159</v>
      </c>
      <c r="E723" s="219" t="s">
        <v>1294</v>
      </c>
      <c r="F723" s="220" t="s">
        <v>1295</v>
      </c>
      <c r="G723" s="221" t="s">
        <v>216</v>
      </c>
      <c r="H723" s="222">
        <v>13.220000000000001</v>
      </c>
      <c r="I723" s="223"/>
      <c r="J723" s="224">
        <f>ROUND(I723*H723,0)</f>
        <v>0</v>
      </c>
      <c r="K723" s="225"/>
      <c r="L723" s="43"/>
      <c r="M723" s="226" t="s">
        <v>1</v>
      </c>
      <c r="N723" s="227" t="s">
        <v>42</v>
      </c>
      <c r="O723" s="90"/>
      <c r="P723" s="228">
        <f>O723*H723</f>
        <v>0</v>
      </c>
      <c r="Q723" s="228">
        <v>0</v>
      </c>
      <c r="R723" s="228">
        <f>Q723*H723</f>
        <v>0</v>
      </c>
      <c r="S723" s="228">
        <v>0</v>
      </c>
      <c r="T723" s="229">
        <f>S723*H723</f>
        <v>0</v>
      </c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R723" s="230" t="s">
        <v>246</v>
      </c>
      <c r="AT723" s="230" t="s">
        <v>159</v>
      </c>
      <c r="AU723" s="230" t="s">
        <v>86</v>
      </c>
      <c r="AY723" s="16" t="s">
        <v>157</v>
      </c>
      <c r="BE723" s="231">
        <f>IF(N723="základní",J723,0)</f>
        <v>0</v>
      </c>
      <c r="BF723" s="231">
        <f>IF(N723="snížená",J723,0)</f>
        <v>0</v>
      </c>
      <c r="BG723" s="231">
        <f>IF(N723="zákl. přenesená",J723,0)</f>
        <v>0</v>
      </c>
      <c r="BH723" s="231">
        <f>IF(N723="sníž. přenesená",J723,0)</f>
        <v>0</v>
      </c>
      <c r="BI723" s="231">
        <f>IF(N723="nulová",J723,0)</f>
        <v>0</v>
      </c>
      <c r="BJ723" s="16" t="s">
        <v>8</v>
      </c>
      <c r="BK723" s="231">
        <f>ROUND(I723*H723,0)</f>
        <v>0</v>
      </c>
      <c r="BL723" s="16" t="s">
        <v>246</v>
      </c>
      <c r="BM723" s="230" t="s">
        <v>1296</v>
      </c>
    </row>
    <row r="724" s="13" customFormat="1">
      <c r="A724" s="13"/>
      <c r="B724" s="232"/>
      <c r="C724" s="233"/>
      <c r="D724" s="234" t="s">
        <v>165</v>
      </c>
      <c r="E724" s="235" t="s">
        <v>1</v>
      </c>
      <c r="F724" s="236" t="s">
        <v>1297</v>
      </c>
      <c r="G724" s="233"/>
      <c r="H724" s="237">
        <v>13.220000000000001</v>
      </c>
      <c r="I724" s="238"/>
      <c r="J724" s="233"/>
      <c r="K724" s="233"/>
      <c r="L724" s="239"/>
      <c r="M724" s="240"/>
      <c r="N724" s="241"/>
      <c r="O724" s="241"/>
      <c r="P724" s="241"/>
      <c r="Q724" s="241"/>
      <c r="R724" s="241"/>
      <c r="S724" s="241"/>
      <c r="T724" s="242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T724" s="243" t="s">
        <v>165</v>
      </c>
      <c r="AU724" s="243" t="s">
        <v>86</v>
      </c>
      <c r="AV724" s="13" t="s">
        <v>86</v>
      </c>
      <c r="AW724" s="13" t="s">
        <v>32</v>
      </c>
      <c r="AX724" s="13" t="s">
        <v>77</v>
      </c>
      <c r="AY724" s="243" t="s">
        <v>157</v>
      </c>
    </row>
    <row r="725" s="2" customFormat="1" ht="24.15" customHeight="1">
      <c r="A725" s="37"/>
      <c r="B725" s="38"/>
      <c r="C725" s="254" t="s">
        <v>1298</v>
      </c>
      <c r="D725" s="254" t="s">
        <v>229</v>
      </c>
      <c r="E725" s="255" t="s">
        <v>1299</v>
      </c>
      <c r="F725" s="256" t="s">
        <v>1300</v>
      </c>
      <c r="G725" s="257" t="s">
        <v>216</v>
      </c>
      <c r="H725" s="258">
        <v>14.542</v>
      </c>
      <c r="I725" s="259"/>
      <c r="J725" s="260">
        <f>ROUND(I725*H725,0)</f>
        <v>0</v>
      </c>
      <c r="K725" s="261"/>
      <c r="L725" s="262"/>
      <c r="M725" s="263" t="s">
        <v>1</v>
      </c>
      <c r="N725" s="264" t="s">
        <v>42</v>
      </c>
      <c r="O725" s="90"/>
      <c r="P725" s="228">
        <f>O725*H725</f>
        <v>0</v>
      </c>
      <c r="Q725" s="228">
        <v>0.0080000000000000002</v>
      </c>
      <c r="R725" s="228">
        <f>Q725*H725</f>
        <v>0.116336</v>
      </c>
      <c r="S725" s="228">
        <v>0</v>
      </c>
      <c r="T725" s="229">
        <f>S725*H725</f>
        <v>0</v>
      </c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R725" s="230" t="s">
        <v>329</v>
      </c>
      <c r="AT725" s="230" t="s">
        <v>229</v>
      </c>
      <c r="AU725" s="230" t="s">
        <v>86</v>
      </c>
      <c r="AY725" s="16" t="s">
        <v>157</v>
      </c>
      <c r="BE725" s="231">
        <f>IF(N725="základní",J725,0)</f>
        <v>0</v>
      </c>
      <c r="BF725" s="231">
        <f>IF(N725="snížená",J725,0)</f>
        <v>0</v>
      </c>
      <c r="BG725" s="231">
        <f>IF(N725="zákl. přenesená",J725,0)</f>
        <v>0</v>
      </c>
      <c r="BH725" s="231">
        <f>IF(N725="sníž. přenesená",J725,0)</f>
        <v>0</v>
      </c>
      <c r="BI725" s="231">
        <f>IF(N725="nulová",J725,0)</f>
        <v>0</v>
      </c>
      <c r="BJ725" s="16" t="s">
        <v>8</v>
      </c>
      <c r="BK725" s="231">
        <f>ROUND(I725*H725,0)</f>
        <v>0</v>
      </c>
      <c r="BL725" s="16" t="s">
        <v>246</v>
      </c>
      <c r="BM725" s="230" t="s">
        <v>1301</v>
      </c>
    </row>
    <row r="726" s="13" customFormat="1">
      <c r="A726" s="13"/>
      <c r="B726" s="232"/>
      <c r="C726" s="233"/>
      <c r="D726" s="234" t="s">
        <v>165</v>
      </c>
      <c r="E726" s="235" t="s">
        <v>1</v>
      </c>
      <c r="F726" s="236" t="s">
        <v>1302</v>
      </c>
      <c r="G726" s="233"/>
      <c r="H726" s="237">
        <v>13.220000000000001</v>
      </c>
      <c r="I726" s="238"/>
      <c r="J726" s="233"/>
      <c r="K726" s="233"/>
      <c r="L726" s="239"/>
      <c r="M726" s="240"/>
      <c r="N726" s="241"/>
      <c r="O726" s="241"/>
      <c r="P726" s="241"/>
      <c r="Q726" s="241"/>
      <c r="R726" s="241"/>
      <c r="S726" s="241"/>
      <c r="T726" s="242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T726" s="243" t="s">
        <v>165</v>
      </c>
      <c r="AU726" s="243" t="s">
        <v>86</v>
      </c>
      <c r="AV726" s="13" t="s">
        <v>86</v>
      </c>
      <c r="AW726" s="13" t="s">
        <v>32</v>
      </c>
      <c r="AX726" s="13" t="s">
        <v>8</v>
      </c>
      <c r="AY726" s="243" t="s">
        <v>157</v>
      </c>
    </row>
    <row r="727" s="13" customFormat="1">
      <c r="A727" s="13"/>
      <c r="B727" s="232"/>
      <c r="C727" s="233"/>
      <c r="D727" s="234" t="s">
        <v>165</v>
      </c>
      <c r="E727" s="233"/>
      <c r="F727" s="236" t="s">
        <v>1303</v>
      </c>
      <c r="G727" s="233"/>
      <c r="H727" s="237">
        <v>14.542</v>
      </c>
      <c r="I727" s="238"/>
      <c r="J727" s="233"/>
      <c r="K727" s="233"/>
      <c r="L727" s="239"/>
      <c r="M727" s="240"/>
      <c r="N727" s="241"/>
      <c r="O727" s="241"/>
      <c r="P727" s="241"/>
      <c r="Q727" s="241"/>
      <c r="R727" s="241"/>
      <c r="S727" s="241"/>
      <c r="T727" s="242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T727" s="243" t="s">
        <v>165</v>
      </c>
      <c r="AU727" s="243" t="s">
        <v>86</v>
      </c>
      <c r="AV727" s="13" t="s">
        <v>86</v>
      </c>
      <c r="AW727" s="13" t="s">
        <v>4</v>
      </c>
      <c r="AX727" s="13" t="s">
        <v>8</v>
      </c>
      <c r="AY727" s="243" t="s">
        <v>157</v>
      </c>
    </row>
    <row r="728" s="2" customFormat="1" ht="24.15" customHeight="1">
      <c r="A728" s="37"/>
      <c r="B728" s="38"/>
      <c r="C728" s="254" t="s">
        <v>1304</v>
      </c>
      <c r="D728" s="254" t="s">
        <v>229</v>
      </c>
      <c r="E728" s="255" t="s">
        <v>1305</v>
      </c>
      <c r="F728" s="256" t="s">
        <v>1306</v>
      </c>
      <c r="G728" s="257" t="s">
        <v>565</v>
      </c>
      <c r="H728" s="258">
        <v>1</v>
      </c>
      <c r="I728" s="259"/>
      <c r="J728" s="260">
        <f>ROUND(I728*H728,0)</f>
        <v>0</v>
      </c>
      <c r="K728" s="261"/>
      <c r="L728" s="262"/>
      <c r="M728" s="263" t="s">
        <v>1</v>
      </c>
      <c r="N728" s="264" t="s">
        <v>42</v>
      </c>
      <c r="O728" s="90"/>
      <c r="P728" s="228">
        <f>O728*H728</f>
        <v>0</v>
      </c>
      <c r="Q728" s="228">
        <v>6.0000000000000002E-05</v>
      </c>
      <c r="R728" s="228">
        <f>Q728*H728</f>
        <v>6.0000000000000002E-05</v>
      </c>
      <c r="S728" s="228">
        <v>0</v>
      </c>
      <c r="T728" s="229">
        <f>S728*H728</f>
        <v>0</v>
      </c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R728" s="230" t="s">
        <v>329</v>
      </c>
      <c r="AT728" s="230" t="s">
        <v>229</v>
      </c>
      <c r="AU728" s="230" t="s">
        <v>86</v>
      </c>
      <c r="AY728" s="16" t="s">
        <v>157</v>
      </c>
      <c r="BE728" s="231">
        <f>IF(N728="základní",J728,0)</f>
        <v>0</v>
      </c>
      <c r="BF728" s="231">
        <f>IF(N728="snížená",J728,0)</f>
        <v>0</v>
      </c>
      <c r="BG728" s="231">
        <f>IF(N728="zákl. přenesená",J728,0)</f>
        <v>0</v>
      </c>
      <c r="BH728" s="231">
        <f>IF(N728="sníž. přenesená",J728,0)</f>
        <v>0</v>
      </c>
      <c r="BI728" s="231">
        <f>IF(N728="nulová",J728,0)</f>
        <v>0</v>
      </c>
      <c r="BJ728" s="16" t="s">
        <v>8</v>
      </c>
      <c r="BK728" s="231">
        <f>ROUND(I728*H728,0)</f>
        <v>0</v>
      </c>
      <c r="BL728" s="16" t="s">
        <v>246</v>
      </c>
      <c r="BM728" s="230" t="s">
        <v>1307</v>
      </c>
    </row>
    <row r="729" s="2" customFormat="1" ht="24.15" customHeight="1">
      <c r="A729" s="37"/>
      <c r="B729" s="38"/>
      <c r="C729" s="218" t="s">
        <v>1308</v>
      </c>
      <c r="D729" s="218" t="s">
        <v>159</v>
      </c>
      <c r="E729" s="219" t="s">
        <v>1309</v>
      </c>
      <c r="F729" s="220" t="s">
        <v>1310</v>
      </c>
      <c r="G729" s="221" t="s">
        <v>193</v>
      </c>
      <c r="H729" s="222">
        <v>0.29699999999999999</v>
      </c>
      <c r="I729" s="223"/>
      <c r="J729" s="224">
        <f>ROUND(I729*H729,0)</f>
        <v>0</v>
      </c>
      <c r="K729" s="225"/>
      <c r="L729" s="43"/>
      <c r="M729" s="226" t="s">
        <v>1</v>
      </c>
      <c r="N729" s="227" t="s">
        <v>42</v>
      </c>
      <c r="O729" s="90"/>
      <c r="P729" s="228">
        <f>O729*H729</f>
        <v>0</v>
      </c>
      <c r="Q729" s="228">
        <v>0</v>
      </c>
      <c r="R729" s="228">
        <f>Q729*H729</f>
        <v>0</v>
      </c>
      <c r="S729" s="228">
        <v>0</v>
      </c>
      <c r="T729" s="229">
        <f>S729*H729</f>
        <v>0</v>
      </c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R729" s="230" t="s">
        <v>246</v>
      </c>
      <c r="AT729" s="230" t="s">
        <v>159</v>
      </c>
      <c r="AU729" s="230" t="s">
        <v>86</v>
      </c>
      <c r="AY729" s="16" t="s">
        <v>157</v>
      </c>
      <c r="BE729" s="231">
        <f>IF(N729="základní",J729,0)</f>
        <v>0</v>
      </c>
      <c r="BF729" s="231">
        <f>IF(N729="snížená",J729,0)</f>
        <v>0</v>
      </c>
      <c r="BG729" s="231">
        <f>IF(N729="zákl. přenesená",J729,0)</f>
        <v>0</v>
      </c>
      <c r="BH729" s="231">
        <f>IF(N729="sníž. přenesená",J729,0)</f>
        <v>0</v>
      </c>
      <c r="BI729" s="231">
        <f>IF(N729="nulová",J729,0)</f>
        <v>0</v>
      </c>
      <c r="BJ729" s="16" t="s">
        <v>8</v>
      </c>
      <c r="BK729" s="231">
        <f>ROUND(I729*H729,0)</f>
        <v>0</v>
      </c>
      <c r="BL729" s="16" t="s">
        <v>246</v>
      </c>
      <c r="BM729" s="230" t="s">
        <v>1311</v>
      </c>
    </row>
    <row r="730" s="12" customFormat="1" ht="22.8" customHeight="1">
      <c r="A730" s="12"/>
      <c r="B730" s="202"/>
      <c r="C730" s="203"/>
      <c r="D730" s="204" t="s">
        <v>76</v>
      </c>
      <c r="E730" s="216" t="s">
        <v>1312</v>
      </c>
      <c r="F730" s="216" t="s">
        <v>1313</v>
      </c>
      <c r="G730" s="203"/>
      <c r="H730" s="203"/>
      <c r="I730" s="206"/>
      <c r="J730" s="217">
        <f>BK730</f>
        <v>0</v>
      </c>
      <c r="K730" s="203"/>
      <c r="L730" s="208"/>
      <c r="M730" s="209"/>
      <c r="N730" s="210"/>
      <c r="O730" s="210"/>
      <c r="P730" s="211">
        <f>SUM(P731:P795)</f>
        <v>0</v>
      </c>
      <c r="Q730" s="210"/>
      <c r="R730" s="211">
        <f>SUM(R731:R795)</f>
        <v>0.63392767999999999</v>
      </c>
      <c r="S730" s="210"/>
      <c r="T730" s="212">
        <f>SUM(T731:T795)</f>
        <v>0</v>
      </c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R730" s="213" t="s">
        <v>86</v>
      </c>
      <c r="AT730" s="214" t="s">
        <v>76</v>
      </c>
      <c r="AU730" s="214" t="s">
        <v>8</v>
      </c>
      <c r="AY730" s="213" t="s">
        <v>157</v>
      </c>
      <c r="BK730" s="215">
        <f>SUM(BK731:BK795)</f>
        <v>0</v>
      </c>
    </row>
    <row r="731" s="2" customFormat="1" ht="16.5" customHeight="1">
      <c r="A731" s="37"/>
      <c r="B731" s="38"/>
      <c r="C731" s="218" t="s">
        <v>1314</v>
      </c>
      <c r="D731" s="218" t="s">
        <v>159</v>
      </c>
      <c r="E731" s="219" t="s">
        <v>1315</v>
      </c>
      <c r="F731" s="220" t="s">
        <v>1316</v>
      </c>
      <c r="G731" s="221" t="s">
        <v>216</v>
      </c>
      <c r="H731" s="222">
        <v>44.899999999999999</v>
      </c>
      <c r="I731" s="223"/>
      <c r="J731" s="224">
        <f>ROUND(I731*H731,0)</f>
        <v>0</v>
      </c>
      <c r="K731" s="225"/>
      <c r="L731" s="43"/>
      <c r="M731" s="226" t="s">
        <v>1</v>
      </c>
      <c r="N731" s="227" t="s">
        <v>42</v>
      </c>
      <c r="O731" s="90"/>
      <c r="P731" s="228">
        <f>O731*H731</f>
        <v>0</v>
      </c>
      <c r="Q731" s="228">
        <v>0</v>
      </c>
      <c r="R731" s="228">
        <f>Q731*H731</f>
        <v>0</v>
      </c>
      <c r="S731" s="228">
        <v>0</v>
      </c>
      <c r="T731" s="229">
        <f>S731*H731</f>
        <v>0</v>
      </c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R731" s="230" t="s">
        <v>246</v>
      </c>
      <c r="AT731" s="230" t="s">
        <v>159</v>
      </c>
      <c r="AU731" s="230" t="s">
        <v>86</v>
      </c>
      <c r="AY731" s="16" t="s">
        <v>157</v>
      </c>
      <c r="BE731" s="231">
        <f>IF(N731="základní",J731,0)</f>
        <v>0</v>
      </c>
      <c r="BF731" s="231">
        <f>IF(N731="snížená",J731,0)</f>
        <v>0</v>
      </c>
      <c r="BG731" s="231">
        <f>IF(N731="zákl. přenesená",J731,0)</f>
        <v>0</v>
      </c>
      <c r="BH731" s="231">
        <f>IF(N731="sníž. přenesená",J731,0)</f>
        <v>0</v>
      </c>
      <c r="BI731" s="231">
        <f>IF(N731="nulová",J731,0)</f>
        <v>0</v>
      </c>
      <c r="BJ731" s="16" t="s">
        <v>8</v>
      </c>
      <c r="BK731" s="231">
        <f>ROUND(I731*H731,0)</f>
        <v>0</v>
      </c>
      <c r="BL731" s="16" t="s">
        <v>246</v>
      </c>
      <c r="BM731" s="230" t="s">
        <v>1317</v>
      </c>
    </row>
    <row r="732" s="13" customFormat="1">
      <c r="A732" s="13"/>
      <c r="B732" s="232"/>
      <c r="C732" s="233"/>
      <c r="D732" s="234" t="s">
        <v>165</v>
      </c>
      <c r="E732" s="235" t="s">
        <v>1</v>
      </c>
      <c r="F732" s="236" t="s">
        <v>1318</v>
      </c>
      <c r="G732" s="233"/>
      <c r="H732" s="237">
        <v>7.9000000000000004</v>
      </c>
      <c r="I732" s="238"/>
      <c r="J732" s="233"/>
      <c r="K732" s="233"/>
      <c r="L732" s="239"/>
      <c r="M732" s="240"/>
      <c r="N732" s="241"/>
      <c r="O732" s="241"/>
      <c r="P732" s="241"/>
      <c r="Q732" s="241"/>
      <c r="R732" s="241"/>
      <c r="S732" s="241"/>
      <c r="T732" s="242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T732" s="243" t="s">
        <v>165</v>
      </c>
      <c r="AU732" s="243" t="s">
        <v>86</v>
      </c>
      <c r="AV732" s="13" t="s">
        <v>86</v>
      </c>
      <c r="AW732" s="13" t="s">
        <v>32</v>
      </c>
      <c r="AX732" s="13" t="s">
        <v>77</v>
      </c>
      <c r="AY732" s="243" t="s">
        <v>157</v>
      </c>
    </row>
    <row r="733" s="13" customFormat="1">
      <c r="A733" s="13"/>
      <c r="B733" s="232"/>
      <c r="C733" s="233"/>
      <c r="D733" s="234" t="s">
        <v>165</v>
      </c>
      <c r="E733" s="235" t="s">
        <v>1</v>
      </c>
      <c r="F733" s="236" t="s">
        <v>1319</v>
      </c>
      <c r="G733" s="233"/>
      <c r="H733" s="237">
        <v>12.199999999999999</v>
      </c>
      <c r="I733" s="238"/>
      <c r="J733" s="233"/>
      <c r="K733" s="233"/>
      <c r="L733" s="239"/>
      <c r="M733" s="240"/>
      <c r="N733" s="241"/>
      <c r="O733" s="241"/>
      <c r="P733" s="241"/>
      <c r="Q733" s="241"/>
      <c r="R733" s="241"/>
      <c r="S733" s="241"/>
      <c r="T733" s="242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T733" s="243" t="s">
        <v>165</v>
      </c>
      <c r="AU733" s="243" t="s">
        <v>86</v>
      </c>
      <c r="AV733" s="13" t="s">
        <v>86</v>
      </c>
      <c r="AW733" s="13" t="s">
        <v>32</v>
      </c>
      <c r="AX733" s="13" t="s">
        <v>77</v>
      </c>
      <c r="AY733" s="243" t="s">
        <v>157</v>
      </c>
    </row>
    <row r="734" s="13" customFormat="1">
      <c r="A734" s="13"/>
      <c r="B734" s="232"/>
      <c r="C734" s="233"/>
      <c r="D734" s="234" t="s">
        <v>165</v>
      </c>
      <c r="E734" s="235" t="s">
        <v>1</v>
      </c>
      <c r="F734" s="236" t="s">
        <v>1320</v>
      </c>
      <c r="G734" s="233"/>
      <c r="H734" s="237">
        <v>7.9000000000000004</v>
      </c>
      <c r="I734" s="238"/>
      <c r="J734" s="233"/>
      <c r="K734" s="233"/>
      <c r="L734" s="239"/>
      <c r="M734" s="240"/>
      <c r="N734" s="241"/>
      <c r="O734" s="241"/>
      <c r="P734" s="241"/>
      <c r="Q734" s="241"/>
      <c r="R734" s="241"/>
      <c r="S734" s="241"/>
      <c r="T734" s="242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T734" s="243" t="s">
        <v>165</v>
      </c>
      <c r="AU734" s="243" t="s">
        <v>86</v>
      </c>
      <c r="AV734" s="13" t="s">
        <v>86</v>
      </c>
      <c r="AW734" s="13" t="s">
        <v>32</v>
      </c>
      <c r="AX734" s="13" t="s">
        <v>77</v>
      </c>
      <c r="AY734" s="243" t="s">
        <v>157</v>
      </c>
    </row>
    <row r="735" s="13" customFormat="1">
      <c r="A735" s="13"/>
      <c r="B735" s="232"/>
      <c r="C735" s="233"/>
      <c r="D735" s="234" t="s">
        <v>165</v>
      </c>
      <c r="E735" s="235" t="s">
        <v>1</v>
      </c>
      <c r="F735" s="236" t="s">
        <v>1321</v>
      </c>
      <c r="G735" s="233"/>
      <c r="H735" s="237">
        <v>8.4000000000000004</v>
      </c>
      <c r="I735" s="238"/>
      <c r="J735" s="233"/>
      <c r="K735" s="233"/>
      <c r="L735" s="239"/>
      <c r="M735" s="240"/>
      <c r="N735" s="241"/>
      <c r="O735" s="241"/>
      <c r="P735" s="241"/>
      <c r="Q735" s="241"/>
      <c r="R735" s="241"/>
      <c r="S735" s="241"/>
      <c r="T735" s="242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T735" s="243" t="s">
        <v>165</v>
      </c>
      <c r="AU735" s="243" t="s">
        <v>86</v>
      </c>
      <c r="AV735" s="13" t="s">
        <v>86</v>
      </c>
      <c r="AW735" s="13" t="s">
        <v>32</v>
      </c>
      <c r="AX735" s="13" t="s">
        <v>77</v>
      </c>
      <c r="AY735" s="243" t="s">
        <v>157</v>
      </c>
    </row>
    <row r="736" s="13" customFormat="1">
      <c r="A736" s="13"/>
      <c r="B736" s="232"/>
      <c r="C736" s="233"/>
      <c r="D736" s="234" t="s">
        <v>165</v>
      </c>
      <c r="E736" s="235" t="s">
        <v>1</v>
      </c>
      <c r="F736" s="236" t="s">
        <v>1322</v>
      </c>
      <c r="G736" s="233"/>
      <c r="H736" s="237">
        <v>8.5</v>
      </c>
      <c r="I736" s="238"/>
      <c r="J736" s="233"/>
      <c r="K736" s="233"/>
      <c r="L736" s="239"/>
      <c r="M736" s="240"/>
      <c r="N736" s="241"/>
      <c r="O736" s="241"/>
      <c r="P736" s="241"/>
      <c r="Q736" s="241"/>
      <c r="R736" s="241"/>
      <c r="S736" s="241"/>
      <c r="T736" s="242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T736" s="243" t="s">
        <v>165</v>
      </c>
      <c r="AU736" s="243" t="s">
        <v>86</v>
      </c>
      <c r="AV736" s="13" t="s">
        <v>86</v>
      </c>
      <c r="AW736" s="13" t="s">
        <v>32</v>
      </c>
      <c r="AX736" s="13" t="s">
        <v>77</v>
      </c>
      <c r="AY736" s="243" t="s">
        <v>157</v>
      </c>
    </row>
    <row r="737" s="2" customFormat="1" ht="24.15" customHeight="1">
      <c r="A737" s="37"/>
      <c r="B737" s="38"/>
      <c r="C737" s="254" t="s">
        <v>1323</v>
      </c>
      <c r="D737" s="254" t="s">
        <v>229</v>
      </c>
      <c r="E737" s="255" t="s">
        <v>1324</v>
      </c>
      <c r="F737" s="256" t="s">
        <v>1325</v>
      </c>
      <c r="G737" s="257" t="s">
        <v>216</v>
      </c>
      <c r="H737" s="258">
        <v>44.899999999999999</v>
      </c>
      <c r="I737" s="259"/>
      <c r="J737" s="260">
        <f>ROUND(I737*H737,0)</f>
        <v>0</v>
      </c>
      <c r="K737" s="261"/>
      <c r="L737" s="262"/>
      <c r="M737" s="263" t="s">
        <v>1</v>
      </c>
      <c r="N737" s="264" t="s">
        <v>42</v>
      </c>
      <c r="O737" s="90"/>
      <c r="P737" s="228">
        <f>O737*H737</f>
        <v>0</v>
      </c>
      <c r="Q737" s="228">
        <v>0.0030000000000000001</v>
      </c>
      <c r="R737" s="228">
        <f>Q737*H737</f>
        <v>0.13469999999999999</v>
      </c>
      <c r="S737" s="228">
        <v>0</v>
      </c>
      <c r="T737" s="229">
        <f>S737*H737</f>
        <v>0</v>
      </c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R737" s="230" t="s">
        <v>329</v>
      </c>
      <c r="AT737" s="230" t="s">
        <v>229</v>
      </c>
      <c r="AU737" s="230" t="s">
        <v>86</v>
      </c>
      <c r="AY737" s="16" t="s">
        <v>157</v>
      </c>
      <c r="BE737" s="231">
        <f>IF(N737="základní",J737,0)</f>
        <v>0</v>
      </c>
      <c r="BF737" s="231">
        <f>IF(N737="snížená",J737,0)</f>
        <v>0</v>
      </c>
      <c r="BG737" s="231">
        <f>IF(N737="zákl. přenesená",J737,0)</f>
        <v>0</v>
      </c>
      <c r="BH737" s="231">
        <f>IF(N737="sníž. přenesená",J737,0)</f>
        <v>0</v>
      </c>
      <c r="BI737" s="231">
        <f>IF(N737="nulová",J737,0)</f>
        <v>0</v>
      </c>
      <c r="BJ737" s="16" t="s">
        <v>8</v>
      </c>
      <c r="BK737" s="231">
        <f>ROUND(I737*H737,0)</f>
        <v>0</v>
      </c>
      <c r="BL737" s="16" t="s">
        <v>246</v>
      </c>
      <c r="BM737" s="230" t="s">
        <v>1326</v>
      </c>
    </row>
    <row r="738" s="2" customFormat="1" ht="24.15" customHeight="1">
      <c r="A738" s="37"/>
      <c r="B738" s="38"/>
      <c r="C738" s="218" t="s">
        <v>1327</v>
      </c>
      <c r="D738" s="218" t="s">
        <v>159</v>
      </c>
      <c r="E738" s="219" t="s">
        <v>1328</v>
      </c>
      <c r="F738" s="220" t="s">
        <v>1329</v>
      </c>
      <c r="G738" s="221" t="s">
        <v>216</v>
      </c>
      <c r="H738" s="222">
        <v>16.699999999999999</v>
      </c>
      <c r="I738" s="223"/>
      <c r="J738" s="224">
        <f>ROUND(I738*H738,0)</f>
        <v>0</v>
      </c>
      <c r="K738" s="225"/>
      <c r="L738" s="43"/>
      <c r="M738" s="226" t="s">
        <v>1</v>
      </c>
      <c r="N738" s="227" t="s">
        <v>42</v>
      </c>
      <c r="O738" s="90"/>
      <c r="P738" s="228">
        <f>O738*H738</f>
        <v>0</v>
      </c>
      <c r="Q738" s="228">
        <v>0.00072000000000000005</v>
      </c>
      <c r="R738" s="228">
        <f>Q738*H738</f>
        <v>0.012024</v>
      </c>
      <c r="S738" s="228">
        <v>0</v>
      </c>
      <c r="T738" s="229">
        <f>S738*H738</f>
        <v>0</v>
      </c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R738" s="230" t="s">
        <v>246</v>
      </c>
      <c r="AT738" s="230" t="s">
        <v>159</v>
      </c>
      <c r="AU738" s="230" t="s">
        <v>86</v>
      </c>
      <c r="AY738" s="16" t="s">
        <v>157</v>
      </c>
      <c r="BE738" s="231">
        <f>IF(N738="základní",J738,0)</f>
        <v>0</v>
      </c>
      <c r="BF738" s="231">
        <f>IF(N738="snížená",J738,0)</f>
        <v>0</v>
      </c>
      <c r="BG738" s="231">
        <f>IF(N738="zákl. přenesená",J738,0)</f>
        <v>0</v>
      </c>
      <c r="BH738" s="231">
        <f>IF(N738="sníž. přenesená",J738,0)</f>
        <v>0</v>
      </c>
      <c r="BI738" s="231">
        <f>IF(N738="nulová",J738,0)</f>
        <v>0</v>
      </c>
      <c r="BJ738" s="16" t="s">
        <v>8</v>
      </c>
      <c r="BK738" s="231">
        <f>ROUND(I738*H738,0)</f>
        <v>0</v>
      </c>
      <c r="BL738" s="16" t="s">
        <v>246</v>
      </c>
      <c r="BM738" s="230" t="s">
        <v>1330</v>
      </c>
    </row>
    <row r="739" s="13" customFormat="1">
      <c r="A739" s="13"/>
      <c r="B739" s="232"/>
      <c r="C739" s="233"/>
      <c r="D739" s="234" t="s">
        <v>165</v>
      </c>
      <c r="E739" s="235" t="s">
        <v>1</v>
      </c>
      <c r="F739" s="236" t="s">
        <v>1331</v>
      </c>
      <c r="G739" s="233"/>
      <c r="H739" s="237">
        <v>7.7000000000000002</v>
      </c>
      <c r="I739" s="238"/>
      <c r="J739" s="233"/>
      <c r="K739" s="233"/>
      <c r="L739" s="239"/>
      <c r="M739" s="240"/>
      <c r="N739" s="241"/>
      <c r="O739" s="241"/>
      <c r="P739" s="241"/>
      <c r="Q739" s="241"/>
      <c r="R739" s="241"/>
      <c r="S739" s="241"/>
      <c r="T739" s="242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T739" s="243" t="s">
        <v>165</v>
      </c>
      <c r="AU739" s="243" t="s">
        <v>86</v>
      </c>
      <c r="AV739" s="13" t="s">
        <v>86</v>
      </c>
      <c r="AW739" s="13" t="s">
        <v>32</v>
      </c>
      <c r="AX739" s="13" t="s">
        <v>77</v>
      </c>
      <c r="AY739" s="243" t="s">
        <v>157</v>
      </c>
    </row>
    <row r="740" s="13" customFormat="1">
      <c r="A740" s="13"/>
      <c r="B740" s="232"/>
      <c r="C740" s="233"/>
      <c r="D740" s="234" t="s">
        <v>165</v>
      </c>
      <c r="E740" s="235" t="s">
        <v>1</v>
      </c>
      <c r="F740" s="236" t="s">
        <v>1332</v>
      </c>
      <c r="G740" s="233"/>
      <c r="H740" s="237">
        <v>9</v>
      </c>
      <c r="I740" s="238"/>
      <c r="J740" s="233"/>
      <c r="K740" s="233"/>
      <c r="L740" s="239"/>
      <c r="M740" s="240"/>
      <c r="N740" s="241"/>
      <c r="O740" s="241"/>
      <c r="P740" s="241"/>
      <c r="Q740" s="241"/>
      <c r="R740" s="241"/>
      <c r="S740" s="241"/>
      <c r="T740" s="242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T740" s="243" t="s">
        <v>165</v>
      </c>
      <c r="AU740" s="243" t="s">
        <v>86</v>
      </c>
      <c r="AV740" s="13" t="s">
        <v>86</v>
      </c>
      <c r="AW740" s="13" t="s">
        <v>32</v>
      </c>
      <c r="AX740" s="13" t="s">
        <v>77</v>
      </c>
      <c r="AY740" s="243" t="s">
        <v>157</v>
      </c>
    </row>
    <row r="741" s="2" customFormat="1" ht="24.15" customHeight="1">
      <c r="A741" s="37"/>
      <c r="B741" s="38"/>
      <c r="C741" s="218" t="s">
        <v>1333</v>
      </c>
      <c r="D741" s="218" t="s">
        <v>159</v>
      </c>
      <c r="E741" s="219" t="s">
        <v>1334</v>
      </c>
      <c r="F741" s="220" t="s">
        <v>1335</v>
      </c>
      <c r="G741" s="221" t="s">
        <v>216</v>
      </c>
      <c r="H741" s="222">
        <v>7.3940000000000001</v>
      </c>
      <c r="I741" s="223"/>
      <c r="J741" s="224">
        <f>ROUND(I741*H741,0)</f>
        <v>0</v>
      </c>
      <c r="K741" s="225"/>
      <c r="L741" s="43"/>
      <c r="M741" s="226" t="s">
        <v>1</v>
      </c>
      <c r="N741" s="227" t="s">
        <v>42</v>
      </c>
      <c r="O741" s="90"/>
      <c r="P741" s="228">
        <f>O741*H741</f>
        <v>0</v>
      </c>
      <c r="Q741" s="228">
        <v>0.00072000000000000005</v>
      </c>
      <c r="R741" s="228">
        <f>Q741*H741</f>
        <v>0.0053236800000000008</v>
      </c>
      <c r="S741" s="228">
        <v>0</v>
      </c>
      <c r="T741" s="229">
        <f>S741*H741</f>
        <v>0</v>
      </c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R741" s="230" t="s">
        <v>246</v>
      </c>
      <c r="AT741" s="230" t="s">
        <v>159</v>
      </c>
      <c r="AU741" s="230" t="s">
        <v>86</v>
      </c>
      <c r="AY741" s="16" t="s">
        <v>157</v>
      </c>
      <c r="BE741" s="231">
        <f>IF(N741="základní",J741,0)</f>
        <v>0</v>
      </c>
      <c r="BF741" s="231">
        <f>IF(N741="snížená",J741,0)</f>
        <v>0</v>
      </c>
      <c r="BG741" s="231">
        <f>IF(N741="zákl. přenesená",J741,0)</f>
        <v>0</v>
      </c>
      <c r="BH741" s="231">
        <f>IF(N741="sníž. přenesená",J741,0)</f>
        <v>0</v>
      </c>
      <c r="BI741" s="231">
        <f>IF(N741="nulová",J741,0)</f>
        <v>0</v>
      </c>
      <c r="BJ741" s="16" t="s">
        <v>8</v>
      </c>
      <c r="BK741" s="231">
        <f>ROUND(I741*H741,0)</f>
        <v>0</v>
      </c>
      <c r="BL741" s="16" t="s">
        <v>246</v>
      </c>
      <c r="BM741" s="230" t="s">
        <v>1336</v>
      </c>
    </row>
    <row r="742" s="13" customFormat="1">
      <c r="A742" s="13"/>
      <c r="B742" s="232"/>
      <c r="C742" s="233"/>
      <c r="D742" s="234" t="s">
        <v>165</v>
      </c>
      <c r="E742" s="235" t="s">
        <v>1</v>
      </c>
      <c r="F742" s="236" t="s">
        <v>1337</v>
      </c>
      <c r="G742" s="233"/>
      <c r="H742" s="237">
        <v>7.3940000000000001</v>
      </c>
      <c r="I742" s="238"/>
      <c r="J742" s="233"/>
      <c r="K742" s="233"/>
      <c r="L742" s="239"/>
      <c r="M742" s="240"/>
      <c r="N742" s="241"/>
      <c r="O742" s="241"/>
      <c r="P742" s="241"/>
      <c r="Q742" s="241"/>
      <c r="R742" s="241"/>
      <c r="S742" s="241"/>
      <c r="T742" s="242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T742" s="243" t="s">
        <v>165</v>
      </c>
      <c r="AU742" s="243" t="s">
        <v>86</v>
      </c>
      <c r="AV742" s="13" t="s">
        <v>86</v>
      </c>
      <c r="AW742" s="13" t="s">
        <v>32</v>
      </c>
      <c r="AX742" s="13" t="s">
        <v>77</v>
      </c>
      <c r="AY742" s="243" t="s">
        <v>157</v>
      </c>
    </row>
    <row r="743" s="2" customFormat="1" ht="24.15" customHeight="1">
      <c r="A743" s="37"/>
      <c r="B743" s="38"/>
      <c r="C743" s="254" t="s">
        <v>1338</v>
      </c>
      <c r="D743" s="254" t="s">
        <v>229</v>
      </c>
      <c r="E743" s="255" t="s">
        <v>1339</v>
      </c>
      <c r="F743" s="256" t="s">
        <v>1340</v>
      </c>
      <c r="G743" s="257" t="s">
        <v>216</v>
      </c>
      <c r="H743" s="258">
        <v>24.094000000000001</v>
      </c>
      <c r="I743" s="259"/>
      <c r="J743" s="260">
        <f>ROUND(I743*H743,0)</f>
        <v>0</v>
      </c>
      <c r="K743" s="261"/>
      <c r="L743" s="262"/>
      <c r="M743" s="263" t="s">
        <v>1</v>
      </c>
      <c r="N743" s="264" t="s">
        <v>42</v>
      </c>
      <c r="O743" s="90"/>
      <c r="P743" s="228">
        <f>O743*H743</f>
        <v>0</v>
      </c>
      <c r="Q743" s="228">
        <v>0.02</v>
      </c>
      <c r="R743" s="228">
        <f>Q743*H743</f>
        <v>0.48188000000000003</v>
      </c>
      <c r="S743" s="228">
        <v>0</v>
      </c>
      <c r="T743" s="229">
        <f>S743*H743</f>
        <v>0</v>
      </c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R743" s="230" t="s">
        <v>329</v>
      </c>
      <c r="AT743" s="230" t="s">
        <v>229</v>
      </c>
      <c r="AU743" s="230" t="s">
        <v>86</v>
      </c>
      <c r="AY743" s="16" t="s">
        <v>157</v>
      </c>
      <c r="BE743" s="231">
        <f>IF(N743="základní",J743,0)</f>
        <v>0</v>
      </c>
      <c r="BF743" s="231">
        <f>IF(N743="snížená",J743,0)</f>
        <v>0</v>
      </c>
      <c r="BG743" s="231">
        <f>IF(N743="zákl. přenesená",J743,0)</f>
        <v>0</v>
      </c>
      <c r="BH743" s="231">
        <f>IF(N743="sníž. přenesená",J743,0)</f>
        <v>0</v>
      </c>
      <c r="BI743" s="231">
        <f>IF(N743="nulová",J743,0)</f>
        <v>0</v>
      </c>
      <c r="BJ743" s="16" t="s">
        <v>8</v>
      </c>
      <c r="BK743" s="231">
        <f>ROUND(I743*H743,0)</f>
        <v>0</v>
      </c>
      <c r="BL743" s="16" t="s">
        <v>246</v>
      </c>
      <c r="BM743" s="230" t="s">
        <v>1341</v>
      </c>
    </row>
    <row r="744" s="13" customFormat="1">
      <c r="A744" s="13"/>
      <c r="B744" s="232"/>
      <c r="C744" s="233"/>
      <c r="D744" s="234" t="s">
        <v>165</v>
      </c>
      <c r="E744" s="235" t="s">
        <v>1</v>
      </c>
      <c r="F744" s="236" t="s">
        <v>1342</v>
      </c>
      <c r="G744" s="233"/>
      <c r="H744" s="237">
        <v>24.094000000000001</v>
      </c>
      <c r="I744" s="238"/>
      <c r="J744" s="233"/>
      <c r="K744" s="233"/>
      <c r="L744" s="239"/>
      <c r="M744" s="240"/>
      <c r="N744" s="241"/>
      <c r="O744" s="241"/>
      <c r="P744" s="241"/>
      <c r="Q744" s="241"/>
      <c r="R744" s="241"/>
      <c r="S744" s="241"/>
      <c r="T744" s="242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T744" s="243" t="s">
        <v>165</v>
      </c>
      <c r="AU744" s="243" t="s">
        <v>86</v>
      </c>
      <c r="AV744" s="13" t="s">
        <v>86</v>
      </c>
      <c r="AW744" s="13" t="s">
        <v>32</v>
      </c>
      <c r="AX744" s="13" t="s">
        <v>8</v>
      </c>
      <c r="AY744" s="243" t="s">
        <v>157</v>
      </c>
    </row>
    <row r="745" s="2" customFormat="1" ht="37.8" customHeight="1">
      <c r="A745" s="37"/>
      <c r="B745" s="38"/>
      <c r="C745" s="218" t="s">
        <v>1343</v>
      </c>
      <c r="D745" s="218" t="s">
        <v>159</v>
      </c>
      <c r="E745" s="219" t="s">
        <v>1344</v>
      </c>
      <c r="F745" s="220" t="s">
        <v>1345</v>
      </c>
      <c r="G745" s="221" t="s">
        <v>209</v>
      </c>
      <c r="H745" s="222">
        <v>533.69000000000005</v>
      </c>
      <c r="I745" s="223"/>
      <c r="J745" s="224">
        <f>ROUND(I745*H745,0)</f>
        <v>0</v>
      </c>
      <c r="K745" s="225"/>
      <c r="L745" s="43"/>
      <c r="M745" s="226" t="s">
        <v>1</v>
      </c>
      <c r="N745" s="227" t="s">
        <v>42</v>
      </c>
      <c r="O745" s="90"/>
      <c r="P745" s="228">
        <f>O745*H745</f>
        <v>0</v>
      </c>
      <c r="Q745" s="228">
        <v>0</v>
      </c>
      <c r="R745" s="228">
        <f>Q745*H745</f>
        <v>0</v>
      </c>
      <c r="S745" s="228">
        <v>0</v>
      </c>
      <c r="T745" s="229">
        <f>S745*H745</f>
        <v>0</v>
      </c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R745" s="230" t="s">
        <v>246</v>
      </c>
      <c r="AT745" s="230" t="s">
        <v>159</v>
      </c>
      <c r="AU745" s="230" t="s">
        <v>86</v>
      </c>
      <c r="AY745" s="16" t="s">
        <v>157</v>
      </c>
      <c r="BE745" s="231">
        <f>IF(N745="základní",J745,0)</f>
        <v>0</v>
      </c>
      <c r="BF745" s="231">
        <f>IF(N745="snížená",J745,0)</f>
        <v>0</v>
      </c>
      <c r="BG745" s="231">
        <f>IF(N745="zákl. přenesená",J745,0)</f>
        <v>0</v>
      </c>
      <c r="BH745" s="231">
        <f>IF(N745="sníž. přenesená",J745,0)</f>
        <v>0</v>
      </c>
      <c r="BI745" s="231">
        <f>IF(N745="nulová",J745,0)</f>
        <v>0</v>
      </c>
      <c r="BJ745" s="16" t="s">
        <v>8</v>
      </c>
      <c r="BK745" s="231">
        <f>ROUND(I745*H745,0)</f>
        <v>0</v>
      </c>
      <c r="BL745" s="16" t="s">
        <v>246</v>
      </c>
      <c r="BM745" s="230" t="s">
        <v>1346</v>
      </c>
    </row>
    <row r="746" s="13" customFormat="1">
      <c r="A746" s="13"/>
      <c r="B746" s="232"/>
      <c r="C746" s="233"/>
      <c r="D746" s="234" t="s">
        <v>165</v>
      </c>
      <c r="E746" s="235" t="s">
        <v>1</v>
      </c>
      <c r="F746" s="236" t="s">
        <v>872</v>
      </c>
      <c r="G746" s="233"/>
      <c r="H746" s="237">
        <v>133.75999999999999</v>
      </c>
      <c r="I746" s="238"/>
      <c r="J746" s="233"/>
      <c r="K746" s="233"/>
      <c r="L746" s="239"/>
      <c r="M746" s="240"/>
      <c r="N746" s="241"/>
      <c r="O746" s="241"/>
      <c r="P746" s="241"/>
      <c r="Q746" s="241"/>
      <c r="R746" s="241"/>
      <c r="S746" s="241"/>
      <c r="T746" s="242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T746" s="243" t="s">
        <v>165</v>
      </c>
      <c r="AU746" s="243" t="s">
        <v>86</v>
      </c>
      <c r="AV746" s="13" t="s">
        <v>86</v>
      </c>
      <c r="AW746" s="13" t="s">
        <v>32</v>
      </c>
      <c r="AX746" s="13" t="s">
        <v>77</v>
      </c>
      <c r="AY746" s="243" t="s">
        <v>157</v>
      </c>
    </row>
    <row r="747" s="13" customFormat="1">
      <c r="A747" s="13"/>
      <c r="B747" s="232"/>
      <c r="C747" s="233"/>
      <c r="D747" s="234" t="s">
        <v>165</v>
      </c>
      <c r="E747" s="235" t="s">
        <v>1</v>
      </c>
      <c r="F747" s="236" t="s">
        <v>873</v>
      </c>
      <c r="G747" s="233"/>
      <c r="H747" s="237">
        <v>219.03999999999999</v>
      </c>
      <c r="I747" s="238"/>
      <c r="J747" s="233"/>
      <c r="K747" s="233"/>
      <c r="L747" s="239"/>
      <c r="M747" s="240"/>
      <c r="N747" s="241"/>
      <c r="O747" s="241"/>
      <c r="P747" s="241"/>
      <c r="Q747" s="241"/>
      <c r="R747" s="241"/>
      <c r="S747" s="241"/>
      <c r="T747" s="242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T747" s="243" t="s">
        <v>165</v>
      </c>
      <c r="AU747" s="243" t="s">
        <v>86</v>
      </c>
      <c r="AV747" s="13" t="s">
        <v>86</v>
      </c>
      <c r="AW747" s="13" t="s">
        <v>32</v>
      </c>
      <c r="AX747" s="13" t="s">
        <v>77</v>
      </c>
      <c r="AY747" s="243" t="s">
        <v>157</v>
      </c>
    </row>
    <row r="748" s="13" customFormat="1">
      <c r="A748" s="13"/>
      <c r="B748" s="232"/>
      <c r="C748" s="233"/>
      <c r="D748" s="234" t="s">
        <v>165</v>
      </c>
      <c r="E748" s="235" t="s">
        <v>1</v>
      </c>
      <c r="F748" s="236" t="s">
        <v>874</v>
      </c>
      <c r="G748" s="233"/>
      <c r="H748" s="237">
        <v>143.94</v>
      </c>
      <c r="I748" s="238"/>
      <c r="J748" s="233"/>
      <c r="K748" s="233"/>
      <c r="L748" s="239"/>
      <c r="M748" s="240"/>
      <c r="N748" s="241"/>
      <c r="O748" s="241"/>
      <c r="P748" s="241"/>
      <c r="Q748" s="241"/>
      <c r="R748" s="241"/>
      <c r="S748" s="241"/>
      <c r="T748" s="242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T748" s="243" t="s">
        <v>165</v>
      </c>
      <c r="AU748" s="243" t="s">
        <v>86</v>
      </c>
      <c r="AV748" s="13" t="s">
        <v>86</v>
      </c>
      <c r="AW748" s="13" t="s">
        <v>32</v>
      </c>
      <c r="AX748" s="13" t="s">
        <v>77</v>
      </c>
      <c r="AY748" s="243" t="s">
        <v>157</v>
      </c>
    </row>
    <row r="749" s="13" customFormat="1">
      <c r="A749" s="13"/>
      <c r="B749" s="232"/>
      <c r="C749" s="233"/>
      <c r="D749" s="234" t="s">
        <v>165</v>
      </c>
      <c r="E749" s="235" t="s">
        <v>1</v>
      </c>
      <c r="F749" s="236" t="s">
        <v>875</v>
      </c>
      <c r="G749" s="233"/>
      <c r="H749" s="237">
        <v>11.66</v>
      </c>
      <c r="I749" s="238"/>
      <c r="J749" s="233"/>
      <c r="K749" s="233"/>
      <c r="L749" s="239"/>
      <c r="M749" s="240"/>
      <c r="N749" s="241"/>
      <c r="O749" s="241"/>
      <c r="P749" s="241"/>
      <c r="Q749" s="241"/>
      <c r="R749" s="241"/>
      <c r="S749" s="241"/>
      <c r="T749" s="242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T749" s="243" t="s">
        <v>165</v>
      </c>
      <c r="AU749" s="243" t="s">
        <v>86</v>
      </c>
      <c r="AV749" s="13" t="s">
        <v>86</v>
      </c>
      <c r="AW749" s="13" t="s">
        <v>32</v>
      </c>
      <c r="AX749" s="13" t="s">
        <v>77</v>
      </c>
      <c r="AY749" s="243" t="s">
        <v>157</v>
      </c>
    </row>
    <row r="750" s="13" customFormat="1">
      <c r="A750" s="13"/>
      <c r="B750" s="232"/>
      <c r="C750" s="233"/>
      <c r="D750" s="234" t="s">
        <v>165</v>
      </c>
      <c r="E750" s="235" t="s">
        <v>1</v>
      </c>
      <c r="F750" s="236" t="s">
        <v>1347</v>
      </c>
      <c r="G750" s="233"/>
      <c r="H750" s="237">
        <v>25.289999999999999</v>
      </c>
      <c r="I750" s="238"/>
      <c r="J750" s="233"/>
      <c r="K750" s="233"/>
      <c r="L750" s="239"/>
      <c r="M750" s="240"/>
      <c r="N750" s="241"/>
      <c r="O750" s="241"/>
      <c r="P750" s="241"/>
      <c r="Q750" s="241"/>
      <c r="R750" s="241"/>
      <c r="S750" s="241"/>
      <c r="T750" s="242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T750" s="243" t="s">
        <v>165</v>
      </c>
      <c r="AU750" s="243" t="s">
        <v>86</v>
      </c>
      <c r="AV750" s="13" t="s">
        <v>86</v>
      </c>
      <c r="AW750" s="13" t="s">
        <v>32</v>
      </c>
      <c r="AX750" s="13" t="s">
        <v>77</v>
      </c>
      <c r="AY750" s="243" t="s">
        <v>157</v>
      </c>
    </row>
    <row r="751" s="14" customFormat="1">
      <c r="A751" s="14"/>
      <c r="B751" s="244"/>
      <c r="C751" s="245"/>
      <c r="D751" s="234" t="s">
        <v>165</v>
      </c>
      <c r="E751" s="246" t="s">
        <v>1</v>
      </c>
      <c r="F751" s="247" t="s">
        <v>1348</v>
      </c>
      <c r="G751" s="245"/>
      <c r="H751" s="246" t="s">
        <v>1</v>
      </c>
      <c r="I751" s="248"/>
      <c r="J751" s="245"/>
      <c r="K751" s="245"/>
      <c r="L751" s="249"/>
      <c r="M751" s="250"/>
      <c r="N751" s="251"/>
      <c r="O751" s="251"/>
      <c r="P751" s="251"/>
      <c r="Q751" s="251"/>
      <c r="R751" s="251"/>
      <c r="S751" s="251"/>
      <c r="T751" s="252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T751" s="253" t="s">
        <v>165</v>
      </c>
      <c r="AU751" s="253" t="s">
        <v>86</v>
      </c>
      <c r="AV751" s="14" t="s">
        <v>8</v>
      </c>
      <c r="AW751" s="14" t="s">
        <v>32</v>
      </c>
      <c r="AX751" s="14" t="s">
        <v>77</v>
      </c>
      <c r="AY751" s="253" t="s">
        <v>157</v>
      </c>
    </row>
    <row r="752" s="14" customFormat="1">
      <c r="A752" s="14"/>
      <c r="B752" s="244"/>
      <c r="C752" s="245"/>
      <c r="D752" s="234" t="s">
        <v>165</v>
      </c>
      <c r="E752" s="246" t="s">
        <v>1</v>
      </c>
      <c r="F752" s="247" t="s">
        <v>1349</v>
      </c>
      <c r="G752" s="245"/>
      <c r="H752" s="246" t="s">
        <v>1</v>
      </c>
      <c r="I752" s="248"/>
      <c r="J752" s="245"/>
      <c r="K752" s="245"/>
      <c r="L752" s="249"/>
      <c r="M752" s="250"/>
      <c r="N752" s="251"/>
      <c r="O752" s="251"/>
      <c r="P752" s="251"/>
      <c r="Q752" s="251"/>
      <c r="R752" s="251"/>
      <c r="S752" s="251"/>
      <c r="T752" s="252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T752" s="253" t="s">
        <v>165</v>
      </c>
      <c r="AU752" s="253" t="s">
        <v>86</v>
      </c>
      <c r="AV752" s="14" t="s">
        <v>8</v>
      </c>
      <c r="AW752" s="14" t="s">
        <v>32</v>
      </c>
      <c r="AX752" s="14" t="s">
        <v>77</v>
      </c>
      <c r="AY752" s="253" t="s">
        <v>157</v>
      </c>
    </row>
    <row r="753" s="14" customFormat="1">
      <c r="A753" s="14"/>
      <c r="B753" s="244"/>
      <c r="C753" s="245"/>
      <c r="D753" s="234" t="s">
        <v>165</v>
      </c>
      <c r="E753" s="246" t="s">
        <v>1</v>
      </c>
      <c r="F753" s="247" t="s">
        <v>1350</v>
      </c>
      <c r="G753" s="245"/>
      <c r="H753" s="246" t="s">
        <v>1</v>
      </c>
      <c r="I753" s="248"/>
      <c r="J753" s="245"/>
      <c r="K753" s="245"/>
      <c r="L753" s="249"/>
      <c r="M753" s="250"/>
      <c r="N753" s="251"/>
      <c r="O753" s="251"/>
      <c r="P753" s="251"/>
      <c r="Q753" s="251"/>
      <c r="R753" s="251"/>
      <c r="S753" s="251"/>
      <c r="T753" s="252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T753" s="253" t="s">
        <v>165</v>
      </c>
      <c r="AU753" s="253" t="s">
        <v>86</v>
      </c>
      <c r="AV753" s="14" t="s">
        <v>8</v>
      </c>
      <c r="AW753" s="14" t="s">
        <v>32</v>
      </c>
      <c r="AX753" s="14" t="s">
        <v>77</v>
      </c>
      <c r="AY753" s="253" t="s">
        <v>157</v>
      </c>
    </row>
    <row r="754" s="14" customFormat="1">
      <c r="A754" s="14"/>
      <c r="B754" s="244"/>
      <c r="C754" s="245"/>
      <c r="D754" s="234" t="s">
        <v>165</v>
      </c>
      <c r="E754" s="246" t="s">
        <v>1</v>
      </c>
      <c r="F754" s="247" t="s">
        <v>1351</v>
      </c>
      <c r="G754" s="245"/>
      <c r="H754" s="246" t="s">
        <v>1</v>
      </c>
      <c r="I754" s="248"/>
      <c r="J754" s="245"/>
      <c r="K754" s="245"/>
      <c r="L754" s="249"/>
      <c r="M754" s="250"/>
      <c r="N754" s="251"/>
      <c r="O754" s="251"/>
      <c r="P754" s="251"/>
      <c r="Q754" s="251"/>
      <c r="R754" s="251"/>
      <c r="S754" s="251"/>
      <c r="T754" s="252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T754" s="253" t="s">
        <v>165</v>
      </c>
      <c r="AU754" s="253" t="s">
        <v>86</v>
      </c>
      <c r="AV754" s="14" t="s">
        <v>8</v>
      </c>
      <c r="AW754" s="14" t="s">
        <v>32</v>
      </c>
      <c r="AX754" s="14" t="s">
        <v>77</v>
      </c>
      <c r="AY754" s="253" t="s">
        <v>157</v>
      </c>
    </row>
    <row r="755" s="14" customFormat="1">
      <c r="A755" s="14"/>
      <c r="B755" s="244"/>
      <c r="C755" s="245"/>
      <c r="D755" s="234" t="s">
        <v>165</v>
      </c>
      <c r="E755" s="246" t="s">
        <v>1</v>
      </c>
      <c r="F755" s="247" t="s">
        <v>1352</v>
      </c>
      <c r="G755" s="245"/>
      <c r="H755" s="246" t="s">
        <v>1</v>
      </c>
      <c r="I755" s="248"/>
      <c r="J755" s="245"/>
      <c r="K755" s="245"/>
      <c r="L755" s="249"/>
      <c r="M755" s="250"/>
      <c r="N755" s="251"/>
      <c r="O755" s="251"/>
      <c r="P755" s="251"/>
      <c r="Q755" s="251"/>
      <c r="R755" s="251"/>
      <c r="S755" s="251"/>
      <c r="T755" s="252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T755" s="253" t="s">
        <v>165</v>
      </c>
      <c r="AU755" s="253" t="s">
        <v>86</v>
      </c>
      <c r="AV755" s="14" t="s">
        <v>8</v>
      </c>
      <c r="AW755" s="14" t="s">
        <v>32</v>
      </c>
      <c r="AX755" s="14" t="s">
        <v>77</v>
      </c>
      <c r="AY755" s="253" t="s">
        <v>157</v>
      </c>
    </row>
    <row r="756" s="14" customFormat="1">
      <c r="A756" s="14"/>
      <c r="B756" s="244"/>
      <c r="C756" s="245"/>
      <c r="D756" s="234" t="s">
        <v>165</v>
      </c>
      <c r="E756" s="246" t="s">
        <v>1</v>
      </c>
      <c r="F756" s="247" t="s">
        <v>1353</v>
      </c>
      <c r="G756" s="245"/>
      <c r="H756" s="246" t="s">
        <v>1</v>
      </c>
      <c r="I756" s="248"/>
      <c r="J756" s="245"/>
      <c r="K756" s="245"/>
      <c r="L756" s="249"/>
      <c r="M756" s="250"/>
      <c r="N756" s="251"/>
      <c r="O756" s="251"/>
      <c r="P756" s="251"/>
      <c r="Q756" s="251"/>
      <c r="R756" s="251"/>
      <c r="S756" s="251"/>
      <c r="T756" s="252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T756" s="253" t="s">
        <v>165</v>
      </c>
      <c r="AU756" s="253" t="s">
        <v>86</v>
      </c>
      <c r="AV756" s="14" t="s">
        <v>8</v>
      </c>
      <c r="AW756" s="14" t="s">
        <v>32</v>
      </c>
      <c r="AX756" s="14" t="s">
        <v>77</v>
      </c>
      <c r="AY756" s="253" t="s">
        <v>157</v>
      </c>
    </row>
    <row r="757" s="14" customFormat="1">
      <c r="A757" s="14"/>
      <c r="B757" s="244"/>
      <c r="C757" s="245"/>
      <c r="D757" s="234" t="s">
        <v>165</v>
      </c>
      <c r="E757" s="246" t="s">
        <v>1</v>
      </c>
      <c r="F757" s="247" t="s">
        <v>1354</v>
      </c>
      <c r="G757" s="245"/>
      <c r="H757" s="246" t="s">
        <v>1</v>
      </c>
      <c r="I757" s="248"/>
      <c r="J757" s="245"/>
      <c r="K757" s="245"/>
      <c r="L757" s="249"/>
      <c r="M757" s="250"/>
      <c r="N757" s="251"/>
      <c r="O757" s="251"/>
      <c r="P757" s="251"/>
      <c r="Q757" s="251"/>
      <c r="R757" s="251"/>
      <c r="S757" s="251"/>
      <c r="T757" s="252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T757" s="253" t="s">
        <v>165</v>
      </c>
      <c r="AU757" s="253" t="s">
        <v>86</v>
      </c>
      <c r="AV757" s="14" t="s">
        <v>8</v>
      </c>
      <c r="AW757" s="14" t="s">
        <v>32</v>
      </c>
      <c r="AX757" s="14" t="s">
        <v>77</v>
      </c>
      <c r="AY757" s="253" t="s">
        <v>157</v>
      </c>
    </row>
    <row r="758" s="2" customFormat="1" ht="37.8" customHeight="1">
      <c r="A758" s="37"/>
      <c r="B758" s="38"/>
      <c r="C758" s="218" t="s">
        <v>1355</v>
      </c>
      <c r="D758" s="218" t="s">
        <v>159</v>
      </c>
      <c r="E758" s="219" t="s">
        <v>1356</v>
      </c>
      <c r="F758" s="220" t="s">
        <v>1357</v>
      </c>
      <c r="G758" s="221" t="s">
        <v>209</v>
      </c>
      <c r="H758" s="222">
        <v>35.240000000000002</v>
      </c>
      <c r="I758" s="223"/>
      <c r="J758" s="224">
        <f>ROUND(I758*H758,0)</f>
        <v>0</v>
      </c>
      <c r="K758" s="225"/>
      <c r="L758" s="43"/>
      <c r="M758" s="226" t="s">
        <v>1</v>
      </c>
      <c r="N758" s="227" t="s">
        <v>42</v>
      </c>
      <c r="O758" s="90"/>
      <c r="P758" s="228">
        <f>O758*H758</f>
        <v>0</v>
      </c>
      <c r="Q758" s="228">
        <v>0</v>
      </c>
      <c r="R758" s="228">
        <f>Q758*H758</f>
        <v>0</v>
      </c>
      <c r="S758" s="228">
        <v>0</v>
      </c>
      <c r="T758" s="229">
        <f>S758*H758</f>
        <v>0</v>
      </c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R758" s="230" t="s">
        <v>246</v>
      </c>
      <c r="AT758" s="230" t="s">
        <v>159</v>
      </c>
      <c r="AU758" s="230" t="s">
        <v>86</v>
      </c>
      <c r="AY758" s="16" t="s">
        <v>157</v>
      </c>
      <c r="BE758" s="231">
        <f>IF(N758="základní",J758,0)</f>
        <v>0</v>
      </c>
      <c r="BF758" s="231">
        <f>IF(N758="snížená",J758,0)</f>
        <v>0</v>
      </c>
      <c r="BG758" s="231">
        <f>IF(N758="zákl. přenesená",J758,0)</f>
        <v>0</v>
      </c>
      <c r="BH758" s="231">
        <f>IF(N758="sníž. přenesená",J758,0)</f>
        <v>0</v>
      </c>
      <c r="BI758" s="231">
        <f>IF(N758="nulová",J758,0)</f>
        <v>0</v>
      </c>
      <c r="BJ758" s="16" t="s">
        <v>8</v>
      </c>
      <c r="BK758" s="231">
        <f>ROUND(I758*H758,0)</f>
        <v>0</v>
      </c>
      <c r="BL758" s="16" t="s">
        <v>246</v>
      </c>
      <c r="BM758" s="230" t="s">
        <v>1358</v>
      </c>
    </row>
    <row r="759" s="13" customFormat="1">
      <c r="A759" s="13"/>
      <c r="B759" s="232"/>
      <c r="C759" s="233"/>
      <c r="D759" s="234" t="s">
        <v>165</v>
      </c>
      <c r="E759" s="235" t="s">
        <v>1</v>
      </c>
      <c r="F759" s="236" t="s">
        <v>815</v>
      </c>
      <c r="G759" s="233"/>
      <c r="H759" s="237">
        <v>35.240000000000002</v>
      </c>
      <c r="I759" s="238"/>
      <c r="J759" s="233"/>
      <c r="K759" s="233"/>
      <c r="L759" s="239"/>
      <c r="M759" s="240"/>
      <c r="N759" s="241"/>
      <c r="O759" s="241"/>
      <c r="P759" s="241"/>
      <c r="Q759" s="241"/>
      <c r="R759" s="241"/>
      <c r="S759" s="241"/>
      <c r="T759" s="242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T759" s="243" t="s">
        <v>165</v>
      </c>
      <c r="AU759" s="243" t="s">
        <v>86</v>
      </c>
      <c r="AV759" s="13" t="s">
        <v>86</v>
      </c>
      <c r="AW759" s="13" t="s">
        <v>32</v>
      </c>
      <c r="AX759" s="13" t="s">
        <v>77</v>
      </c>
      <c r="AY759" s="243" t="s">
        <v>157</v>
      </c>
    </row>
    <row r="760" s="14" customFormat="1">
      <c r="A760" s="14"/>
      <c r="B760" s="244"/>
      <c r="C760" s="245"/>
      <c r="D760" s="234" t="s">
        <v>165</v>
      </c>
      <c r="E760" s="246" t="s">
        <v>1</v>
      </c>
      <c r="F760" s="247" t="s">
        <v>1348</v>
      </c>
      <c r="G760" s="245"/>
      <c r="H760" s="246" t="s">
        <v>1</v>
      </c>
      <c r="I760" s="248"/>
      <c r="J760" s="245"/>
      <c r="K760" s="245"/>
      <c r="L760" s="249"/>
      <c r="M760" s="250"/>
      <c r="N760" s="251"/>
      <c r="O760" s="251"/>
      <c r="P760" s="251"/>
      <c r="Q760" s="251"/>
      <c r="R760" s="251"/>
      <c r="S760" s="251"/>
      <c r="T760" s="252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T760" s="253" t="s">
        <v>165</v>
      </c>
      <c r="AU760" s="253" t="s">
        <v>86</v>
      </c>
      <c r="AV760" s="14" t="s">
        <v>8</v>
      </c>
      <c r="AW760" s="14" t="s">
        <v>32</v>
      </c>
      <c r="AX760" s="14" t="s">
        <v>77</v>
      </c>
      <c r="AY760" s="253" t="s">
        <v>157</v>
      </c>
    </row>
    <row r="761" s="14" customFormat="1">
      <c r="A761" s="14"/>
      <c r="B761" s="244"/>
      <c r="C761" s="245"/>
      <c r="D761" s="234" t="s">
        <v>165</v>
      </c>
      <c r="E761" s="246" t="s">
        <v>1</v>
      </c>
      <c r="F761" s="247" t="s">
        <v>1349</v>
      </c>
      <c r="G761" s="245"/>
      <c r="H761" s="246" t="s">
        <v>1</v>
      </c>
      <c r="I761" s="248"/>
      <c r="J761" s="245"/>
      <c r="K761" s="245"/>
      <c r="L761" s="249"/>
      <c r="M761" s="250"/>
      <c r="N761" s="251"/>
      <c r="O761" s="251"/>
      <c r="P761" s="251"/>
      <c r="Q761" s="251"/>
      <c r="R761" s="251"/>
      <c r="S761" s="251"/>
      <c r="T761" s="252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T761" s="253" t="s">
        <v>165</v>
      </c>
      <c r="AU761" s="253" t="s">
        <v>86</v>
      </c>
      <c r="AV761" s="14" t="s">
        <v>8</v>
      </c>
      <c r="AW761" s="14" t="s">
        <v>32</v>
      </c>
      <c r="AX761" s="14" t="s">
        <v>77</v>
      </c>
      <c r="AY761" s="253" t="s">
        <v>157</v>
      </c>
    </row>
    <row r="762" s="14" customFormat="1">
      <c r="A762" s="14"/>
      <c r="B762" s="244"/>
      <c r="C762" s="245"/>
      <c r="D762" s="234" t="s">
        <v>165</v>
      </c>
      <c r="E762" s="246" t="s">
        <v>1</v>
      </c>
      <c r="F762" s="247" t="s">
        <v>1350</v>
      </c>
      <c r="G762" s="245"/>
      <c r="H762" s="246" t="s">
        <v>1</v>
      </c>
      <c r="I762" s="248"/>
      <c r="J762" s="245"/>
      <c r="K762" s="245"/>
      <c r="L762" s="249"/>
      <c r="M762" s="250"/>
      <c r="N762" s="251"/>
      <c r="O762" s="251"/>
      <c r="P762" s="251"/>
      <c r="Q762" s="251"/>
      <c r="R762" s="251"/>
      <c r="S762" s="251"/>
      <c r="T762" s="252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T762" s="253" t="s">
        <v>165</v>
      </c>
      <c r="AU762" s="253" t="s">
        <v>86</v>
      </c>
      <c r="AV762" s="14" t="s">
        <v>8</v>
      </c>
      <c r="AW762" s="14" t="s">
        <v>32</v>
      </c>
      <c r="AX762" s="14" t="s">
        <v>77</v>
      </c>
      <c r="AY762" s="253" t="s">
        <v>157</v>
      </c>
    </row>
    <row r="763" s="14" customFormat="1">
      <c r="A763" s="14"/>
      <c r="B763" s="244"/>
      <c r="C763" s="245"/>
      <c r="D763" s="234" t="s">
        <v>165</v>
      </c>
      <c r="E763" s="246" t="s">
        <v>1</v>
      </c>
      <c r="F763" s="247" t="s">
        <v>1352</v>
      </c>
      <c r="G763" s="245"/>
      <c r="H763" s="246" t="s">
        <v>1</v>
      </c>
      <c r="I763" s="248"/>
      <c r="J763" s="245"/>
      <c r="K763" s="245"/>
      <c r="L763" s="249"/>
      <c r="M763" s="250"/>
      <c r="N763" s="251"/>
      <c r="O763" s="251"/>
      <c r="P763" s="251"/>
      <c r="Q763" s="251"/>
      <c r="R763" s="251"/>
      <c r="S763" s="251"/>
      <c r="T763" s="252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T763" s="253" t="s">
        <v>165</v>
      </c>
      <c r="AU763" s="253" t="s">
        <v>86</v>
      </c>
      <c r="AV763" s="14" t="s">
        <v>8</v>
      </c>
      <c r="AW763" s="14" t="s">
        <v>32</v>
      </c>
      <c r="AX763" s="14" t="s">
        <v>77</v>
      </c>
      <c r="AY763" s="253" t="s">
        <v>157</v>
      </c>
    </row>
    <row r="764" s="14" customFormat="1">
      <c r="A764" s="14"/>
      <c r="B764" s="244"/>
      <c r="C764" s="245"/>
      <c r="D764" s="234" t="s">
        <v>165</v>
      </c>
      <c r="E764" s="246" t="s">
        <v>1</v>
      </c>
      <c r="F764" s="247" t="s">
        <v>1353</v>
      </c>
      <c r="G764" s="245"/>
      <c r="H764" s="246" t="s">
        <v>1</v>
      </c>
      <c r="I764" s="248"/>
      <c r="J764" s="245"/>
      <c r="K764" s="245"/>
      <c r="L764" s="249"/>
      <c r="M764" s="250"/>
      <c r="N764" s="251"/>
      <c r="O764" s="251"/>
      <c r="P764" s="251"/>
      <c r="Q764" s="251"/>
      <c r="R764" s="251"/>
      <c r="S764" s="251"/>
      <c r="T764" s="252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T764" s="253" t="s">
        <v>165</v>
      </c>
      <c r="AU764" s="253" t="s">
        <v>86</v>
      </c>
      <c r="AV764" s="14" t="s">
        <v>8</v>
      </c>
      <c r="AW764" s="14" t="s">
        <v>32</v>
      </c>
      <c r="AX764" s="14" t="s">
        <v>77</v>
      </c>
      <c r="AY764" s="253" t="s">
        <v>157</v>
      </c>
    </row>
    <row r="765" s="2" customFormat="1" ht="24.15" customHeight="1">
      <c r="A765" s="37"/>
      <c r="B765" s="38"/>
      <c r="C765" s="218" t="s">
        <v>1359</v>
      </c>
      <c r="D765" s="218" t="s">
        <v>159</v>
      </c>
      <c r="E765" s="219" t="s">
        <v>1360</v>
      </c>
      <c r="F765" s="220" t="s">
        <v>1361</v>
      </c>
      <c r="G765" s="221" t="s">
        <v>209</v>
      </c>
      <c r="H765" s="222">
        <v>38.530000000000001</v>
      </c>
      <c r="I765" s="223"/>
      <c r="J765" s="224">
        <f>ROUND(I765*H765,0)</f>
        <v>0</v>
      </c>
      <c r="K765" s="225"/>
      <c r="L765" s="43"/>
      <c r="M765" s="226" t="s">
        <v>1</v>
      </c>
      <c r="N765" s="227" t="s">
        <v>42</v>
      </c>
      <c r="O765" s="90"/>
      <c r="P765" s="228">
        <f>O765*H765</f>
        <v>0</v>
      </c>
      <c r="Q765" s="228">
        <v>0</v>
      </c>
      <c r="R765" s="228">
        <f>Q765*H765</f>
        <v>0</v>
      </c>
      <c r="S765" s="228">
        <v>0</v>
      </c>
      <c r="T765" s="229">
        <f>S765*H765</f>
        <v>0</v>
      </c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R765" s="230" t="s">
        <v>246</v>
      </c>
      <c r="AT765" s="230" t="s">
        <v>159</v>
      </c>
      <c r="AU765" s="230" t="s">
        <v>86</v>
      </c>
      <c r="AY765" s="16" t="s">
        <v>157</v>
      </c>
      <c r="BE765" s="231">
        <f>IF(N765="základní",J765,0)</f>
        <v>0</v>
      </c>
      <c r="BF765" s="231">
        <f>IF(N765="snížená",J765,0)</f>
        <v>0</v>
      </c>
      <c r="BG765" s="231">
        <f>IF(N765="zákl. přenesená",J765,0)</f>
        <v>0</v>
      </c>
      <c r="BH765" s="231">
        <f>IF(N765="sníž. přenesená",J765,0)</f>
        <v>0</v>
      </c>
      <c r="BI765" s="231">
        <f>IF(N765="nulová",J765,0)</f>
        <v>0</v>
      </c>
      <c r="BJ765" s="16" t="s">
        <v>8</v>
      </c>
      <c r="BK765" s="231">
        <f>ROUND(I765*H765,0)</f>
        <v>0</v>
      </c>
      <c r="BL765" s="16" t="s">
        <v>246</v>
      </c>
      <c r="BM765" s="230" t="s">
        <v>1362</v>
      </c>
    </row>
    <row r="766" s="13" customFormat="1">
      <c r="A766" s="13"/>
      <c r="B766" s="232"/>
      <c r="C766" s="233"/>
      <c r="D766" s="234" t="s">
        <v>165</v>
      </c>
      <c r="E766" s="235" t="s">
        <v>1</v>
      </c>
      <c r="F766" s="236" t="s">
        <v>451</v>
      </c>
      <c r="G766" s="233"/>
      <c r="H766" s="237">
        <v>11.41</v>
      </c>
      <c r="I766" s="238"/>
      <c r="J766" s="233"/>
      <c r="K766" s="233"/>
      <c r="L766" s="239"/>
      <c r="M766" s="240"/>
      <c r="N766" s="241"/>
      <c r="O766" s="241"/>
      <c r="P766" s="241"/>
      <c r="Q766" s="241"/>
      <c r="R766" s="241"/>
      <c r="S766" s="241"/>
      <c r="T766" s="242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T766" s="243" t="s">
        <v>165</v>
      </c>
      <c r="AU766" s="243" t="s">
        <v>86</v>
      </c>
      <c r="AV766" s="13" t="s">
        <v>86</v>
      </c>
      <c r="AW766" s="13" t="s">
        <v>32</v>
      </c>
      <c r="AX766" s="13" t="s">
        <v>77</v>
      </c>
      <c r="AY766" s="243" t="s">
        <v>157</v>
      </c>
    </row>
    <row r="767" s="13" customFormat="1">
      <c r="A767" s="13"/>
      <c r="B767" s="232"/>
      <c r="C767" s="233"/>
      <c r="D767" s="234" t="s">
        <v>165</v>
      </c>
      <c r="E767" s="235" t="s">
        <v>1</v>
      </c>
      <c r="F767" s="236" t="s">
        <v>452</v>
      </c>
      <c r="G767" s="233"/>
      <c r="H767" s="237">
        <v>27.120000000000001</v>
      </c>
      <c r="I767" s="238"/>
      <c r="J767" s="233"/>
      <c r="K767" s="233"/>
      <c r="L767" s="239"/>
      <c r="M767" s="240"/>
      <c r="N767" s="241"/>
      <c r="O767" s="241"/>
      <c r="P767" s="241"/>
      <c r="Q767" s="241"/>
      <c r="R767" s="241"/>
      <c r="S767" s="241"/>
      <c r="T767" s="242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T767" s="243" t="s">
        <v>165</v>
      </c>
      <c r="AU767" s="243" t="s">
        <v>86</v>
      </c>
      <c r="AV767" s="13" t="s">
        <v>86</v>
      </c>
      <c r="AW767" s="13" t="s">
        <v>32</v>
      </c>
      <c r="AX767" s="13" t="s">
        <v>77</v>
      </c>
      <c r="AY767" s="243" t="s">
        <v>157</v>
      </c>
    </row>
    <row r="768" s="2" customFormat="1" ht="33" customHeight="1">
      <c r="A768" s="37"/>
      <c r="B768" s="38"/>
      <c r="C768" s="218" t="s">
        <v>1363</v>
      </c>
      <c r="D768" s="218" t="s">
        <v>159</v>
      </c>
      <c r="E768" s="219" t="s">
        <v>1364</v>
      </c>
      <c r="F768" s="220" t="s">
        <v>1365</v>
      </c>
      <c r="G768" s="221" t="s">
        <v>209</v>
      </c>
      <c r="H768" s="222">
        <v>222.106</v>
      </c>
      <c r="I768" s="223"/>
      <c r="J768" s="224">
        <f>ROUND(I768*H768,0)</f>
        <v>0</v>
      </c>
      <c r="K768" s="225"/>
      <c r="L768" s="43"/>
      <c r="M768" s="226" t="s">
        <v>1</v>
      </c>
      <c r="N768" s="227" t="s">
        <v>42</v>
      </c>
      <c r="O768" s="90"/>
      <c r="P768" s="228">
        <f>O768*H768</f>
        <v>0</v>
      </c>
      <c r="Q768" s="228">
        <v>0</v>
      </c>
      <c r="R768" s="228">
        <f>Q768*H768</f>
        <v>0</v>
      </c>
      <c r="S768" s="228">
        <v>0</v>
      </c>
      <c r="T768" s="229">
        <f>S768*H768</f>
        <v>0</v>
      </c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R768" s="230" t="s">
        <v>246</v>
      </c>
      <c r="AT768" s="230" t="s">
        <v>159</v>
      </c>
      <c r="AU768" s="230" t="s">
        <v>86</v>
      </c>
      <c r="AY768" s="16" t="s">
        <v>157</v>
      </c>
      <c r="BE768" s="231">
        <f>IF(N768="základní",J768,0)</f>
        <v>0</v>
      </c>
      <c r="BF768" s="231">
        <f>IF(N768="snížená",J768,0)</f>
        <v>0</v>
      </c>
      <c r="BG768" s="231">
        <f>IF(N768="zákl. přenesená",J768,0)</f>
        <v>0</v>
      </c>
      <c r="BH768" s="231">
        <f>IF(N768="sníž. přenesená",J768,0)</f>
        <v>0</v>
      </c>
      <c r="BI768" s="231">
        <f>IF(N768="nulová",J768,0)</f>
        <v>0</v>
      </c>
      <c r="BJ768" s="16" t="s">
        <v>8</v>
      </c>
      <c r="BK768" s="231">
        <f>ROUND(I768*H768,0)</f>
        <v>0</v>
      </c>
      <c r="BL768" s="16" t="s">
        <v>246</v>
      </c>
      <c r="BM768" s="230" t="s">
        <v>1366</v>
      </c>
    </row>
    <row r="769" s="13" customFormat="1">
      <c r="A769" s="13"/>
      <c r="B769" s="232"/>
      <c r="C769" s="233"/>
      <c r="D769" s="234" t="s">
        <v>165</v>
      </c>
      <c r="E769" s="235" t="s">
        <v>1</v>
      </c>
      <c r="F769" s="236" t="s">
        <v>1367</v>
      </c>
      <c r="G769" s="233"/>
      <c r="H769" s="237">
        <v>110.06699999999999</v>
      </c>
      <c r="I769" s="238"/>
      <c r="J769" s="233"/>
      <c r="K769" s="233"/>
      <c r="L769" s="239"/>
      <c r="M769" s="240"/>
      <c r="N769" s="241"/>
      <c r="O769" s="241"/>
      <c r="P769" s="241"/>
      <c r="Q769" s="241"/>
      <c r="R769" s="241"/>
      <c r="S769" s="241"/>
      <c r="T769" s="242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T769" s="243" t="s">
        <v>165</v>
      </c>
      <c r="AU769" s="243" t="s">
        <v>86</v>
      </c>
      <c r="AV769" s="13" t="s">
        <v>86</v>
      </c>
      <c r="AW769" s="13" t="s">
        <v>32</v>
      </c>
      <c r="AX769" s="13" t="s">
        <v>77</v>
      </c>
      <c r="AY769" s="243" t="s">
        <v>157</v>
      </c>
    </row>
    <row r="770" s="13" customFormat="1">
      <c r="A770" s="13"/>
      <c r="B770" s="232"/>
      <c r="C770" s="233"/>
      <c r="D770" s="234" t="s">
        <v>165</v>
      </c>
      <c r="E770" s="235" t="s">
        <v>1</v>
      </c>
      <c r="F770" s="236" t="s">
        <v>1368</v>
      </c>
      <c r="G770" s="233"/>
      <c r="H770" s="237">
        <v>112.039</v>
      </c>
      <c r="I770" s="238"/>
      <c r="J770" s="233"/>
      <c r="K770" s="233"/>
      <c r="L770" s="239"/>
      <c r="M770" s="240"/>
      <c r="N770" s="241"/>
      <c r="O770" s="241"/>
      <c r="P770" s="241"/>
      <c r="Q770" s="241"/>
      <c r="R770" s="241"/>
      <c r="S770" s="241"/>
      <c r="T770" s="242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T770" s="243" t="s">
        <v>165</v>
      </c>
      <c r="AU770" s="243" t="s">
        <v>86</v>
      </c>
      <c r="AV770" s="13" t="s">
        <v>86</v>
      </c>
      <c r="AW770" s="13" t="s">
        <v>32</v>
      </c>
      <c r="AX770" s="13" t="s">
        <v>77</v>
      </c>
      <c r="AY770" s="243" t="s">
        <v>157</v>
      </c>
    </row>
    <row r="771" s="2" customFormat="1" ht="37.8" customHeight="1">
      <c r="A771" s="37"/>
      <c r="B771" s="38"/>
      <c r="C771" s="218" t="s">
        <v>1369</v>
      </c>
      <c r="D771" s="218" t="s">
        <v>159</v>
      </c>
      <c r="E771" s="219" t="s">
        <v>1370</v>
      </c>
      <c r="F771" s="220" t="s">
        <v>1371</v>
      </c>
      <c r="G771" s="221" t="s">
        <v>209</v>
      </c>
      <c r="H771" s="222">
        <v>9.6820000000000004</v>
      </c>
      <c r="I771" s="223"/>
      <c r="J771" s="224">
        <f>ROUND(I771*H771,0)</f>
        <v>0</v>
      </c>
      <c r="K771" s="225"/>
      <c r="L771" s="43"/>
      <c r="M771" s="226" t="s">
        <v>1</v>
      </c>
      <c r="N771" s="227" t="s">
        <v>42</v>
      </c>
      <c r="O771" s="90"/>
      <c r="P771" s="228">
        <f>O771*H771</f>
        <v>0</v>
      </c>
      <c r="Q771" s="228">
        <v>0</v>
      </c>
      <c r="R771" s="228">
        <f>Q771*H771</f>
        <v>0</v>
      </c>
      <c r="S771" s="228">
        <v>0</v>
      </c>
      <c r="T771" s="229">
        <f>S771*H771</f>
        <v>0</v>
      </c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R771" s="230" t="s">
        <v>246</v>
      </c>
      <c r="AT771" s="230" t="s">
        <v>159</v>
      </c>
      <c r="AU771" s="230" t="s">
        <v>86</v>
      </c>
      <c r="AY771" s="16" t="s">
        <v>157</v>
      </c>
      <c r="BE771" s="231">
        <f>IF(N771="základní",J771,0)</f>
        <v>0</v>
      </c>
      <c r="BF771" s="231">
        <f>IF(N771="snížená",J771,0)</f>
        <v>0</v>
      </c>
      <c r="BG771" s="231">
        <f>IF(N771="zákl. přenesená",J771,0)</f>
        <v>0</v>
      </c>
      <c r="BH771" s="231">
        <f>IF(N771="sníž. přenesená",J771,0)</f>
        <v>0</v>
      </c>
      <c r="BI771" s="231">
        <f>IF(N771="nulová",J771,0)</f>
        <v>0</v>
      </c>
      <c r="BJ771" s="16" t="s">
        <v>8</v>
      </c>
      <c r="BK771" s="231">
        <f>ROUND(I771*H771,0)</f>
        <v>0</v>
      </c>
      <c r="BL771" s="16" t="s">
        <v>246</v>
      </c>
      <c r="BM771" s="230" t="s">
        <v>1372</v>
      </c>
    </row>
    <row r="772" s="13" customFormat="1">
      <c r="A772" s="13"/>
      <c r="B772" s="232"/>
      <c r="C772" s="233"/>
      <c r="D772" s="234" t="s">
        <v>165</v>
      </c>
      <c r="E772" s="235" t="s">
        <v>1</v>
      </c>
      <c r="F772" s="236" t="s">
        <v>1373</v>
      </c>
      <c r="G772" s="233"/>
      <c r="H772" s="237">
        <v>9.6820000000000004</v>
      </c>
      <c r="I772" s="238"/>
      <c r="J772" s="233"/>
      <c r="K772" s="233"/>
      <c r="L772" s="239"/>
      <c r="M772" s="240"/>
      <c r="N772" s="241"/>
      <c r="O772" s="241"/>
      <c r="P772" s="241"/>
      <c r="Q772" s="241"/>
      <c r="R772" s="241"/>
      <c r="S772" s="241"/>
      <c r="T772" s="242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T772" s="243" t="s">
        <v>165</v>
      </c>
      <c r="AU772" s="243" t="s">
        <v>86</v>
      </c>
      <c r="AV772" s="13" t="s">
        <v>86</v>
      </c>
      <c r="AW772" s="13" t="s">
        <v>32</v>
      </c>
      <c r="AX772" s="13" t="s">
        <v>77</v>
      </c>
      <c r="AY772" s="243" t="s">
        <v>157</v>
      </c>
    </row>
    <row r="773" s="2" customFormat="1" ht="24.15" customHeight="1">
      <c r="A773" s="37"/>
      <c r="B773" s="38"/>
      <c r="C773" s="218" t="s">
        <v>1374</v>
      </c>
      <c r="D773" s="218" t="s">
        <v>159</v>
      </c>
      <c r="E773" s="219" t="s">
        <v>1375</v>
      </c>
      <c r="F773" s="220" t="s">
        <v>1376</v>
      </c>
      <c r="G773" s="221" t="s">
        <v>209</v>
      </c>
      <c r="H773" s="222">
        <v>543.35900000000004</v>
      </c>
      <c r="I773" s="223"/>
      <c r="J773" s="224">
        <f>ROUND(I773*H773,0)</f>
        <v>0</v>
      </c>
      <c r="K773" s="225"/>
      <c r="L773" s="43"/>
      <c r="M773" s="226" t="s">
        <v>1</v>
      </c>
      <c r="N773" s="227" t="s">
        <v>42</v>
      </c>
      <c r="O773" s="90"/>
      <c r="P773" s="228">
        <f>O773*H773</f>
        <v>0</v>
      </c>
      <c r="Q773" s="228">
        <v>0</v>
      </c>
      <c r="R773" s="228">
        <f>Q773*H773</f>
        <v>0</v>
      </c>
      <c r="S773" s="228">
        <v>0</v>
      </c>
      <c r="T773" s="229">
        <f>S773*H773</f>
        <v>0</v>
      </c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R773" s="230" t="s">
        <v>246</v>
      </c>
      <c r="AT773" s="230" t="s">
        <v>159</v>
      </c>
      <c r="AU773" s="230" t="s">
        <v>86</v>
      </c>
      <c r="AY773" s="16" t="s">
        <v>157</v>
      </c>
      <c r="BE773" s="231">
        <f>IF(N773="základní",J773,0)</f>
        <v>0</v>
      </c>
      <c r="BF773" s="231">
        <f>IF(N773="snížená",J773,0)</f>
        <v>0</v>
      </c>
      <c r="BG773" s="231">
        <f>IF(N773="zákl. přenesená",J773,0)</f>
        <v>0</v>
      </c>
      <c r="BH773" s="231">
        <f>IF(N773="sníž. přenesená",J773,0)</f>
        <v>0</v>
      </c>
      <c r="BI773" s="231">
        <f>IF(N773="nulová",J773,0)</f>
        <v>0</v>
      </c>
      <c r="BJ773" s="16" t="s">
        <v>8</v>
      </c>
      <c r="BK773" s="231">
        <f>ROUND(I773*H773,0)</f>
        <v>0</v>
      </c>
      <c r="BL773" s="16" t="s">
        <v>246</v>
      </c>
      <c r="BM773" s="230" t="s">
        <v>1377</v>
      </c>
    </row>
    <row r="774" s="13" customFormat="1">
      <c r="A774" s="13"/>
      <c r="B774" s="232"/>
      <c r="C774" s="233"/>
      <c r="D774" s="234" t="s">
        <v>165</v>
      </c>
      <c r="E774" s="235" t="s">
        <v>1</v>
      </c>
      <c r="F774" s="236" t="s">
        <v>1378</v>
      </c>
      <c r="G774" s="233"/>
      <c r="H774" s="237">
        <v>78.894999999999996</v>
      </c>
      <c r="I774" s="238"/>
      <c r="J774" s="233"/>
      <c r="K774" s="233"/>
      <c r="L774" s="239"/>
      <c r="M774" s="240"/>
      <c r="N774" s="241"/>
      <c r="O774" s="241"/>
      <c r="P774" s="241"/>
      <c r="Q774" s="241"/>
      <c r="R774" s="241"/>
      <c r="S774" s="241"/>
      <c r="T774" s="242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T774" s="243" t="s">
        <v>165</v>
      </c>
      <c r="AU774" s="243" t="s">
        <v>86</v>
      </c>
      <c r="AV774" s="13" t="s">
        <v>86</v>
      </c>
      <c r="AW774" s="13" t="s">
        <v>32</v>
      </c>
      <c r="AX774" s="13" t="s">
        <v>77</v>
      </c>
      <c r="AY774" s="243" t="s">
        <v>157</v>
      </c>
    </row>
    <row r="775" s="13" customFormat="1">
      <c r="A775" s="13"/>
      <c r="B775" s="232"/>
      <c r="C775" s="233"/>
      <c r="D775" s="234" t="s">
        <v>165</v>
      </c>
      <c r="E775" s="235" t="s">
        <v>1</v>
      </c>
      <c r="F775" s="236" t="s">
        <v>1379</v>
      </c>
      <c r="G775" s="233"/>
      <c r="H775" s="237">
        <v>17.837</v>
      </c>
      <c r="I775" s="238"/>
      <c r="J775" s="233"/>
      <c r="K775" s="233"/>
      <c r="L775" s="239"/>
      <c r="M775" s="240"/>
      <c r="N775" s="241"/>
      <c r="O775" s="241"/>
      <c r="P775" s="241"/>
      <c r="Q775" s="241"/>
      <c r="R775" s="241"/>
      <c r="S775" s="241"/>
      <c r="T775" s="242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T775" s="243" t="s">
        <v>165</v>
      </c>
      <c r="AU775" s="243" t="s">
        <v>86</v>
      </c>
      <c r="AV775" s="13" t="s">
        <v>86</v>
      </c>
      <c r="AW775" s="13" t="s">
        <v>32</v>
      </c>
      <c r="AX775" s="13" t="s">
        <v>77</v>
      </c>
      <c r="AY775" s="243" t="s">
        <v>157</v>
      </c>
    </row>
    <row r="776" s="13" customFormat="1">
      <c r="A776" s="13"/>
      <c r="B776" s="232"/>
      <c r="C776" s="233"/>
      <c r="D776" s="234" t="s">
        <v>165</v>
      </c>
      <c r="E776" s="235" t="s">
        <v>1</v>
      </c>
      <c r="F776" s="236" t="s">
        <v>1380</v>
      </c>
      <c r="G776" s="233"/>
      <c r="H776" s="237">
        <v>319.38799999999998</v>
      </c>
      <c r="I776" s="238"/>
      <c r="J776" s="233"/>
      <c r="K776" s="233"/>
      <c r="L776" s="239"/>
      <c r="M776" s="240"/>
      <c r="N776" s="241"/>
      <c r="O776" s="241"/>
      <c r="P776" s="241"/>
      <c r="Q776" s="241"/>
      <c r="R776" s="241"/>
      <c r="S776" s="241"/>
      <c r="T776" s="242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T776" s="243" t="s">
        <v>165</v>
      </c>
      <c r="AU776" s="243" t="s">
        <v>86</v>
      </c>
      <c r="AV776" s="13" t="s">
        <v>86</v>
      </c>
      <c r="AW776" s="13" t="s">
        <v>32</v>
      </c>
      <c r="AX776" s="13" t="s">
        <v>77</v>
      </c>
      <c r="AY776" s="243" t="s">
        <v>157</v>
      </c>
    </row>
    <row r="777" s="13" customFormat="1">
      <c r="A777" s="13"/>
      <c r="B777" s="232"/>
      <c r="C777" s="233"/>
      <c r="D777" s="234" t="s">
        <v>165</v>
      </c>
      <c r="E777" s="235" t="s">
        <v>1</v>
      </c>
      <c r="F777" s="236" t="s">
        <v>1381</v>
      </c>
      <c r="G777" s="233"/>
      <c r="H777" s="237">
        <v>127.239</v>
      </c>
      <c r="I777" s="238"/>
      <c r="J777" s="233"/>
      <c r="K777" s="233"/>
      <c r="L777" s="239"/>
      <c r="M777" s="240"/>
      <c r="N777" s="241"/>
      <c r="O777" s="241"/>
      <c r="P777" s="241"/>
      <c r="Q777" s="241"/>
      <c r="R777" s="241"/>
      <c r="S777" s="241"/>
      <c r="T777" s="242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T777" s="243" t="s">
        <v>165</v>
      </c>
      <c r="AU777" s="243" t="s">
        <v>86</v>
      </c>
      <c r="AV777" s="13" t="s">
        <v>86</v>
      </c>
      <c r="AW777" s="13" t="s">
        <v>32</v>
      </c>
      <c r="AX777" s="13" t="s">
        <v>77</v>
      </c>
      <c r="AY777" s="243" t="s">
        <v>157</v>
      </c>
    </row>
    <row r="778" s="2" customFormat="1" ht="24.15" customHeight="1">
      <c r="A778" s="37"/>
      <c r="B778" s="38"/>
      <c r="C778" s="218" t="s">
        <v>1382</v>
      </c>
      <c r="D778" s="218" t="s">
        <v>159</v>
      </c>
      <c r="E778" s="219" t="s">
        <v>1383</v>
      </c>
      <c r="F778" s="220" t="s">
        <v>1384</v>
      </c>
      <c r="G778" s="221" t="s">
        <v>209</v>
      </c>
      <c r="H778" s="222">
        <v>24.015999999999998</v>
      </c>
      <c r="I778" s="223"/>
      <c r="J778" s="224">
        <f>ROUND(I778*H778,0)</f>
        <v>0</v>
      </c>
      <c r="K778" s="225"/>
      <c r="L778" s="43"/>
      <c r="M778" s="226" t="s">
        <v>1</v>
      </c>
      <c r="N778" s="227" t="s">
        <v>42</v>
      </c>
      <c r="O778" s="90"/>
      <c r="P778" s="228">
        <f>O778*H778</f>
        <v>0</v>
      </c>
      <c r="Q778" s="228">
        <v>0</v>
      </c>
      <c r="R778" s="228">
        <f>Q778*H778</f>
        <v>0</v>
      </c>
      <c r="S778" s="228">
        <v>0</v>
      </c>
      <c r="T778" s="229">
        <f>S778*H778</f>
        <v>0</v>
      </c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R778" s="230" t="s">
        <v>246</v>
      </c>
      <c r="AT778" s="230" t="s">
        <v>159</v>
      </c>
      <c r="AU778" s="230" t="s">
        <v>86</v>
      </c>
      <c r="AY778" s="16" t="s">
        <v>157</v>
      </c>
      <c r="BE778" s="231">
        <f>IF(N778="základní",J778,0)</f>
        <v>0</v>
      </c>
      <c r="BF778" s="231">
        <f>IF(N778="snížená",J778,0)</f>
        <v>0</v>
      </c>
      <c r="BG778" s="231">
        <f>IF(N778="zákl. přenesená",J778,0)</f>
        <v>0</v>
      </c>
      <c r="BH778" s="231">
        <f>IF(N778="sníž. přenesená",J778,0)</f>
        <v>0</v>
      </c>
      <c r="BI778" s="231">
        <f>IF(N778="nulová",J778,0)</f>
        <v>0</v>
      </c>
      <c r="BJ778" s="16" t="s">
        <v>8</v>
      </c>
      <c r="BK778" s="231">
        <f>ROUND(I778*H778,0)</f>
        <v>0</v>
      </c>
      <c r="BL778" s="16" t="s">
        <v>246</v>
      </c>
      <c r="BM778" s="230" t="s">
        <v>1385</v>
      </c>
    </row>
    <row r="779" s="13" customFormat="1">
      <c r="A779" s="13"/>
      <c r="B779" s="232"/>
      <c r="C779" s="233"/>
      <c r="D779" s="234" t="s">
        <v>165</v>
      </c>
      <c r="E779" s="235" t="s">
        <v>1</v>
      </c>
      <c r="F779" s="236" t="s">
        <v>1386</v>
      </c>
      <c r="G779" s="233"/>
      <c r="H779" s="237">
        <v>20.634</v>
      </c>
      <c r="I779" s="238"/>
      <c r="J779" s="233"/>
      <c r="K779" s="233"/>
      <c r="L779" s="239"/>
      <c r="M779" s="240"/>
      <c r="N779" s="241"/>
      <c r="O779" s="241"/>
      <c r="P779" s="241"/>
      <c r="Q779" s="241"/>
      <c r="R779" s="241"/>
      <c r="S779" s="241"/>
      <c r="T779" s="242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T779" s="243" t="s">
        <v>165</v>
      </c>
      <c r="AU779" s="243" t="s">
        <v>86</v>
      </c>
      <c r="AV779" s="13" t="s">
        <v>86</v>
      </c>
      <c r="AW779" s="13" t="s">
        <v>32</v>
      </c>
      <c r="AX779" s="13" t="s">
        <v>77</v>
      </c>
      <c r="AY779" s="243" t="s">
        <v>157</v>
      </c>
    </row>
    <row r="780" s="13" customFormat="1">
      <c r="A780" s="13"/>
      <c r="B780" s="232"/>
      <c r="C780" s="233"/>
      <c r="D780" s="234" t="s">
        <v>165</v>
      </c>
      <c r="E780" s="235" t="s">
        <v>1</v>
      </c>
      <c r="F780" s="236" t="s">
        <v>1387</v>
      </c>
      <c r="G780" s="233"/>
      <c r="H780" s="237">
        <v>3.3820000000000001</v>
      </c>
      <c r="I780" s="238"/>
      <c r="J780" s="233"/>
      <c r="K780" s="233"/>
      <c r="L780" s="239"/>
      <c r="M780" s="240"/>
      <c r="N780" s="241"/>
      <c r="O780" s="241"/>
      <c r="P780" s="241"/>
      <c r="Q780" s="241"/>
      <c r="R780" s="241"/>
      <c r="S780" s="241"/>
      <c r="T780" s="242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T780" s="243" t="s">
        <v>165</v>
      </c>
      <c r="AU780" s="243" t="s">
        <v>86</v>
      </c>
      <c r="AV780" s="13" t="s">
        <v>86</v>
      </c>
      <c r="AW780" s="13" t="s">
        <v>32</v>
      </c>
      <c r="AX780" s="13" t="s">
        <v>77</v>
      </c>
      <c r="AY780" s="243" t="s">
        <v>157</v>
      </c>
    </row>
    <row r="781" s="2" customFormat="1" ht="24.15" customHeight="1">
      <c r="A781" s="37"/>
      <c r="B781" s="38"/>
      <c r="C781" s="218" t="s">
        <v>1388</v>
      </c>
      <c r="D781" s="218" t="s">
        <v>159</v>
      </c>
      <c r="E781" s="219" t="s">
        <v>1389</v>
      </c>
      <c r="F781" s="220" t="s">
        <v>1390</v>
      </c>
      <c r="G781" s="221" t="s">
        <v>209</v>
      </c>
      <c r="H781" s="222">
        <v>10.978999999999999</v>
      </c>
      <c r="I781" s="223"/>
      <c r="J781" s="224">
        <f>ROUND(I781*H781,0)</f>
        <v>0</v>
      </c>
      <c r="K781" s="225"/>
      <c r="L781" s="43"/>
      <c r="M781" s="226" t="s">
        <v>1</v>
      </c>
      <c r="N781" s="227" t="s">
        <v>42</v>
      </c>
      <c r="O781" s="90"/>
      <c r="P781" s="228">
        <f>O781*H781</f>
        <v>0</v>
      </c>
      <c r="Q781" s="228">
        <v>0</v>
      </c>
      <c r="R781" s="228">
        <f>Q781*H781</f>
        <v>0</v>
      </c>
      <c r="S781" s="228">
        <v>0</v>
      </c>
      <c r="T781" s="229">
        <f>S781*H781</f>
        <v>0</v>
      </c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R781" s="230" t="s">
        <v>246</v>
      </c>
      <c r="AT781" s="230" t="s">
        <v>159</v>
      </c>
      <c r="AU781" s="230" t="s">
        <v>86</v>
      </c>
      <c r="AY781" s="16" t="s">
        <v>157</v>
      </c>
      <c r="BE781" s="231">
        <f>IF(N781="základní",J781,0)</f>
        <v>0</v>
      </c>
      <c r="BF781" s="231">
        <f>IF(N781="snížená",J781,0)</f>
        <v>0</v>
      </c>
      <c r="BG781" s="231">
        <f>IF(N781="zákl. přenesená",J781,0)</f>
        <v>0</v>
      </c>
      <c r="BH781" s="231">
        <f>IF(N781="sníž. přenesená",J781,0)</f>
        <v>0</v>
      </c>
      <c r="BI781" s="231">
        <f>IF(N781="nulová",J781,0)</f>
        <v>0</v>
      </c>
      <c r="BJ781" s="16" t="s">
        <v>8</v>
      </c>
      <c r="BK781" s="231">
        <f>ROUND(I781*H781,0)</f>
        <v>0</v>
      </c>
      <c r="BL781" s="16" t="s">
        <v>246</v>
      </c>
      <c r="BM781" s="230" t="s">
        <v>1391</v>
      </c>
    </row>
    <row r="782" s="13" customFormat="1">
      <c r="A782" s="13"/>
      <c r="B782" s="232"/>
      <c r="C782" s="233"/>
      <c r="D782" s="234" t="s">
        <v>165</v>
      </c>
      <c r="E782" s="235" t="s">
        <v>1</v>
      </c>
      <c r="F782" s="236" t="s">
        <v>1392</v>
      </c>
      <c r="G782" s="233"/>
      <c r="H782" s="237">
        <v>7.4560000000000004</v>
      </c>
      <c r="I782" s="238"/>
      <c r="J782" s="233"/>
      <c r="K782" s="233"/>
      <c r="L782" s="239"/>
      <c r="M782" s="240"/>
      <c r="N782" s="241"/>
      <c r="O782" s="241"/>
      <c r="P782" s="241"/>
      <c r="Q782" s="241"/>
      <c r="R782" s="241"/>
      <c r="S782" s="241"/>
      <c r="T782" s="242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T782" s="243" t="s">
        <v>165</v>
      </c>
      <c r="AU782" s="243" t="s">
        <v>86</v>
      </c>
      <c r="AV782" s="13" t="s">
        <v>86</v>
      </c>
      <c r="AW782" s="13" t="s">
        <v>32</v>
      </c>
      <c r="AX782" s="13" t="s">
        <v>77</v>
      </c>
      <c r="AY782" s="243" t="s">
        <v>157</v>
      </c>
    </row>
    <row r="783" s="13" customFormat="1">
      <c r="A783" s="13"/>
      <c r="B783" s="232"/>
      <c r="C783" s="233"/>
      <c r="D783" s="234" t="s">
        <v>165</v>
      </c>
      <c r="E783" s="235" t="s">
        <v>1</v>
      </c>
      <c r="F783" s="236" t="s">
        <v>1393</v>
      </c>
      <c r="G783" s="233"/>
      <c r="H783" s="237">
        <v>3.5230000000000001</v>
      </c>
      <c r="I783" s="238"/>
      <c r="J783" s="233"/>
      <c r="K783" s="233"/>
      <c r="L783" s="239"/>
      <c r="M783" s="240"/>
      <c r="N783" s="241"/>
      <c r="O783" s="241"/>
      <c r="P783" s="241"/>
      <c r="Q783" s="241"/>
      <c r="R783" s="241"/>
      <c r="S783" s="241"/>
      <c r="T783" s="242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T783" s="243" t="s">
        <v>165</v>
      </c>
      <c r="AU783" s="243" t="s">
        <v>86</v>
      </c>
      <c r="AV783" s="13" t="s">
        <v>86</v>
      </c>
      <c r="AW783" s="13" t="s">
        <v>32</v>
      </c>
      <c r="AX783" s="13" t="s">
        <v>77</v>
      </c>
      <c r="AY783" s="243" t="s">
        <v>157</v>
      </c>
    </row>
    <row r="784" s="2" customFormat="1" ht="16.5" customHeight="1">
      <c r="A784" s="37"/>
      <c r="B784" s="38"/>
      <c r="C784" s="218" t="s">
        <v>1394</v>
      </c>
      <c r="D784" s="218" t="s">
        <v>159</v>
      </c>
      <c r="E784" s="219" t="s">
        <v>1395</v>
      </c>
      <c r="F784" s="220" t="s">
        <v>1396</v>
      </c>
      <c r="G784" s="221" t="s">
        <v>407</v>
      </c>
      <c r="H784" s="222">
        <v>1</v>
      </c>
      <c r="I784" s="223"/>
      <c r="J784" s="224">
        <f>ROUND(I784*H784,0)</f>
        <v>0</v>
      </c>
      <c r="K784" s="225"/>
      <c r="L784" s="43"/>
      <c r="M784" s="226" t="s">
        <v>1</v>
      </c>
      <c r="N784" s="227" t="s">
        <v>42</v>
      </c>
      <c r="O784" s="90"/>
      <c r="P784" s="228">
        <f>O784*H784</f>
        <v>0</v>
      </c>
      <c r="Q784" s="228">
        <v>0</v>
      </c>
      <c r="R784" s="228">
        <f>Q784*H784</f>
        <v>0</v>
      </c>
      <c r="S784" s="228">
        <v>0</v>
      </c>
      <c r="T784" s="229">
        <f>S784*H784</f>
        <v>0</v>
      </c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R784" s="230" t="s">
        <v>246</v>
      </c>
      <c r="AT784" s="230" t="s">
        <v>159</v>
      </c>
      <c r="AU784" s="230" t="s">
        <v>86</v>
      </c>
      <c r="AY784" s="16" t="s">
        <v>157</v>
      </c>
      <c r="BE784" s="231">
        <f>IF(N784="základní",J784,0)</f>
        <v>0</v>
      </c>
      <c r="BF784" s="231">
        <f>IF(N784="snížená",J784,0)</f>
        <v>0</v>
      </c>
      <c r="BG784" s="231">
        <f>IF(N784="zákl. přenesená",J784,0)</f>
        <v>0</v>
      </c>
      <c r="BH784" s="231">
        <f>IF(N784="sníž. přenesená",J784,0)</f>
        <v>0</v>
      </c>
      <c r="BI784" s="231">
        <f>IF(N784="nulová",J784,0)</f>
        <v>0</v>
      </c>
      <c r="BJ784" s="16" t="s">
        <v>8</v>
      </c>
      <c r="BK784" s="231">
        <f>ROUND(I784*H784,0)</f>
        <v>0</v>
      </c>
      <c r="BL784" s="16" t="s">
        <v>246</v>
      </c>
      <c r="BM784" s="230" t="s">
        <v>1397</v>
      </c>
    </row>
    <row r="785" s="2" customFormat="1" ht="24.15" customHeight="1">
      <c r="A785" s="37"/>
      <c r="B785" s="38"/>
      <c r="C785" s="218" t="s">
        <v>1398</v>
      </c>
      <c r="D785" s="218" t="s">
        <v>159</v>
      </c>
      <c r="E785" s="219" t="s">
        <v>1399</v>
      </c>
      <c r="F785" s="220" t="s">
        <v>1400</v>
      </c>
      <c r="G785" s="221" t="s">
        <v>216</v>
      </c>
      <c r="H785" s="222">
        <v>152.97499999999999</v>
      </c>
      <c r="I785" s="223"/>
      <c r="J785" s="224">
        <f>ROUND(I785*H785,0)</f>
        <v>0</v>
      </c>
      <c r="K785" s="225"/>
      <c r="L785" s="43"/>
      <c r="M785" s="226" t="s">
        <v>1</v>
      </c>
      <c r="N785" s="227" t="s">
        <v>42</v>
      </c>
      <c r="O785" s="90"/>
      <c r="P785" s="228">
        <f>O785*H785</f>
        <v>0</v>
      </c>
      <c r="Q785" s="228">
        <v>0</v>
      </c>
      <c r="R785" s="228">
        <f>Q785*H785</f>
        <v>0</v>
      </c>
      <c r="S785" s="228">
        <v>0</v>
      </c>
      <c r="T785" s="229">
        <f>S785*H785</f>
        <v>0</v>
      </c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R785" s="230" t="s">
        <v>246</v>
      </c>
      <c r="AT785" s="230" t="s">
        <v>159</v>
      </c>
      <c r="AU785" s="230" t="s">
        <v>86</v>
      </c>
      <c r="AY785" s="16" t="s">
        <v>157</v>
      </c>
      <c r="BE785" s="231">
        <f>IF(N785="základní",J785,0)</f>
        <v>0</v>
      </c>
      <c r="BF785" s="231">
        <f>IF(N785="snížená",J785,0)</f>
        <v>0</v>
      </c>
      <c r="BG785" s="231">
        <f>IF(N785="zákl. přenesená",J785,0)</f>
        <v>0</v>
      </c>
      <c r="BH785" s="231">
        <f>IF(N785="sníž. přenesená",J785,0)</f>
        <v>0</v>
      </c>
      <c r="BI785" s="231">
        <f>IF(N785="nulová",J785,0)</f>
        <v>0</v>
      </c>
      <c r="BJ785" s="16" t="s">
        <v>8</v>
      </c>
      <c r="BK785" s="231">
        <f>ROUND(I785*H785,0)</f>
        <v>0</v>
      </c>
      <c r="BL785" s="16" t="s">
        <v>246</v>
      </c>
      <c r="BM785" s="230" t="s">
        <v>1401</v>
      </c>
    </row>
    <row r="786" s="13" customFormat="1">
      <c r="A786" s="13"/>
      <c r="B786" s="232"/>
      <c r="C786" s="233"/>
      <c r="D786" s="234" t="s">
        <v>165</v>
      </c>
      <c r="E786" s="235" t="s">
        <v>1</v>
      </c>
      <c r="F786" s="236" t="s">
        <v>1402</v>
      </c>
      <c r="G786" s="233"/>
      <c r="H786" s="237">
        <v>48.814999999999998</v>
      </c>
      <c r="I786" s="238"/>
      <c r="J786" s="233"/>
      <c r="K786" s="233"/>
      <c r="L786" s="239"/>
      <c r="M786" s="240"/>
      <c r="N786" s="241"/>
      <c r="O786" s="241"/>
      <c r="P786" s="241"/>
      <c r="Q786" s="241"/>
      <c r="R786" s="241"/>
      <c r="S786" s="241"/>
      <c r="T786" s="242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T786" s="243" t="s">
        <v>165</v>
      </c>
      <c r="AU786" s="243" t="s">
        <v>86</v>
      </c>
      <c r="AV786" s="13" t="s">
        <v>86</v>
      </c>
      <c r="AW786" s="13" t="s">
        <v>32</v>
      </c>
      <c r="AX786" s="13" t="s">
        <v>77</v>
      </c>
      <c r="AY786" s="243" t="s">
        <v>157</v>
      </c>
    </row>
    <row r="787" s="13" customFormat="1">
      <c r="A787" s="13"/>
      <c r="B787" s="232"/>
      <c r="C787" s="233"/>
      <c r="D787" s="234" t="s">
        <v>165</v>
      </c>
      <c r="E787" s="235" t="s">
        <v>1</v>
      </c>
      <c r="F787" s="236" t="s">
        <v>1403</v>
      </c>
      <c r="G787" s="233"/>
      <c r="H787" s="237">
        <v>104.16</v>
      </c>
      <c r="I787" s="238"/>
      <c r="J787" s="233"/>
      <c r="K787" s="233"/>
      <c r="L787" s="239"/>
      <c r="M787" s="240"/>
      <c r="N787" s="241"/>
      <c r="O787" s="241"/>
      <c r="P787" s="241"/>
      <c r="Q787" s="241"/>
      <c r="R787" s="241"/>
      <c r="S787" s="241"/>
      <c r="T787" s="242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T787" s="243" t="s">
        <v>165</v>
      </c>
      <c r="AU787" s="243" t="s">
        <v>86</v>
      </c>
      <c r="AV787" s="13" t="s">
        <v>86</v>
      </c>
      <c r="AW787" s="13" t="s">
        <v>32</v>
      </c>
      <c r="AX787" s="13" t="s">
        <v>77</v>
      </c>
      <c r="AY787" s="243" t="s">
        <v>157</v>
      </c>
    </row>
    <row r="788" s="2" customFormat="1" ht="37.8" customHeight="1">
      <c r="A788" s="37"/>
      <c r="B788" s="38"/>
      <c r="C788" s="218" t="s">
        <v>1404</v>
      </c>
      <c r="D788" s="218" t="s">
        <v>159</v>
      </c>
      <c r="E788" s="219" t="s">
        <v>1405</v>
      </c>
      <c r="F788" s="220" t="s">
        <v>1406</v>
      </c>
      <c r="G788" s="221" t="s">
        <v>1407</v>
      </c>
      <c r="H788" s="222">
        <v>1250.7000000000001</v>
      </c>
      <c r="I788" s="223"/>
      <c r="J788" s="224">
        <f>ROUND(I788*H788,0)</f>
        <v>0</v>
      </c>
      <c r="K788" s="225"/>
      <c r="L788" s="43"/>
      <c r="M788" s="226" t="s">
        <v>1</v>
      </c>
      <c r="N788" s="227" t="s">
        <v>42</v>
      </c>
      <c r="O788" s="90"/>
      <c r="P788" s="228">
        <f>O788*H788</f>
        <v>0</v>
      </c>
      <c r="Q788" s="228">
        <v>0</v>
      </c>
      <c r="R788" s="228">
        <f>Q788*H788</f>
        <v>0</v>
      </c>
      <c r="S788" s="228">
        <v>0</v>
      </c>
      <c r="T788" s="229">
        <f>S788*H788</f>
        <v>0</v>
      </c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R788" s="230" t="s">
        <v>246</v>
      </c>
      <c r="AT788" s="230" t="s">
        <v>159</v>
      </c>
      <c r="AU788" s="230" t="s">
        <v>86</v>
      </c>
      <c r="AY788" s="16" t="s">
        <v>157</v>
      </c>
      <c r="BE788" s="231">
        <f>IF(N788="základní",J788,0)</f>
        <v>0</v>
      </c>
      <c r="BF788" s="231">
        <f>IF(N788="snížená",J788,0)</f>
        <v>0</v>
      </c>
      <c r="BG788" s="231">
        <f>IF(N788="zákl. přenesená",J788,0)</f>
        <v>0</v>
      </c>
      <c r="BH788" s="231">
        <f>IF(N788="sníž. přenesená",J788,0)</f>
        <v>0</v>
      </c>
      <c r="BI788" s="231">
        <f>IF(N788="nulová",J788,0)</f>
        <v>0</v>
      </c>
      <c r="BJ788" s="16" t="s">
        <v>8</v>
      </c>
      <c r="BK788" s="231">
        <f>ROUND(I788*H788,0)</f>
        <v>0</v>
      </c>
      <c r="BL788" s="16" t="s">
        <v>246</v>
      </c>
      <c r="BM788" s="230" t="s">
        <v>1408</v>
      </c>
    </row>
    <row r="789" s="13" customFormat="1">
      <c r="A789" s="13"/>
      <c r="B789" s="232"/>
      <c r="C789" s="233"/>
      <c r="D789" s="234" t="s">
        <v>165</v>
      </c>
      <c r="E789" s="235" t="s">
        <v>1</v>
      </c>
      <c r="F789" s="236" t="s">
        <v>1409</v>
      </c>
      <c r="G789" s="233"/>
      <c r="H789" s="237">
        <v>1250.7000000000001</v>
      </c>
      <c r="I789" s="238"/>
      <c r="J789" s="233"/>
      <c r="K789" s="233"/>
      <c r="L789" s="239"/>
      <c r="M789" s="240"/>
      <c r="N789" s="241"/>
      <c r="O789" s="241"/>
      <c r="P789" s="241"/>
      <c r="Q789" s="241"/>
      <c r="R789" s="241"/>
      <c r="S789" s="241"/>
      <c r="T789" s="242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T789" s="243" t="s">
        <v>165</v>
      </c>
      <c r="AU789" s="243" t="s">
        <v>86</v>
      </c>
      <c r="AV789" s="13" t="s">
        <v>86</v>
      </c>
      <c r="AW789" s="13" t="s">
        <v>32</v>
      </c>
      <c r="AX789" s="13" t="s">
        <v>77</v>
      </c>
      <c r="AY789" s="243" t="s">
        <v>157</v>
      </c>
    </row>
    <row r="790" s="2" customFormat="1" ht="37.8" customHeight="1">
      <c r="A790" s="37"/>
      <c r="B790" s="38"/>
      <c r="C790" s="218" t="s">
        <v>1410</v>
      </c>
      <c r="D790" s="218" t="s">
        <v>159</v>
      </c>
      <c r="E790" s="219" t="s">
        <v>1411</v>
      </c>
      <c r="F790" s="220" t="s">
        <v>1412</v>
      </c>
      <c r="G790" s="221" t="s">
        <v>1407</v>
      </c>
      <c r="H790" s="222">
        <v>1056.99</v>
      </c>
      <c r="I790" s="223"/>
      <c r="J790" s="224">
        <f>ROUND(I790*H790,0)</f>
        <v>0</v>
      </c>
      <c r="K790" s="225"/>
      <c r="L790" s="43"/>
      <c r="M790" s="226" t="s">
        <v>1</v>
      </c>
      <c r="N790" s="227" t="s">
        <v>42</v>
      </c>
      <c r="O790" s="90"/>
      <c r="P790" s="228">
        <f>O790*H790</f>
        <v>0</v>
      </c>
      <c r="Q790" s="228">
        <v>0</v>
      </c>
      <c r="R790" s="228">
        <f>Q790*H790</f>
        <v>0</v>
      </c>
      <c r="S790" s="228">
        <v>0</v>
      </c>
      <c r="T790" s="229">
        <f>S790*H790</f>
        <v>0</v>
      </c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R790" s="230" t="s">
        <v>246</v>
      </c>
      <c r="AT790" s="230" t="s">
        <v>159</v>
      </c>
      <c r="AU790" s="230" t="s">
        <v>86</v>
      </c>
      <c r="AY790" s="16" t="s">
        <v>157</v>
      </c>
      <c r="BE790" s="231">
        <f>IF(N790="základní",J790,0)</f>
        <v>0</v>
      </c>
      <c r="BF790" s="231">
        <f>IF(N790="snížená",J790,0)</f>
        <v>0</v>
      </c>
      <c r="BG790" s="231">
        <f>IF(N790="zákl. přenesená",J790,0)</f>
        <v>0</v>
      </c>
      <c r="BH790" s="231">
        <f>IF(N790="sníž. přenesená",J790,0)</f>
        <v>0</v>
      </c>
      <c r="BI790" s="231">
        <f>IF(N790="nulová",J790,0)</f>
        <v>0</v>
      </c>
      <c r="BJ790" s="16" t="s">
        <v>8</v>
      </c>
      <c r="BK790" s="231">
        <f>ROUND(I790*H790,0)</f>
        <v>0</v>
      </c>
      <c r="BL790" s="16" t="s">
        <v>246</v>
      </c>
      <c r="BM790" s="230" t="s">
        <v>1413</v>
      </c>
    </row>
    <row r="791" s="13" customFormat="1">
      <c r="A791" s="13"/>
      <c r="B791" s="232"/>
      <c r="C791" s="233"/>
      <c r="D791" s="234" t="s">
        <v>165</v>
      </c>
      <c r="E791" s="235" t="s">
        <v>1</v>
      </c>
      <c r="F791" s="236" t="s">
        <v>1414</v>
      </c>
      <c r="G791" s="233"/>
      <c r="H791" s="237">
        <v>1056.99</v>
      </c>
      <c r="I791" s="238"/>
      <c r="J791" s="233"/>
      <c r="K791" s="233"/>
      <c r="L791" s="239"/>
      <c r="M791" s="240"/>
      <c r="N791" s="241"/>
      <c r="O791" s="241"/>
      <c r="P791" s="241"/>
      <c r="Q791" s="241"/>
      <c r="R791" s="241"/>
      <c r="S791" s="241"/>
      <c r="T791" s="242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T791" s="243" t="s">
        <v>165</v>
      </c>
      <c r="AU791" s="243" t="s">
        <v>86</v>
      </c>
      <c r="AV791" s="13" t="s">
        <v>86</v>
      </c>
      <c r="AW791" s="13" t="s">
        <v>32</v>
      </c>
      <c r="AX791" s="13" t="s">
        <v>77</v>
      </c>
      <c r="AY791" s="243" t="s">
        <v>157</v>
      </c>
    </row>
    <row r="792" s="2" customFormat="1" ht="37.8" customHeight="1">
      <c r="A792" s="37"/>
      <c r="B792" s="38"/>
      <c r="C792" s="218" t="s">
        <v>1415</v>
      </c>
      <c r="D792" s="218" t="s">
        <v>159</v>
      </c>
      <c r="E792" s="219" t="s">
        <v>1416</v>
      </c>
      <c r="F792" s="220" t="s">
        <v>1417</v>
      </c>
      <c r="G792" s="221" t="s">
        <v>1407</v>
      </c>
      <c r="H792" s="222">
        <v>402.26999999999998</v>
      </c>
      <c r="I792" s="223"/>
      <c r="J792" s="224">
        <f>ROUND(I792*H792,0)</f>
        <v>0</v>
      </c>
      <c r="K792" s="225"/>
      <c r="L792" s="43"/>
      <c r="M792" s="226" t="s">
        <v>1</v>
      </c>
      <c r="N792" s="227" t="s">
        <v>42</v>
      </c>
      <c r="O792" s="90"/>
      <c r="P792" s="228">
        <f>O792*H792</f>
        <v>0</v>
      </c>
      <c r="Q792" s="228">
        <v>0</v>
      </c>
      <c r="R792" s="228">
        <f>Q792*H792</f>
        <v>0</v>
      </c>
      <c r="S792" s="228">
        <v>0</v>
      </c>
      <c r="T792" s="229">
        <f>S792*H792</f>
        <v>0</v>
      </c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R792" s="230" t="s">
        <v>246</v>
      </c>
      <c r="AT792" s="230" t="s">
        <v>159</v>
      </c>
      <c r="AU792" s="230" t="s">
        <v>86</v>
      </c>
      <c r="AY792" s="16" t="s">
        <v>157</v>
      </c>
      <c r="BE792" s="231">
        <f>IF(N792="základní",J792,0)</f>
        <v>0</v>
      </c>
      <c r="BF792" s="231">
        <f>IF(N792="snížená",J792,0)</f>
        <v>0</v>
      </c>
      <c r="BG792" s="231">
        <f>IF(N792="zákl. přenesená",J792,0)</f>
        <v>0</v>
      </c>
      <c r="BH792" s="231">
        <f>IF(N792="sníž. přenesená",J792,0)</f>
        <v>0</v>
      </c>
      <c r="BI792" s="231">
        <f>IF(N792="nulová",J792,0)</f>
        <v>0</v>
      </c>
      <c r="BJ792" s="16" t="s">
        <v>8</v>
      </c>
      <c r="BK792" s="231">
        <f>ROUND(I792*H792,0)</f>
        <v>0</v>
      </c>
      <c r="BL792" s="16" t="s">
        <v>246</v>
      </c>
      <c r="BM792" s="230" t="s">
        <v>1418</v>
      </c>
    </row>
    <row r="793" s="13" customFormat="1">
      <c r="A793" s="13"/>
      <c r="B793" s="232"/>
      <c r="C793" s="233"/>
      <c r="D793" s="234" t="s">
        <v>165</v>
      </c>
      <c r="E793" s="235" t="s">
        <v>1</v>
      </c>
      <c r="F793" s="236" t="s">
        <v>1419</v>
      </c>
      <c r="G793" s="233"/>
      <c r="H793" s="237">
        <v>402.26999999999998</v>
      </c>
      <c r="I793" s="238"/>
      <c r="J793" s="233"/>
      <c r="K793" s="233"/>
      <c r="L793" s="239"/>
      <c r="M793" s="240"/>
      <c r="N793" s="241"/>
      <c r="O793" s="241"/>
      <c r="P793" s="241"/>
      <c r="Q793" s="241"/>
      <c r="R793" s="241"/>
      <c r="S793" s="241"/>
      <c r="T793" s="242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T793" s="243" t="s">
        <v>165</v>
      </c>
      <c r="AU793" s="243" t="s">
        <v>86</v>
      </c>
      <c r="AV793" s="13" t="s">
        <v>86</v>
      </c>
      <c r="AW793" s="13" t="s">
        <v>32</v>
      </c>
      <c r="AX793" s="13" t="s">
        <v>77</v>
      </c>
      <c r="AY793" s="243" t="s">
        <v>157</v>
      </c>
    </row>
    <row r="794" s="2" customFormat="1" ht="24.15" customHeight="1">
      <c r="A794" s="37"/>
      <c r="B794" s="38"/>
      <c r="C794" s="218" t="s">
        <v>1420</v>
      </c>
      <c r="D794" s="218" t="s">
        <v>159</v>
      </c>
      <c r="E794" s="219" t="s">
        <v>1421</v>
      </c>
      <c r="F794" s="220" t="s">
        <v>1422</v>
      </c>
      <c r="G794" s="221" t="s">
        <v>353</v>
      </c>
      <c r="H794" s="222">
        <v>1</v>
      </c>
      <c r="I794" s="223"/>
      <c r="J794" s="224">
        <f>ROUND(I794*H794,0)</f>
        <v>0</v>
      </c>
      <c r="K794" s="225"/>
      <c r="L794" s="43"/>
      <c r="M794" s="226" t="s">
        <v>1</v>
      </c>
      <c r="N794" s="227" t="s">
        <v>42</v>
      </c>
      <c r="O794" s="90"/>
      <c r="P794" s="228">
        <f>O794*H794</f>
        <v>0</v>
      </c>
      <c r="Q794" s="228">
        <v>0</v>
      </c>
      <c r="R794" s="228">
        <f>Q794*H794</f>
        <v>0</v>
      </c>
      <c r="S794" s="228">
        <v>0</v>
      </c>
      <c r="T794" s="229">
        <f>S794*H794</f>
        <v>0</v>
      </c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R794" s="230" t="s">
        <v>246</v>
      </c>
      <c r="AT794" s="230" t="s">
        <v>159</v>
      </c>
      <c r="AU794" s="230" t="s">
        <v>86</v>
      </c>
      <c r="AY794" s="16" t="s">
        <v>157</v>
      </c>
      <c r="BE794" s="231">
        <f>IF(N794="základní",J794,0)</f>
        <v>0</v>
      </c>
      <c r="BF794" s="231">
        <f>IF(N794="snížená",J794,0)</f>
        <v>0</v>
      </c>
      <c r="BG794" s="231">
        <f>IF(N794="zákl. přenesená",J794,0)</f>
        <v>0</v>
      </c>
      <c r="BH794" s="231">
        <f>IF(N794="sníž. přenesená",J794,0)</f>
        <v>0</v>
      </c>
      <c r="BI794" s="231">
        <f>IF(N794="nulová",J794,0)</f>
        <v>0</v>
      </c>
      <c r="BJ794" s="16" t="s">
        <v>8</v>
      </c>
      <c r="BK794" s="231">
        <f>ROUND(I794*H794,0)</f>
        <v>0</v>
      </c>
      <c r="BL794" s="16" t="s">
        <v>246</v>
      </c>
      <c r="BM794" s="230" t="s">
        <v>1423</v>
      </c>
    </row>
    <row r="795" s="2" customFormat="1" ht="24.15" customHeight="1">
      <c r="A795" s="37"/>
      <c r="B795" s="38"/>
      <c r="C795" s="218" t="s">
        <v>1424</v>
      </c>
      <c r="D795" s="218" t="s">
        <v>159</v>
      </c>
      <c r="E795" s="219" t="s">
        <v>1425</v>
      </c>
      <c r="F795" s="220" t="s">
        <v>1426</v>
      </c>
      <c r="G795" s="221" t="s">
        <v>1427</v>
      </c>
      <c r="H795" s="265"/>
      <c r="I795" s="223"/>
      <c r="J795" s="224">
        <f>ROUND(I795*H795,0)</f>
        <v>0</v>
      </c>
      <c r="K795" s="225"/>
      <c r="L795" s="43"/>
      <c r="M795" s="226" t="s">
        <v>1</v>
      </c>
      <c r="N795" s="227" t="s">
        <v>42</v>
      </c>
      <c r="O795" s="90"/>
      <c r="P795" s="228">
        <f>O795*H795</f>
        <v>0</v>
      </c>
      <c r="Q795" s="228">
        <v>0</v>
      </c>
      <c r="R795" s="228">
        <f>Q795*H795</f>
        <v>0</v>
      </c>
      <c r="S795" s="228">
        <v>0</v>
      </c>
      <c r="T795" s="229">
        <f>S795*H795</f>
        <v>0</v>
      </c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R795" s="230" t="s">
        <v>246</v>
      </c>
      <c r="AT795" s="230" t="s">
        <v>159</v>
      </c>
      <c r="AU795" s="230" t="s">
        <v>86</v>
      </c>
      <c r="AY795" s="16" t="s">
        <v>157</v>
      </c>
      <c r="BE795" s="231">
        <f>IF(N795="základní",J795,0)</f>
        <v>0</v>
      </c>
      <c r="BF795" s="231">
        <f>IF(N795="snížená",J795,0)</f>
        <v>0</v>
      </c>
      <c r="BG795" s="231">
        <f>IF(N795="zákl. přenesená",J795,0)</f>
        <v>0</v>
      </c>
      <c r="BH795" s="231">
        <f>IF(N795="sníž. přenesená",J795,0)</f>
        <v>0</v>
      </c>
      <c r="BI795" s="231">
        <f>IF(N795="nulová",J795,0)</f>
        <v>0</v>
      </c>
      <c r="BJ795" s="16" t="s">
        <v>8</v>
      </c>
      <c r="BK795" s="231">
        <f>ROUND(I795*H795,0)</f>
        <v>0</v>
      </c>
      <c r="BL795" s="16" t="s">
        <v>246</v>
      </c>
      <c r="BM795" s="230" t="s">
        <v>1428</v>
      </c>
    </row>
    <row r="796" s="12" customFormat="1" ht="22.8" customHeight="1">
      <c r="A796" s="12"/>
      <c r="B796" s="202"/>
      <c r="C796" s="203"/>
      <c r="D796" s="204" t="s">
        <v>76</v>
      </c>
      <c r="E796" s="216" t="s">
        <v>1429</v>
      </c>
      <c r="F796" s="216" t="s">
        <v>1430</v>
      </c>
      <c r="G796" s="203"/>
      <c r="H796" s="203"/>
      <c r="I796" s="206"/>
      <c r="J796" s="217">
        <f>BK796</f>
        <v>0</v>
      </c>
      <c r="K796" s="203"/>
      <c r="L796" s="208"/>
      <c r="M796" s="209"/>
      <c r="N796" s="210"/>
      <c r="O796" s="210"/>
      <c r="P796" s="211">
        <f>SUM(P797:P834)</f>
        <v>0</v>
      </c>
      <c r="Q796" s="210"/>
      <c r="R796" s="211">
        <f>SUM(R797:R834)</f>
        <v>25.222714700000001</v>
      </c>
      <c r="S796" s="210"/>
      <c r="T796" s="212">
        <f>SUM(T797:T834)</f>
        <v>0</v>
      </c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R796" s="213" t="s">
        <v>86</v>
      </c>
      <c r="AT796" s="214" t="s">
        <v>76</v>
      </c>
      <c r="AU796" s="214" t="s">
        <v>8</v>
      </c>
      <c r="AY796" s="213" t="s">
        <v>157</v>
      </c>
      <c r="BK796" s="215">
        <f>SUM(BK797:BK834)</f>
        <v>0</v>
      </c>
    </row>
    <row r="797" s="2" customFormat="1" ht="16.5" customHeight="1">
      <c r="A797" s="37"/>
      <c r="B797" s="38"/>
      <c r="C797" s="218" t="s">
        <v>1431</v>
      </c>
      <c r="D797" s="218" t="s">
        <v>159</v>
      </c>
      <c r="E797" s="219" t="s">
        <v>1432</v>
      </c>
      <c r="F797" s="220" t="s">
        <v>1433</v>
      </c>
      <c r="G797" s="221" t="s">
        <v>209</v>
      </c>
      <c r="H797" s="222">
        <v>707.33600000000001</v>
      </c>
      <c r="I797" s="223"/>
      <c r="J797" s="224">
        <f>ROUND(I797*H797,0)</f>
        <v>0</v>
      </c>
      <c r="K797" s="225"/>
      <c r="L797" s="43"/>
      <c r="M797" s="226" t="s">
        <v>1</v>
      </c>
      <c r="N797" s="227" t="s">
        <v>42</v>
      </c>
      <c r="O797" s="90"/>
      <c r="P797" s="228">
        <f>O797*H797</f>
        <v>0</v>
      </c>
      <c r="Q797" s="228">
        <v>0.00029999999999999997</v>
      </c>
      <c r="R797" s="228">
        <f>Q797*H797</f>
        <v>0.2122008</v>
      </c>
      <c r="S797" s="228">
        <v>0</v>
      </c>
      <c r="T797" s="229">
        <f>S797*H797</f>
        <v>0</v>
      </c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R797" s="230" t="s">
        <v>246</v>
      </c>
      <c r="AT797" s="230" t="s">
        <v>159</v>
      </c>
      <c r="AU797" s="230" t="s">
        <v>86</v>
      </c>
      <c r="AY797" s="16" t="s">
        <v>157</v>
      </c>
      <c r="BE797" s="231">
        <f>IF(N797="základní",J797,0)</f>
        <v>0</v>
      </c>
      <c r="BF797" s="231">
        <f>IF(N797="snížená",J797,0)</f>
        <v>0</v>
      </c>
      <c r="BG797" s="231">
        <f>IF(N797="zákl. přenesená",J797,0)</f>
        <v>0</v>
      </c>
      <c r="BH797" s="231">
        <f>IF(N797="sníž. přenesená",J797,0)</f>
        <v>0</v>
      </c>
      <c r="BI797" s="231">
        <f>IF(N797="nulová",J797,0)</f>
        <v>0</v>
      </c>
      <c r="BJ797" s="16" t="s">
        <v>8</v>
      </c>
      <c r="BK797" s="231">
        <f>ROUND(I797*H797,0)</f>
        <v>0</v>
      </c>
      <c r="BL797" s="16" t="s">
        <v>246</v>
      </c>
      <c r="BM797" s="230" t="s">
        <v>1434</v>
      </c>
    </row>
    <row r="798" s="13" customFormat="1">
      <c r="A798" s="13"/>
      <c r="B798" s="232"/>
      <c r="C798" s="233"/>
      <c r="D798" s="234" t="s">
        <v>165</v>
      </c>
      <c r="E798" s="235" t="s">
        <v>1</v>
      </c>
      <c r="F798" s="236" t="s">
        <v>1435</v>
      </c>
      <c r="G798" s="233"/>
      <c r="H798" s="237">
        <v>84.810000000000002</v>
      </c>
      <c r="I798" s="238"/>
      <c r="J798" s="233"/>
      <c r="K798" s="233"/>
      <c r="L798" s="239"/>
      <c r="M798" s="240"/>
      <c r="N798" s="241"/>
      <c r="O798" s="241"/>
      <c r="P798" s="241"/>
      <c r="Q798" s="241"/>
      <c r="R798" s="241"/>
      <c r="S798" s="241"/>
      <c r="T798" s="242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T798" s="243" t="s">
        <v>165</v>
      </c>
      <c r="AU798" s="243" t="s">
        <v>86</v>
      </c>
      <c r="AV798" s="13" t="s">
        <v>86</v>
      </c>
      <c r="AW798" s="13" t="s">
        <v>32</v>
      </c>
      <c r="AX798" s="13" t="s">
        <v>77</v>
      </c>
      <c r="AY798" s="243" t="s">
        <v>157</v>
      </c>
    </row>
    <row r="799" s="13" customFormat="1">
      <c r="A799" s="13"/>
      <c r="B799" s="232"/>
      <c r="C799" s="233"/>
      <c r="D799" s="234" t="s">
        <v>165</v>
      </c>
      <c r="E799" s="235" t="s">
        <v>1</v>
      </c>
      <c r="F799" s="236" t="s">
        <v>1436</v>
      </c>
      <c r="G799" s="233"/>
      <c r="H799" s="237">
        <v>570.73599999999999</v>
      </c>
      <c r="I799" s="238"/>
      <c r="J799" s="233"/>
      <c r="K799" s="233"/>
      <c r="L799" s="239"/>
      <c r="M799" s="240"/>
      <c r="N799" s="241"/>
      <c r="O799" s="241"/>
      <c r="P799" s="241"/>
      <c r="Q799" s="241"/>
      <c r="R799" s="241"/>
      <c r="S799" s="241"/>
      <c r="T799" s="242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T799" s="243" t="s">
        <v>165</v>
      </c>
      <c r="AU799" s="243" t="s">
        <v>86</v>
      </c>
      <c r="AV799" s="13" t="s">
        <v>86</v>
      </c>
      <c r="AW799" s="13" t="s">
        <v>32</v>
      </c>
      <c r="AX799" s="13" t="s">
        <v>77</v>
      </c>
      <c r="AY799" s="243" t="s">
        <v>157</v>
      </c>
    </row>
    <row r="800" s="13" customFormat="1">
      <c r="A800" s="13"/>
      <c r="B800" s="232"/>
      <c r="C800" s="233"/>
      <c r="D800" s="234" t="s">
        <v>165</v>
      </c>
      <c r="E800" s="235" t="s">
        <v>1</v>
      </c>
      <c r="F800" s="236" t="s">
        <v>1437</v>
      </c>
      <c r="G800" s="233"/>
      <c r="H800" s="237">
        <v>51.789999999999999</v>
      </c>
      <c r="I800" s="238"/>
      <c r="J800" s="233"/>
      <c r="K800" s="233"/>
      <c r="L800" s="239"/>
      <c r="M800" s="240"/>
      <c r="N800" s="241"/>
      <c r="O800" s="241"/>
      <c r="P800" s="241"/>
      <c r="Q800" s="241"/>
      <c r="R800" s="241"/>
      <c r="S800" s="241"/>
      <c r="T800" s="242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T800" s="243" t="s">
        <v>165</v>
      </c>
      <c r="AU800" s="243" t="s">
        <v>86</v>
      </c>
      <c r="AV800" s="13" t="s">
        <v>86</v>
      </c>
      <c r="AW800" s="13" t="s">
        <v>32</v>
      </c>
      <c r="AX800" s="13" t="s">
        <v>77</v>
      </c>
      <c r="AY800" s="243" t="s">
        <v>157</v>
      </c>
    </row>
    <row r="801" s="2" customFormat="1" ht="49.05" customHeight="1">
      <c r="A801" s="37"/>
      <c r="B801" s="38"/>
      <c r="C801" s="218" t="s">
        <v>1438</v>
      </c>
      <c r="D801" s="218" t="s">
        <v>159</v>
      </c>
      <c r="E801" s="219" t="s">
        <v>1439</v>
      </c>
      <c r="F801" s="220" t="s">
        <v>1440</v>
      </c>
      <c r="G801" s="221" t="s">
        <v>216</v>
      </c>
      <c r="H801" s="222">
        <v>27.600000000000001</v>
      </c>
      <c r="I801" s="223"/>
      <c r="J801" s="224">
        <f>ROUND(I801*H801,0)</f>
        <v>0</v>
      </c>
      <c r="K801" s="225"/>
      <c r="L801" s="43"/>
      <c r="M801" s="226" t="s">
        <v>1</v>
      </c>
      <c r="N801" s="227" t="s">
        <v>42</v>
      </c>
      <c r="O801" s="90"/>
      <c r="P801" s="228">
        <f>O801*H801</f>
        <v>0</v>
      </c>
      <c r="Q801" s="228">
        <v>0.0015299999999999999</v>
      </c>
      <c r="R801" s="228">
        <f>Q801*H801</f>
        <v>0.042228000000000002</v>
      </c>
      <c r="S801" s="228">
        <v>0</v>
      </c>
      <c r="T801" s="229">
        <f>S801*H801</f>
        <v>0</v>
      </c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R801" s="230" t="s">
        <v>246</v>
      </c>
      <c r="AT801" s="230" t="s">
        <v>159</v>
      </c>
      <c r="AU801" s="230" t="s">
        <v>86</v>
      </c>
      <c r="AY801" s="16" t="s">
        <v>157</v>
      </c>
      <c r="BE801" s="231">
        <f>IF(N801="základní",J801,0)</f>
        <v>0</v>
      </c>
      <c r="BF801" s="231">
        <f>IF(N801="snížená",J801,0)</f>
        <v>0</v>
      </c>
      <c r="BG801" s="231">
        <f>IF(N801="zákl. přenesená",J801,0)</f>
        <v>0</v>
      </c>
      <c r="BH801" s="231">
        <f>IF(N801="sníž. přenesená",J801,0)</f>
        <v>0</v>
      </c>
      <c r="BI801" s="231">
        <f>IF(N801="nulová",J801,0)</f>
        <v>0</v>
      </c>
      <c r="BJ801" s="16" t="s">
        <v>8</v>
      </c>
      <c r="BK801" s="231">
        <f>ROUND(I801*H801,0)</f>
        <v>0</v>
      </c>
      <c r="BL801" s="16" t="s">
        <v>246</v>
      </c>
      <c r="BM801" s="230" t="s">
        <v>1441</v>
      </c>
    </row>
    <row r="802" s="13" customFormat="1">
      <c r="A802" s="13"/>
      <c r="B802" s="232"/>
      <c r="C802" s="233"/>
      <c r="D802" s="234" t="s">
        <v>165</v>
      </c>
      <c r="E802" s="235" t="s">
        <v>1</v>
      </c>
      <c r="F802" s="236" t="s">
        <v>1442</v>
      </c>
      <c r="G802" s="233"/>
      <c r="H802" s="237">
        <v>27.600000000000001</v>
      </c>
      <c r="I802" s="238"/>
      <c r="J802" s="233"/>
      <c r="K802" s="233"/>
      <c r="L802" s="239"/>
      <c r="M802" s="240"/>
      <c r="N802" s="241"/>
      <c r="O802" s="241"/>
      <c r="P802" s="241"/>
      <c r="Q802" s="241"/>
      <c r="R802" s="241"/>
      <c r="S802" s="241"/>
      <c r="T802" s="242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T802" s="243" t="s">
        <v>165</v>
      </c>
      <c r="AU802" s="243" t="s">
        <v>86</v>
      </c>
      <c r="AV802" s="13" t="s">
        <v>86</v>
      </c>
      <c r="AW802" s="13" t="s">
        <v>32</v>
      </c>
      <c r="AX802" s="13" t="s">
        <v>77</v>
      </c>
      <c r="AY802" s="243" t="s">
        <v>157</v>
      </c>
    </row>
    <row r="803" s="2" customFormat="1" ht="37.8" customHeight="1">
      <c r="A803" s="37"/>
      <c r="B803" s="38"/>
      <c r="C803" s="254" t="s">
        <v>1443</v>
      </c>
      <c r="D803" s="254" t="s">
        <v>229</v>
      </c>
      <c r="E803" s="255" t="s">
        <v>1444</v>
      </c>
      <c r="F803" s="256" t="s">
        <v>1445</v>
      </c>
      <c r="G803" s="257" t="s">
        <v>216</v>
      </c>
      <c r="H803" s="258">
        <v>30.359999999999999</v>
      </c>
      <c r="I803" s="259"/>
      <c r="J803" s="260">
        <f>ROUND(I803*H803,0)</f>
        <v>0</v>
      </c>
      <c r="K803" s="261"/>
      <c r="L803" s="262"/>
      <c r="M803" s="263" t="s">
        <v>1</v>
      </c>
      <c r="N803" s="264" t="s">
        <v>42</v>
      </c>
      <c r="O803" s="90"/>
      <c r="P803" s="228">
        <f>O803*H803</f>
        <v>0</v>
      </c>
      <c r="Q803" s="228">
        <v>0.0066</v>
      </c>
      <c r="R803" s="228">
        <f>Q803*H803</f>
        <v>0.200376</v>
      </c>
      <c r="S803" s="228">
        <v>0</v>
      </c>
      <c r="T803" s="229">
        <f>S803*H803</f>
        <v>0</v>
      </c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R803" s="230" t="s">
        <v>329</v>
      </c>
      <c r="AT803" s="230" t="s">
        <v>229</v>
      </c>
      <c r="AU803" s="230" t="s">
        <v>86</v>
      </c>
      <c r="AY803" s="16" t="s">
        <v>157</v>
      </c>
      <c r="BE803" s="231">
        <f>IF(N803="základní",J803,0)</f>
        <v>0</v>
      </c>
      <c r="BF803" s="231">
        <f>IF(N803="snížená",J803,0)</f>
        <v>0</v>
      </c>
      <c r="BG803" s="231">
        <f>IF(N803="zákl. přenesená",J803,0)</f>
        <v>0</v>
      </c>
      <c r="BH803" s="231">
        <f>IF(N803="sníž. přenesená",J803,0)</f>
        <v>0</v>
      </c>
      <c r="BI803" s="231">
        <f>IF(N803="nulová",J803,0)</f>
        <v>0</v>
      </c>
      <c r="BJ803" s="16" t="s">
        <v>8</v>
      </c>
      <c r="BK803" s="231">
        <f>ROUND(I803*H803,0)</f>
        <v>0</v>
      </c>
      <c r="BL803" s="16" t="s">
        <v>246</v>
      </c>
      <c r="BM803" s="230" t="s">
        <v>1446</v>
      </c>
    </row>
    <row r="804" s="13" customFormat="1">
      <c r="A804" s="13"/>
      <c r="B804" s="232"/>
      <c r="C804" s="233"/>
      <c r="D804" s="234" t="s">
        <v>165</v>
      </c>
      <c r="E804" s="235" t="s">
        <v>1</v>
      </c>
      <c r="F804" s="236" t="s">
        <v>1447</v>
      </c>
      <c r="G804" s="233"/>
      <c r="H804" s="237">
        <v>27.600000000000001</v>
      </c>
      <c r="I804" s="238"/>
      <c r="J804" s="233"/>
      <c r="K804" s="233"/>
      <c r="L804" s="239"/>
      <c r="M804" s="240"/>
      <c r="N804" s="241"/>
      <c r="O804" s="241"/>
      <c r="P804" s="241"/>
      <c r="Q804" s="241"/>
      <c r="R804" s="241"/>
      <c r="S804" s="241"/>
      <c r="T804" s="242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T804" s="243" t="s">
        <v>165</v>
      </c>
      <c r="AU804" s="243" t="s">
        <v>86</v>
      </c>
      <c r="AV804" s="13" t="s">
        <v>86</v>
      </c>
      <c r="AW804" s="13" t="s">
        <v>32</v>
      </c>
      <c r="AX804" s="13" t="s">
        <v>8</v>
      </c>
      <c r="AY804" s="243" t="s">
        <v>157</v>
      </c>
    </row>
    <row r="805" s="13" customFormat="1">
      <c r="A805" s="13"/>
      <c r="B805" s="232"/>
      <c r="C805" s="233"/>
      <c r="D805" s="234" t="s">
        <v>165</v>
      </c>
      <c r="E805" s="233"/>
      <c r="F805" s="236" t="s">
        <v>1448</v>
      </c>
      <c r="G805" s="233"/>
      <c r="H805" s="237">
        <v>30.359999999999999</v>
      </c>
      <c r="I805" s="238"/>
      <c r="J805" s="233"/>
      <c r="K805" s="233"/>
      <c r="L805" s="239"/>
      <c r="M805" s="240"/>
      <c r="N805" s="241"/>
      <c r="O805" s="241"/>
      <c r="P805" s="241"/>
      <c r="Q805" s="241"/>
      <c r="R805" s="241"/>
      <c r="S805" s="241"/>
      <c r="T805" s="242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T805" s="243" t="s">
        <v>165</v>
      </c>
      <c r="AU805" s="243" t="s">
        <v>86</v>
      </c>
      <c r="AV805" s="13" t="s">
        <v>86</v>
      </c>
      <c r="AW805" s="13" t="s">
        <v>4</v>
      </c>
      <c r="AX805" s="13" t="s">
        <v>8</v>
      </c>
      <c r="AY805" s="243" t="s">
        <v>157</v>
      </c>
    </row>
    <row r="806" s="2" customFormat="1" ht="49.05" customHeight="1">
      <c r="A806" s="37"/>
      <c r="B806" s="38"/>
      <c r="C806" s="218" t="s">
        <v>1449</v>
      </c>
      <c r="D806" s="218" t="s">
        <v>159</v>
      </c>
      <c r="E806" s="219" t="s">
        <v>1450</v>
      </c>
      <c r="F806" s="220" t="s">
        <v>1451</v>
      </c>
      <c r="G806" s="221" t="s">
        <v>216</v>
      </c>
      <c r="H806" s="222">
        <v>24</v>
      </c>
      <c r="I806" s="223"/>
      <c r="J806" s="224">
        <f>ROUND(I806*H806,0)</f>
        <v>0</v>
      </c>
      <c r="K806" s="225"/>
      <c r="L806" s="43"/>
      <c r="M806" s="226" t="s">
        <v>1</v>
      </c>
      <c r="N806" s="227" t="s">
        <v>42</v>
      </c>
      <c r="O806" s="90"/>
      <c r="P806" s="228">
        <f>O806*H806</f>
        <v>0</v>
      </c>
      <c r="Q806" s="228">
        <v>0.0017700000000000001</v>
      </c>
      <c r="R806" s="228">
        <f>Q806*H806</f>
        <v>0.042480000000000004</v>
      </c>
      <c r="S806" s="228">
        <v>0</v>
      </c>
      <c r="T806" s="229">
        <f>S806*H806</f>
        <v>0</v>
      </c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R806" s="230" t="s">
        <v>246</v>
      </c>
      <c r="AT806" s="230" t="s">
        <v>159</v>
      </c>
      <c r="AU806" s="230" t="s">
        <v>86</v>
      </c>
      <c r="AY806" s="16" t="s">
        <v>157</v>
      </c>
      <c r="BE806" s="231">
        <f>IF(N806="základní",J806,0)</f>
        <v>0</v>
      </c>
      <c r="BF806" s="231">
        <f>IF(N806="snížená",J806,0)</f>
        <v>0</v>
      </c>
      <c r="BG806" s="231">
        <f>IF(N806="zákl. přenesená",J806,0)</f>
        <v>0</v>
      </c>
      <c r="BH806" s="231">
        <f>IF(N806="sníž. přenesená",J806,0)</f>
        <v>0</v>
      </c>
      <c r="BI806" s="231">
        <f>IF(N806="nulová",J806,0)</f>
        <v>0</v>
      </c>
      <c r="BJ806" s="16" t="s">
        <v>8</v>
      </c>
      <c r="BK806" s="231">
        <f>ROUND(I806*H806,0)</f>
        <v>0</v>
      </c>
      <c r="BL806" s="16" t="s">
        <v>246</v>
      </c>
      <c r="BM806" s="230" t="s">
        <v>1452</v>
      </c>
    </row>
    <row r="807" s="13" customFormat="1">
      <c r="A807" s="13"/>
      <c r="B807" s="232"/>
      <c r="C807" s="233"/>
      <c r="D807" s="234" t="s">
        <v>165</v>
      </c>
      <c r="E807" s="235" t="s">
        <v>1</v>
      </c>
      <c r="F807" s="236" t="s">
        <v>1453</v>
      </c>
      <c r="G807" s="233"/>
      <c r="H807" s="237">
        <v>24</v>
      </c>
      <c r="I807" s="238"/>
      <c r="J807" s="233"/>
      <c r="K807" s="233"/>
      <c r="L807" s="239"/>
      <c r="M807" s="240"/>
      <c r="N807" s="241"/>
      <c r="O807" s="241"/>
      <c r="P807" s="241"/>
      <c r="Q807" s="241"/>
      <c r="R807" s="241"/>
      <c r="S807" s="241"/>
      <c r="T807" s="242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T807" s="243" t="s">
        <v>165</v>
      </c>
      <c r="AU807" s="243" t="s">
        <v>86</v>
      </c>
      <c r="AV807" s="13" t="s">
        <v>86</v>
      </c>
      <c r="AW807" s="13" t="s">
        <v>32</v>
      </c>
      <c r="AX807" s="13" t="s">
        <v>77</v>
      </c>
      <c r="AY807" s="243" t="s">
        <v>157</v>
      </c>
    </row>
    <row r="808" s="2" customFormat="1" ht="37.8" customHeight="1">
      <c r="A808" s="37"/>
      <c r="B808" s="38"/>
      <c r="C808" s="254" t="s">
        <v>1454</v>
      </c>
      <c r="D808" s="254" t="s">
        <v>229</v>
      </c>
      <c r="E808" s="255" t="s">
        <v>1455</v>
      </c>
      <c r="F808" s="256" t="s">
        <v>1456</v>
      </c>
      <c r="G808" s="257" t="s">
        <v>216</v>
      </c>
      <c r="H808" s="258">
        <v>26.399999999999999</v>
      </c>
      <c r="I808" s="259"/>
      <c r="J808" s="260">
        <f>ROUND(I808*H808,0)</f>
        <v>0</v>
      </c>
      <c r="K808" s="261"/>
      <c r="L808" s="262"/>
      <c r="M808" s="263" t="s">
        <v>1</v>
      </c>
      <c r="N808" s="264" t="s">
        <v>42</v>
      </c>
      <c r="O808" s="90"/>
      <c r="P808" s="228">
        <f>O808*H808</f>
        <v>0</v>
      </c>
      <c r="Q808" s="228">
        <v>0.0088000000000000005</v>
      </c>
      <c r="R808" s="228">
        <f>Q808*H808</f>
        <v>0.23232</v>
      </c>
      <c r="S808" s="228">
        <v>0</v>
      </c>
      <c r="T808" s="229">
        <f>S808*H808</f>
        <v>0</v>
      </c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R808" s="230" t="s">
        <v>329</v>
      </c>
      <c r="AT808" s="230" t="s">
        <v>229</v>
      </c>
      <c r="AU808" s="230" t="s">
        <v>86</v>
      </c>
      <c r="AY808" s="16" t="s">
        <v>157</v>
      </c>
      <c r="BE808" s="231">
        <f>IF(N808="základní",J808,0)</f>
        <v>0</v>
      </c>
      <c r="BF808" s="231">
        <f>IF(N808="snížená",J808,0)</f>
        <v>0</v>
      </c>
      <c r="BG808" s="231">
        <f>IF(N808="zákl. přenesená",J808,0)</f>
        <v>0</v>
      </c>
      <c r="BH808" s="231">
        <f>IF(N808="sníž. přenesená",J808,0)</f>
        <v>0</v>
      </c>
      <c r="BI808" s="231">
        <f>IF(N808="nulová",J808,0)</f>
        <v>0</v>
      </c>
      <c r="BJ808" s="16" t="s">
        <v>8</v>
      </c>
      <c r="BK808" s="231">
        <f>ROUND(I808*H808,0)</f>
        <v>0</v>
      </c>
      <c r="BL808" s="16" t="s">
        <v>246</v>
      </c>
      <c r="BM808" s="230" t="s">
        <v>1457</v>
      </c>
    </row>
    <row r="809" s="13" customFormat="1">
      <c r="A809" s="13"/>
      <c r="B809" s="232"/>
      <c r="C809" s="233"/>
      <c r="D809" s="234" t="s">
        <v>165</v>
      </c>
      <c r="E809" s="235" t="s">
        <v>1</v>
      </c>
      <c r="F809" s="236" t="s">
        <v>288</v>
      </c>
      <c r="G809" s="233"/>
      <c r="H809" s="237">
        <v>24</v>
      </c>
      <c r="I809" s="238"/>
      <c r="J809" s="233"/>
      <c r="K809" s="233"/>
      <c r="L809" s="239"/>
      <c r="M809" s="240"/>
      <c r="N809" s="241"/>
      <c r="O809" s="241"/>
      <c r="P809" s="241"/>
      <c r="Q809" s="241"/>
      <c r="R809" s="241"/>
      <c r="S809" s="241"/>
      <c r="T809" s="242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T809" s="243" t="s">
        <v>165</v>
      </c>
      <c r="AU809" s="243" t="s">
        <v>86</v>
      </c>
      <c r="AV809" s="13" t="s">
        <v>86</v>
      </c>
      <c r="AW809" s="13" t="s">
        <v>32</v>
      </c>
      <c r="AX809" s="13" t="s">
        <v>8</v>
      </c>
      <c r="AY809" s="243" t="s">
        <v>157</v>
      </c>
    </row>
    <row r="810" s="13" customFormat="1">
      <c r="A810" s="13"/>
      <c r="B810" s="232"/>
      <c r="C810" s="233"/>
      <c r="D810" s="234" t="s">
        <v>165</v>
      </c>
      <c r="E810" s="233"/>
      <c r="F810" s="236" t="s">
        <v>1458</v>
      </c>
      <c r="G810" s="233"/>
      <c r="H810" s="237">
        <v>26.399999999999999</v>
      </c>
      <c r="I810" s="238"/>
      <c r="J810" s="233"/>
      <c r="K810" s="233"/>
      <c r="L810" s="239"/>
      <c r="M810" s="240"/>
      <c r="N810" s="241"/>
      <c r="O810" s="241"/>
      <c r="P810" s="241"/>
      <c r="Q810" s="241"/>
      <c r="R810" s="241"/>
      <c r="S810" s="241"/>
      <c r="T810" s="242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T810" s="243" t="s">
        <v>165</v>
      </c>
      <c r="AU810" s="243" t="s">
        <v>86</v>
      </c>
      <c r="AV810" s="13" t="s">
        <v>86</v>
      </c>
      <c r="AW810" s="13" t="s">
        <v>4</v>
      </c>
      <c r="AX810" s="13" t="s">
        <v>8</v>
      </c>
      <c r="AY810" s="243" t="s">
        <v>157</v>
      </c>
    </row>
    <row r="811" s="2" customFormat="1" ht="44.25" customHeight="1">
      <c r="A811" s="37"/>
      <c r="B811" s="38"/>
      <c r="C811" s="218" t="s">
        <v>1459</v>
      </c>
      <c r="D811" s="218" t="s">
        <v>159</v>
      </c>
      <c r="E811" s="219" t="s">
        <v>1460</v>
      </c>
      <c r="F811" s="220" t="s">
        <v>1461</v>
      </c>
      <c r="G811" s="221" t="s">
        <v>216</v>
      </c>
      <c r="H811" s="222">
        <v>51.600000000000001</v>
      </c>
      <c r="I811" s="223"/>
      <c r="J811" s="224">
        <f>ROUND(I811*H811,0)</f>
        <v>0</v>
      </c>
      <c r="K811" s="225"/>
      <c r="L811" s="43"/>
      <c r="M811" s="226" t="s">
        <v>1</v>
      </c>
      <c r="N811" s="227" t="s">
        <v>42</v>
      </c>
      <c r="O811" s="90"/>
      <c r="P811" s="228">
        <f>O811*H811</f>
        <v>0</v>
      </c>
      <c r="Q811" s="228">
        <v>0.0010200000000000001</v>
      </c>
      <c r="R811" s="228">
        <f>Q811*H811</f>
        <v>0.052632000000000005</v>
      </c>
      <c r="S811" s="228">
        <v>0</v>
      </c>
      <c r="T811" s="229">
        <f>S811*H811</f>
        <v>0</v>
      </c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R811" s="230" t="s">
        <v>246</v>
      </c>
      <c r="AT811" s="230" t="s">
        <v>159</v>
      </c>
      <c r="AU811" s="230" t="s">
        <v>86</v>
      </c>
      <c r="AY811" s="16" t="s">
        <v>157</v>
      </c>
      <c r="BE811" s="231">
        <f>IF(N811="základní",J811,0)</f>
        <v>0</v>
      </c>
      <c r="BF811" s="231">
        <f>IF(N811="snížená",J811,0)</f>
        <v>0</v>
      </c>
      <c r="BG811" s="231">
        <f>IF(N811="zákl. přenesená",J811,0)</f>
        <v>0</v>
      </c>
      <c r="BH811" s="231">
        <f>IF(N811="sníž. přenesená",J811,0)</f>
        <v>0</v>
      </c>
      <c r="BI811" s="231">
        <f>IF(N811="nulová",J811,0)</f>
        <v>0</v>
      </c>
      <c r="BJ811" s="16" t="s">
        <v>8</v>
      </c>
      <c r="BK811" s="231">
        <f>ROUND(I811*H811,0)</f>
        <v>0</v>
      </c>
      <c r="BL811" s="16" t="s">
        <v>246</v>
      </c>
      <c r="BM811" s="230" t="s">
        <v>1462</v>
      </c>
    </row>
    <row r="812" s="13" customFormat="1">
      <c r="A812" s="13"/>
      <c r="B812" s="232"/>
      <c r="C812" s="233"/>
      <c r="D812" s="234" t="s">
        <v>165</v>
      </c>
      <c r="E812" s="235" t="s">
        <v>1</v>
      </c>
      <c r="F812" s="236" t="s">
        <v>1463</v>
      </c>
      <c r="G812" s="233"/>
      <c r="H812" s="237">
        <v>51.600000000000001</v>
      </c>
      <c r="I812" s="238"/>
      <c r="J812" s="233"/>
      <c r="K812" s="233"/>
      <c r="L812" s="239"/>
      <c r="M812" s="240"/>
      <c r="N812" s="241"/>
      <c r="O812" s="241"/>
      <c r="P812" s="241"/>
      <c r="Q812" s="241"/>
      <c r="R812" s="241"/>
      <c r="S812" s="241"/>
      <c r="T812" s="242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T812" s="243" t="s">
        <v>165</v>
      </c>
      <c r="AU812" s="243" t="s">
        <v>86</v>
      </c>
      <c r="AV812" s="13" t="s">
        <v>86</v>
      </c>
      <c r="AW812" s="13" t="s">
        <v>32</v>
      </c>
      <c r="AX812" s="13" t="s">
        <v>77</v>
      </c>
      <c r="AY812" s="243" t="s">
        <v>157</v>
      </c>
    </row>
    <row r="813" s="2" customFormat="1" ht="33" customHeight="1">
      <c r="A813" s="37"/>
      <c r="B813" s="38"/>
      <c r="C813" s="218" t="s">
        <v>1464</v>
      </c>
      <c r="D813" s="218" t="s">
        <v>159</v>
      </c>
      <c r="E813" s="219" t="s">
        <v>1465</v>
      </c>
      <c r="F813" s="220" t="s">
        <v>1466</v>
      </c>
      <c r="G813" s="221" t="s">
        <v>216</v>
      </c>
      <c r="H813" s="222">
        <v>432.66199999999998</v>
      </c>
      <c r="I813" s="223"/>
      <c r="J813" s="224">
        <f>ROUND(I813*H813,0)</f>
        <v>0</v>
      </c>
      <c r="K813" s="225"/>
      <c r="L813" s="43"/>
      <c r="M813" s="226" t="s">
        <v>1</v>
      </c>
      <c r="N813" s="227" t="s">
        <v>42</v>
      </c>
      <c r="O813" s="90"/>
      <c r="P813" s="228">
        <f>O813*H813</f>
        <v>0</v>
      </c>
      <c r="Q813" s="228">
        <v>0.00042999999999999999</v>
      </c>
      <c r="R813" s="228">
        <f>Q813*H813</f>
        <v>0.18604465999999997</v>
      </c>
      <c r="S813" s="228">
        <v>0</v>
      </c>
      <c r="T813" s="229">
        <f>S813*H813</f>
        <v>0</v>
      </c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R813" s="230" t="s">
        <v>246</v>
      </c>
      <c r="AT813" s="230" t="s">
        <v>159</v>
      </c>
      <c r="AU813" s="230" t="s">
        <v>86</v>
      </c>
      <c r="AY813" s="16" t="s">
        <v>157</v>
      </c>
      <c r="BE813" s="231">
        <f>IF(N813="základní",J813,0)</f>
        <v>0</v>
      </c>
      <c r="BF813" s="231">
        <f>IF(N813="snížená",J813,0)</f>
        <v>0</v>
      </c>
      <c r="BG813" s="231">
        <f>IF(N813="zákl. přenesená",J813,0)</f>
        <v>0</v>
      </c>
      <c r="BH813" s="231">
        <f>IF(N813="sníž. přenesená",J813,0)</f>
        <v>0</v>
      </c>
      <c r="BI813" s="231">
        <f>IF(N813="nulová",J813,0)</f>
        <v>0</v>
      </c>
      <c r="BJ813" s="16" t="s">
        <v>8</v>
      </c>
      <c r="BK813" s="231">
        <f>ROUND(I813*H813,0)</f>
        <v>0</v>
      </c>
      <c r="BL813" s="16" t="s">
        <v>246</v>
      </c>
      <c r="BM813" s="230" t="s">
        <v>1467</v>
      </c>
    </row>
    <row r="814" s="13" customFormat="1">
      <c r="A814" s="13"/>
      <c r="B814" s="232"/>
      <c r="C814" s="233"/>
      <c r="D814" s="234" t="s">
        <v>165</v>
      </c>
      <c r="E814" s="235" t="s">
        <v>1</v>
      </c>
      <c r="F814" s="236" t="s">
        <v>1468</v>
      </c>
      <c r="G814" s="233"/>
      <c r="H814" s="237">
        <v>432.66199999999998</v>
      </c>
      <c r="I814" s="238"/>
      <c r="J814" s="233"/>
      <c r="K814" s="233"/>
      <c r="L814" s="239"/>
      <c r="M814" s="240"/>
      <c r="N814" s="241"/>
      <c r="O814" s="241"/>
      <c r="P814" s="241"/>
      <c r="Q814" s="241"/>
      <c r="R814" s="241"/>
      <c r="S814" s="241"/>
      <c r="T814" s="242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T814" s="243" t="s">
        <v>165</v>
      </c>
      <c r="AU814" s="243" t="s">
        <v>86</v>
      </c>
      <c r="AV814" s="13" t="s">
        <v>86</v>
      </c>
      <c r="AW814" s="13" t="s">
        <v>32</v>
      </c>
      <c r="AX814" s="13" t="s">
        <v>77</v>
      </c>
      <c r="AY814" s="243" t="s">
        <v>157</v>
      </c>
    </row>
    <row r="815" s="2" customFormat="1" ht="37.8" customHeight="1">
      <c r="A815" s="37"/>
      <c r="B815" s="38"/>
      <c r="C815" s="218" t="s">
        <v>1469</v>
      </c>
      <c r="D815" s="218" t="s">
        <v>159</v>
      </c>
      <c r="E815" s="219" t="s">
        <v>1470</v>
      </c>
      <c r="F815" s="220" t="s">
        <v>1471</v>
      </c>
      <c r="G815" s="221" t="s">
        <v>216</v>
      </c>
      <c r="H815" s="222">
        <v>39.899999999999999</v>
      </c>
      <c r="I815" s="223"/>
      <c r="J815" s="224">
        <f>ROUND(I815*H815,0)</f>
        <v>0</v>
      </c>
      <c r="K815" s="225"/>
      <c r="L815" s="43"/>
      <c r="M815" s="226" t="s">
        <v>1</v>
      </c>
      <c r="N815" s="227" t="s">
        <v>42</v>
      </c>
      <c r="O815" s="90"/>
      <c r="P815" s="228">
        <f>O815*H815</f>
        <v>0</v>
      </c>
      <c r="Q815" s="228">
        <v>0.00042999999999999999</v>
      </c>
      <c r="R815" s="228">
        <f>Q815*H815</f>
        <v>0.017156999999999999</v>
      </c>
      <c r="S815" s="228">
        <v>0</v>
      </c>
      <c r="T815" s="229">
        <f>S815*H815</f>
        <v>0</v>
      </c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R815" s="230" t="s">
        <v>246</v>
      </c>
      <c r="AT815" s="230" t="s">
        <v>159</v>
      </c>
      <c r="AU815" s="230" t="s">
        <v>86</v>
      </c>
      <c r="AY815" s="16" t="s">
        <v>157</v>
      </c>
      <c r="BE815" s="231">
        <f>IF(N815="základní",J815,0)</f>
        <v>0</v>
      </c>
      <c r="BF815" s="231">
        <f>IF(N815="snížená",J815,0)</f>
        <v>0</v>
      </c>
      <c r="BG815" s="231">
        <f>IF(N815="zákl. přenesená",J815,0)</f>
        <v>0</v>
      </c>
      <c r="BH815" s="231">
        <f>IF(N815="sníž. přenesená",J815,0)</f>
        <v>0</v>
      </c>
      <c r="BI815" s="231">
        <f>IF(N815="nulová",J815,0)</f>
        <v>0</v>
      </c>
      <c r="BJ815" s="16" t="s">
        <v>8</v>
      </c>
      <c r="BK815" s="231">
        <f>ROUND(I815*H815,0)</f>
        <v>0</v>
      </c>
      <c r="BL815" s="16" t="s">
        <v>246</v>
      </c>
      <c r="BM815" s="230" t="s">
        <v>1472</v>
      </c>
    </row>
    <row r="816" s="13" customFormat="1">
      <c r="A816" s="13"/>
      <c r="B816" s="232"/>
      <c r="C816" s="233"/>
      <c r="D816" s="234" t="s">
        <v>165</v>
      </c>
      <c r="E816" s="235" t="s">
        <v>1</v>
      </c>
      <c r="F816" s="236" t="s">
        <v>1473</v>
      </c>
      <c r="G816" s="233"/>
      <c r="H816" s="237">
        <v>39.899999999999999</v>
      </c>
      <c r="I816" s="238"/>
      <c r="J816" s="233"/>
      <c r="K816" s="233"/>
      <c r="L816" s="239"/>
      <c r="M816" s="240"/>
      <c r="N816" s="241"/>
      <c r="O816" s="241"/>
      <c r="P816" s="241"/>
      <c r="Q816" s="241"/>
      <c r="R816" s="241"/>
      <c r="S816" s="241"/>
      <c r="T816" s="242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T816" s="243" t="s">
        <v>165</v>
      </c>
      <c r="AU816" s="243" t="s">
        <v>86</v>
      </c>
      <c r="AV816" s="13" t="s">
        <v>86</v>
      </c>
      <c r="AW816" s="13" t="s">
        <v>32</v>
      </c>
      <c r="AX816" s="13" t="s">
        <v>77</v>
      </c>
      <c r="AY816" s="243" t="s">
        <v>157</v>
      </c>
    </row>
    <row r="817" s="2" customFormat="1" ht="24.15" customHeight="1">
      <c r="A817" s="37"/>
      <c r="B817" s="38"/>
      <c r="C817" s="254" t="s">
        <v>1474</v>
      </c>
      <c r="D817" s="254" t="s">
        <v>229</v>
      </c>
      <c r="E817" s="255" t="s">
        <v>1475</v>
      </c>
      <c r="F817" s="256" t="s">
        <v>1476</v>
      </c>
      <c r="G817" s="257" t="s">
        <v>216</v>
      </c>
      <c r="H817" s="258">
        <v>519.81799999999998</v>
      </c>
      <c r="I817" s="259"/>
      <c r="J817" s="260">
        <f>ROUND(I817*H817,0)</f>
        <v>0</v>
      </c>
      <c r="K817" s="261"/>
      <c r="L817" s="262"/>
      <c r="M817" s="263" t="s">
        <v>1</v>
      </c>
      <c r="N817" s="264" t="s">
        <v>42</v>
      </c>
      <c r="O817" s="90"/>
      <c r="P817" s="228">
        <f>O817*H817</f>
        <v>0</v>
      </c>
      <c r="Q817" s="228">
        <v>0.00198</v>
      </c>
      <c r="R817" s="228">
        <f>Q817*H817</f>
        <v>1.0292396399999999</v>
      </c>
      <c r="S817" s="228">
        <v>0</v>
      </c>
      <c r="T817" s="229">
        <f>S817*H817</f>
        <v>0</v>
      </c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R817" s="230" t="s">
        <v>329</v>
      </c>
      <c r="AT817" s="230" t="s">
        <v>229</v>
      </c>
      <c r="AU817" s="230" t="s">
        <v>86</v>
      </c>
      <c r="AY817" s="16" t="s">
        <v>157</v>
      </c>
      <c r="BE817" s="231">
        <f>IF(N817="základní",J817,0)</f>
        <v>0</v>
      </c>
      <c r="BF817" s="231">
        <f>IF(N817="snížená",J817,0)</f>
        <v>0</v>
      </c>
      <c r="BG817" s="231">
        <f>IF(N817="zákl. přenesená",J817,0)</f>
        <v>0</v>
      </c>
      <c r="BH817" s="231">
        <f>IF(N817="sníž. přenesená",J817,0)</f>
        <v>0</v>
      </c>
      <c r="BI817" s="231">
        <f>IF(N817="nulová",J817,0)</f>
        <v>0</v>
      </c>
      <c r="BJ817" s="16" t="s">
        <v>8</v>
      </c>
      <c r="BK817" s="231">
        <f>ROUND(I817*H817,0)</f>
        <v>0</v>
      </c>
      <c r="BL817" s="16" t="s">
        <v>246</v>
      </c>
      <c r="BM817" s="230" t="s">
        <v>1477</v>
      </c>
    </row>
    <row r="818" s="13" customFormat="1">
      <c r="A818" s="13"/>
      <c r="B818" s="232"/>
      <c r="C818" s="233"/>
      <c r="D818" s="234" t="s">
        <v>165</v>
      </c>
      <c r="E818" s="235" t="s">
        <v>1</v>
      </c>
      <c r="F818" s="236" t="s">
        <v>1478</v>
      </c>
      <c r="G818" s="233"/>
      <c r="H818" s="237">
        <v>472.56200000000001</v>
      </c>
      <c r="I818" s="238"/>
      <c r="J818" s="233"/>
      <c r="K818" s="233"/>
      <c r="L818" s="239"/>
      <c r="M818" s="240"/>
      <c r="N818" s="241"/>
      <c r="O818" s="241"/>
      <c r="P818" s="241"/>
      <c r="Q818" s="241"/>
      <c r="R818" s="241"/>
      <c r="S818" s="241"/>
      <c r="T818" s="242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T818" s="243" t="s">
        <v>165</v>
      </c>
      <c r="AU818" s="243" t="s">
        <v>86</v>
      </c>
      <c r="AV818" s="13" t="s">
        <v>86</v>
      </c>
      <c r="AW818" s="13" t="s">
        <v>32</v>
      </c>
      <c r="AX818" s="13" t="s">
        <v>8</v>
      </c>
      <c r="AY818" s="243" t="s">
        <v>157</v>
      </c>
    </row>
    <row r="819" s="13" customFormat="1">
      <c r="A819" s="13"/>
      <c r="B819" s="232"/>
      <c r="C819" s="233"/>
      <c r="D819" s="234" t="s">
        <v>165</v>
      </c>
      <c r="E819" s="233"/>
      <c r="F819" s="236" t="s">
        <v>1479</v>
      </c>
      <c r="G819" s="233"/>
      <c r="H819" s="237">
        <v>519.81799999999998</v>
      </c>
      <c r="I819" s="238"/>
      <c r="J819" s="233"/>
      <c r="K819" s="233"/>
      <c r="L819" s="239"/>
      <c r="M819" s="240"/>
      <c r="N819" s="241"/>
      <c r="O819" s="241"/>
      <c r="P819" s="241"/>
      <c r="Q819" s="241"/>
      <c r="R819" s="241"/>
      <c r="S819" s="241"/>
      <c r="T819" s="242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T819" s="243" t="s">
        <v>165</v>
      </c>
      <c r="AU819" s="243" t="s">
        <v>86</v>
      </c>
      <c r="AV819" s="13" t="s">
        <v>86</v>
      </c>
      <c r="AW819" s="13" t="s">
        <v>4</v>
      </c>
      <c r="AX819" s="13" t="s">
        <v>8</v>
      </c>
      <c r="AY819" s="243" t="s">
        <v>157</v>
      </c>
    </row>
    <row r="820" s="2" customFormat="1" ht="33" customHeight="1">
      <c r="A820" s="37"/>
      <c r="B820" s="38"/>
      <c r="C820" s="218" t="s">
        <v>1480</v>
      </c>
      <c r="D820" s="218" t="s">
        <v>159</v>
      </c>
      <c r="E820" s="219" t="s">
        <v>1481</v>
      </c>
      <c r="F820" s="220" t="s">
        <v>1482</v>
      </c>
      <c r="G820" s="221" t="s">
        <v>209</v>
      </c>
      <c r="H820" s="222">
        <v>707.33600000000001</v>
      </c>
      <c r="I820" s="223"/>
      <c r="J820" s="224">
        <f>ROUND(I820*H820,0)</f>
        <v>0</v>
      </c>
      <c r="K820" s="225"/>
      <c r="L820" s="43"/>
      <c r="M820" s="226" t="s">
        <v>1</v>
      </c>
      <c r="N820" s="227" t="s">
        <v>42</v>
      </c>
      <c r="O820" s="90"/>
      <c r="P820" s="228">
        <f>O820*H820</f>
        <v>0</v>
      </c>
      <c r="Q820" s="228">
        <v>0.0075500000000000003</v>
      </c>
      <c r="R820" s="228">
        <f>Q820*H820</f>
        <v>5.3403868000000001</v>
      </c>
      <c r="S820" s="228">
        <v>0</v>
      </c>
      <c r="T820" s="229">
        <f>S820*H820</f>
        <v>0</v>
      </c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R820" s="230" t="s">
        <v>246</v>
      </c>
      <c r="AT820" s="230" t="s">
        <v>159</v>
      </c>
      <c r="AU820" s="230" t="s">
        <v>86</v>
      </c>
      <c r="AY820" s="16" t="s">
        <v>157</v>
      </c>
      <c r="BE820" s="231">
        <f>IF(N820="základní",J820,0)</f>
        <v>0</v>
      </c>
      <c r="BF820" s="231">
        <f>IF(N820="snížená",J820,0)</f>
        <v>0</v>
      </c>
      <c r="BG820" s="231">
        <f>IF(N820="zákl. přenesená",J820,0)</f>
        <v>0</v>
      </c>
      <c r="BH820" s="231">
        <f>IF(N820="sníž. přenesená",J820,0)</f>
        <v>0</v>
      </c>
      <c r="BI820" s="231">
        <f>IF(N820="nulová",J820,0)</f>
        <v>0</v>
      </c>
      <c r="BJ820" s="16" t="s">
        <v>8</v>
      </c>
      <c r="BK820" s="231">
        <f>ROUND(I820*H820,0)</f>
        <v>0</v>
      </c>
      <c r="BL820" s="16" t="s">
        <v>246</v>
      </c>
      <c r="BM820" s="230" t="s">
        <v>1483</v>
      </c>
    </row>
    <row r="821" s="2" customFormat="1" ht="24.15" customHeight="1">
      <c r="A821" s="37"/>
      <c r="B821" s="38"/>
      <c r="C821" s="254" t="s">
        <v>1484</v>
      </c>
      <c r="D821" s="254" t="s">
        <v>229</v>
      </c>
      <c r="E821" s="255" t="s">
        <v>1485</v>
      </c>
      <c r="F821" s="256" t="s">
        <v>1486</v>
      </c>
      <c r="G821" s="257" t="s">
        <v>209</v>
      </c>
      <c r="H821" s="258">
        <v>787.41499999999996</v>
      </c>
      <c r="I821" s="259"/>
      <c r="J821" s="260">
        <f>ROUND(I821*H821,0)</f>
        <v>0</v>
      </c>
      <c r="K821" s="261"/>
      <c r="L821" s="262"/>
      <c r="M821" s="263" t="s">
        <v>1</v>
      </c>
      <c r="N821" s="264" t="s">
        <v>42</v>
      </c>
      <c r="O821" s="90"/>
      <c r="P821" s="228">
        <f>O821*H821</f>
        <v>0</v>
      </c>
      <c r="Q821" s="228">
        <v>0.021999999999999999</v>
      </c>
      <c r="R821" s="228">
        <f>Q821*H821</f>
        <v>17.323129999999999</v>
      </c>
      <c r="S821" s="228">
        <v>0</v>
      </c>
      <c r="T821" s="229">
        <f>S821*H821</f>
        <v>0</v>
      </c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R821" s="230" t="s">
        <v>329</v>
      </c>
      <c r="AT821" s="230" t="s">
        <v>229</v>
      </c>
      <c r="AU821" s="230" t="s">
        <v>86</v>
      </c>
      <c r="AY821" s="16" t="s">
        <v>157</v>
      </c>
      <c r="BE821" s="231">
        <f>IF(N821="základní",J821,0)</f>
        <v>0</v>
      </c>
      <c r="BF821" s="231">
        <f>IF(N821="snížená",J821,0)</f>
        <v>0</v>
      </c>
      <c r="BG821" s="231">
        <f>IF(N821="zákl. přenesená",J821,0)</f>
        <v>0</v>
      </c>
      <c r="BH821" s="231">
        <f>IF(N821="sníž. přenesená",J821,0)</f>
        <v>0</v>
      </c>
      <c r="BI821" s="231">
        <f>IF(N821="nulová",J821,0)</f>
        <v>0</v>
      </c>
      <c r="BJ821" s="16" t="s">
        <v>8</v>
      </c>
      <c r="BK821" s="231">
        <f>ROUND(I821*H821,0)</f>
        <v>0</v>
      </c>
      <c r="BL821" s="16" t="s">
        <v>246</v>
      </c>
      <c r="BM821" s="230" t="s">
        <v>1487</v>
      </c>
    </row>
    <row r="822" s="13" customFormat="1">
      <c r="A822" s="13"/>
      <c r="B822" s="232"/>
      <c r="C822" s="233"/>
      <c r="D822" s="234" t="s">
        <v>165</v>
      </c>
      <c r="E822" s="235" t="s">
        <v>1</v>
      </c>
      <c r="F822" s="236" t="s">
        <v>1488</v>
      </c>
      <c r="G822" s="233"/>
      <c r="H822" s="237">
        <v>715.83199999999999</v>
      </c>
      <c r="I822" s="238"/>
      <c r="J822" s="233"/>
      <c r="K822" s="233"/>
      <c r="L822" s="239"/>
      <c r="M822" s="240"/>
      <c r="N822" s="241"/>
      <c r="O822" s="241"/>
      <c r="P822" s="241"/>
      <c r="Q822" s="241"/>
      <c r="R822" s="241"/>
      <c r="S822" s="241"/>
      <c r="T822" s="242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T822" s="243" t="s">
        <v>165</v>
      </c>
      <c r="AU822" s="243" t="s">
        <v>86</v>
      </c>
      <c r="AV822" s="13" t="s">
        <v>86</v>
      </c>
      <c r="AW822" s="13" t="s">
        <v>32</v>
      </c>
      <c r="AX822" s="13" t="s">
        <v>8</v>
      </c>
      <c r="AY822" s="243" t="s">
        <v>157</v>
      </c>
    </row>
    <row r="823" s="13" customFormat="1">
      <c r="A823" s="13"/>
      <c r="B823" s="232"/>
      <c r="C823" s="233"/>
      <c r="D823" s="234" t="s">
        <v>165</v>
      </c>
      <c r="E823" s="233"/>
      <c r="F823" s="236" t="s">
        <v>1489</v>
      </c>
      <c r="G823" s="233"/>
      <c r="H823" s="237">
        <v>787.41499999999996</v>
      </c>
      <c r="I823" s="238"/>
      <c r="J823" s="233"/>
      <c r="K823" s="233"/>
      <c r="L823" s="239"/>
      <c r="M823" s="240"/>
      <c r="N823" s="241"/>
      <c r="O823" s="241"/>
      <c r="P823" s="241"/>
      <c r="Q823" s="241"/>
      <c r="R823" s="241"/>
      <c r="S823" s="241"/>
      <c r="T823" s="242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T823" s="243" t="s">
        <v>165</v>
      </c>
      <c r="AU823" s="243" t="s">
        <v>86</v>
      </c>
      <c r="AV823" s="13" t="s">
        <v>86</v>
      </c>
      <c r="AW823" s="13" t="s">
        <v>4</v>
      </c>
      <c r="AX823" s="13" t="s">
        <v>8</v>
      </c>
      <c r="AY823" s="243" t="s">
        <v>157</v>
      </c>
    </row>
    <row r="824" s="2" customFormat="1" ht="33" customHeight="1">
      <c r="A824" s="37"/>
      <c r="B824" s="38"/>
      <c r="C824" s="218" t="s">
        <v>1490</v>
      </c>
      <c r="D824" s="218" t="s">
        <v>159</v>
      </c>
      <c r="E824" s="219" t="s">
        <v>1491</v>
      </c>
      <c r="F824" s="220" t="s">
        <v>1492</v>
      </c>
      <c r="G824" s="221" t="s">
        <v>209</v>
      </c>
      <c r="H824" s="222">
        <v>59.079999999999998</v>
      </c>
      <c r="I824" s="223"/>
      <c r="J824" s="224">
        <f>ROUND(I824*H824,0)</f>
        <v>0</v>
      </c>
      <c r="K824" s="225"/>
      <c r="L824" s="43"/>
      <c r="M824" s="226" t="s">
        <v>1</v>
      </c>
      <c r="N824" s="227" t="s">
        <v>42</v>
      </c>
      <c r="O824" s="90"/>
      <c r="P824" s="228">
        <f>O824*H824</f>
        <v>0</v>
      </c>
      <c r="Q824" s="228">
        <v>0</v>
      </c>
      <c r="R824" s="228">
        <f>Q824*H824</f>
        <v>0</v>
      </c>
      <c r="S824" s="228">
        <v>0</v>
      </c>
      <c r="T824" s="229">
        <f>S824*H824</f>
        <v>0</v>
      </c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R824" s="230" t="s">
        <v>246</v>
      </c>
      <c r="AT824" s="230" t="s">
        <v>159</v>
      </c>
      <c r="AU824" s="230" t="s">
        <v>86</v>
      </c>
      <c r="AY824" s="16" t="s">
        <v>157</v>
      </c>
      <c r="BE824" s="231">
        <f>IF(N824="základní",J824,0)</f>
        <v>0</v>
      </c>
      <c r="BF824" s="231">
        <f>IF(N824="snížená",J824,0)</f>
        <v>0</v>
      </c>
      <c r="BG824" s="231">
        <f>IF(N824="zákl. přenesená",J824,0)</f>
        <v>0</v>
      </c>
      <c r="BH824" s="231">
        <f>IF(N824="sníž. přenesená",J824,0)</f>
        <v>0</v>
      </c>
      <c r="BI824" s="231">
        <f>IF(N824="nulová",J824,0)</f>
        <v>0</v>
      </c>
      <c r="BJ824" s="16" t="s">
        <v>8</v>
      </c>
      <c r="BK824" s="231">
        <f>ROUND(I824*H824,0)</f>
        <v>0</v>
      </c>
      <c r="BL824" s="16" t="s">
        <v>246</v>
      </c>
      <c r="BM824" s="230" t="s">
        <v>1493</v>
      </c>
    </row>
    <row r="825" s="13" customFormat="1">
      <c r="A825" s="13"/>
      <c r="B825" s="232"/>
      <c r="C825" s="233"/>
      <c r="D825" s="234" t="s">
        <v>165</v>
      </c>
      <c r="E825" s="235" t="s">
        <v>1</v>
      </c>
      <c r="F825" s="236" t="s">
        <v>1494</v>
      </c>
      <c r="G825" s="233"/>
      <c r="H825" s="237">
        <v>7.8799999999999999</v>
      </c>
      <c r="I825" s="238"/>
      <c r="J825" s="233"/>
      <c r="K825" s="233"/>
      <c r="L825" s="239"/>
      <c r="M825" s="240"/>
      <c r="N825" s="241"/>
      <c r="O825" s="241"/>
      <c r="P825" s="241"/>
      <c r="Q825" s="241"/>
      <c r="R825" s="241"/>
      <c r="S825" s="241"/>
      <c r="T825" s="242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T825" s="243" t="s">
        <v>165</v>
      </c>
      <c r="AU825" s="243" t="s">
        <v>86</v>
      </c>
      <c r="AV825" s="13" t="s">
        <v>86</v>
      </c>
      <c r="AW825" s="13" t="s">
        <v>32</v>
      </c>
      <c r="AX825" s="13" t="s">
        <v>77</v>
      </c>
      <c r="AY825" s="243" t="s">
        <v>157</v>
      </c>
    </row>
    <row r="826" s="13" customFormat="1">
      <c r="A826" s="13"/>
      <c r="B826" s="232"/>
      <c r="C826" s="233"/>
      <c r="D826" s="234" t="s">
        <v>165</v>
      </c>
      <c r="E826" s="235" t="s">
        <v>1</v>
      </c>
      <c r="F826" s="236" t="s">
        <v>1495</v>
      </c>
      <c r="G826" s="233"/>
      <c r="H826" s="237">
        <v>39.289999999999999</v>
      </c>
      <c r="I826" s="238"/>
      <c r="J826" s="233"/>
      <c r="K826" s="233"/>
      <c r="L826" s="239"/>
      <c r="M826" s="240"/>
      <c r="N826" s="241"/>
      <c r="O826" s="241"/>
      <c r="P826" s="241"/>
      <c r="Q826" s="241"/>
      <c r="R826" s="241"/>
      <c r="S826" s="241"/>
      <c r="T826" s="242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T826" s="243" t="s">
        <v>165</v>
      </c>
      <c r="AU826" s="243" t="s">
        <v>86</v>
      </c>
      <c r="AV826" s="13" t="s">
        <v>86</v>
      </c>
      <c r="AW826" s="13" t="s">
        <v>32</v>
      </c>
      <c r="AX826" s="13" t="s">
        <v>77</v>
      </c>
      <c r="AY826" s="243" t="s">
        <v>157</v>
      </c>
    </row>
    <row r="827" s="13" customFormat="1">
      <c r="A827" s="13"/>
      <c r="B827" s="232"/>
      <c r="C827" s="233"/>
      <c r="D827" s="234" t="s">
        <v>165</v>
      </c>
      <c r="E827" s="235" t="s">
        <v>1</v>
      </c>
      <c r="F827" s="236" t="s">
        <v>1496</v>
      </c>
      <c r="G827" s="233"/>
      <c r="H827" s="237">
        <v>11.91</v>
      </c>
      <c r="I827" s="238"/>
      <c r="J827" s="233"/>
      <c r="K827" s="233"/>
      <c r="L827" s="239"/>
      <c r="M827" s="240"/>
      <c r="N827" s="241"/>
      <c r="O827" s="241"/>
      <c r="P827" s="241"/>
      <c r="Q827" s="241"/>
      <c r="R827" s="241"/>
      <c r="S827" s="241"/>
      <c r="T827" s="242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T827" s="243" t="s">
        <v>165</v>
      </c>
      <c r="AU827" s="243" t="s">
        <v>86</v>
      </c>
      <c r="AV827" s="13" t="s">
        <v>86</v>
      </c>
      <c r="AW827" s="13" t="s">
        <v>32</v>
      </c>
      <c r="AX827" s="13" t="s">
        <v>77</v>
      </c>
      <c r="AY827" s="243" t="s">
        <v>157</v>
      </c>
    </row>
    <row r="828" s="2" customFormat="1" ht="24.15" customHeight="1">
      <c r="A828" s="37"/>
      <c r="B828" s="38"/>
      <c r="C828" s="218" t="s">
        <v>1497</v>
      </c>
      <c r="D828" s="218" t="s">
        <v>159</v>
      </c>
      <c r="E828" s="219" t="s">
        <v>1498</v>
      </c>
      <c r="F828" s="220" t="s">
        <v>1499</v>
      </c>
      <c r="G828" s="221" t="s">
        <v>209</v>
      </c>
      <c r="H828" s="222">
        <v>169.94999999999999</v>
      </c>
      <c r="I828" s="223"/>
      <c r="J828" s="224">
        <f>ROUND(I828*H828,0)</f>
        <v>0</v>
      </c>
      <c r="K828" s="225"/>
      <c r="L828" s="43"/>
      <c r="M828" s="226" t="s">
        <v>1</v>
      </c>
      <c r="N828" s="227" t="s">
        <v>42</v>
      </c>
      <c r="O828" s="90"/>
      <c r="P828" s="228">
        <f>O828*H828</f>
        <v>0</v>
      </c>
      <c r="Q828" s="228">
        <v>0.0015</v>
      </c>
      <c r="R828" s="228">
        <f>Q828*H828</f>
        <v>0.25492500000000001</v>
      </c>
      <c r="S828" s="228">
        <v>0</v>
      </c>
      <c r="T828" s="229">
        <f>S828*H828</f>
        <v>0</v>
      </c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R828" s="230" t="s">
        <v>246</v>
      </c>
      <c r="AT828" s="230" t="s">
        <v>159</v>
      </c>
      <c r="AU828" s="230" t="s">
        <v>86</v>
      </c>
      <c r="AY828" s="16" t="s">
        <v>157</v>
      </c>
      <c r="BE828" s="231">
        <f>IF(N828="základní",J828,0)</f>
        <v>0</v>
      </c>
      <c r="BF828" s="231">
        <f>IF(N828="snížená",J828,0)</f>
        <v>0</v>
      </c>
      <c r="BG828" s="231">
        <f>IF(N828="zákl. přenesená",J828,0)</f>
        <v>0</v>
      </c>
      <c r="BH828" s="231">
        <f>IF(N828="sníž. přenesená",J828,0)</f>
        <v>0</v>
      </c>
      <c r="BI828" s="231">
        <f>IF(N828="nulová",J828,0)</f>
        <v>0</v>
      </c>
      <c r="BJ828" s="16" t="s">
        <v>8</v>
      </c>
      <c r="BK828" s="231">
        <f>ROUND(I828*H828,0)</f>
        <v>0</v>
      </c>
      <c r="BL828" s="16" t="s">
        <v>246</v>
      </c>
      <c r="BM828" s="230" t="s">
        <v>1500</v>
      </c>
    </row>
    <row r="829" s="13" customFormat="1">
      <c r="A829" s="13"/>
      <c r="B829" s="232"/>
      <c r="C829" s="233"/>
      <c r="D829" s="234" t="s">
        <v>165</v>
      </c>
      <c r="E829" s="235" t="s">
        <v>1</v>
      </c>
      <c r="F829" s="236" t="s">
        <v>1501</v>
      </c>
      <c r="G829" s="233"/>
      <c r="H829" s="237">
        <v>3</v>
      </c>
      <c r="I829" s="238"/>
      <c r="J829" s="233"/>
      <c r="K829" s="233"/>
      <c r="L829" s="239"/>
      <c r="M829" s="240"/>
      <c r="N829" s="241"/>
      <c r="O829" s="241"/>
      <c r="P829" s="241"/>
      <c r="Q829" s="241"/>
      <c r="R829" s="241"/>
      <c r="S829" s="241"/>
      <c r="T829" s="242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T829" s="243" t="s">
        <v>165</v>
      </c>
      <c r="AU829" s="243" t="s">
        <v>86</v>
      </c>
      <c r="AV829" s="13" t="s">
        <v>86</v>
      </c>
      <c r="AW829" s="13" t="s">
        <v>32</v>
      </c>
      <c r="AX829" s="13" t="s">
        <v>77</v>
      </c>
      <c r="AY829" s="243" t="s">
        <v>157</v>
      </c>
    </row>
    <row r="830" s="13" customFormat="1">
      <c r="A830" s="13"/>
      <c r="B830" s="232"/>
      <c r="C830" s="233"/>
      <c r="D830" s="234" t="s">
        <v>165</v>
      </c>
      <c r="E830" s="235" t="s">
        <v>1</v>
      </c>
      <c r="F830" s="236" t="s">
        <v>1502</v>
      </c>
      <c r="G830" s="233"/>
      <c r="H830" s="237">
        <v>121.34999999999999</v>
      </c>
      <c r="I830" s="238"/>
      <c r="J830" s="233"/>
      <c r="K830" s="233"/>
      <c r="L830" s="239"/>
      <c r="M830" s="240"/>
      <c r="N830" s="241"/>
      <c r="O830" s="241"/>
      <c r="P830" s="241"/>
      <c r="Q830" s="241"/>
      <c r="R830" s="241"/>
      <c r="S830" s="241"/>
      <c r="T830" s="242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T830" s="243" t="s">
        <v>165</v>
      </c>
      <c r="AU830" s="243" t="s">
        <v>86</v>
      </c>
      <c r="AV830" s="13" t="s">
        <v>86</v>
      </c>
      <c r="AW830" s="13" t="s">
        <v>32</v>
      </c>
      <c r="AX830" s="13" t="s">
        <v>77</v>
      </c>
      <c r="AY830" s="243" t="s">
        <v>157</v>
      </c>
    </row>
    <row r="831" s="13" customFormat="1">
      <c r="A831" s="13"/>
      <c r="B831" s="232"/>
      <c r="C831" s="233"/>
      <c r="D831" s="234" t="s">
        <v>165</v>
      </c>
      <c r="E831" s="235" t="s">
        <v>1</v>
      </c>
      <c r="F831" s="236" t="s">
        <v>1100</v>
      </c>
      <c r="G831" s="233"/>
      <c r="H831" s="237">
        <v>45.600000000000001</v>
      </c>
      <c r="I831" s="238"/>
      <c r="J831" s="233"/>
      <c r="K831" s="233"/>
      <c r="L831" s="239"/>
      <c r="M831" s="240"/>
      <c r="N831" s="241"/>
      <c r="O831" s="241"/>
      <c r="P831" s="241"/>
      <c r="Q831" s="241"/>
      <c r="R831" s="241"/>
      <c r="S831" s="241"/>
      <c r="T831" s="242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T831" s="243" t="s">
        <v>165</v>
      </c>
      <c r="AU831" s="243" t="s">
        <v>86</v>
      </c>
      <c r="AV831" s="13" t="s">
        <v>86</v>
      </c>
      <c r="AW831" s="13" t="s">
        <v>32</v>
      </c>
      <c r="AX831" s="13" t="s">
        <v>77</v>
      </c>
      <c r="AY831" s="243" t="s">
        <v>157</v>
      </c>
    </row>
    <row r="832" s="2" customFormat="1" ht="16.5" customHeight="1">
      <c r="A832" s="37"/>
      <c r="B832" s="38"/>
      <c r="C832" s="218" t="s">
        <v>1503</v>
      </c>
      <c r="D832" s="218" t="s">
        <v>159</v>
      </c>
      <c r="E832" s="219" t="s">
        <v>1504</v>
      </c>
      <c r="F832" s="220" t="s">
        <v>1505</v>
      </c>
      <c r="G832" s="221" t="s">
        <v>216</v>
      </c>
      <c r="H832" s="222">
        <v>203.94</v>
      </c>
      <c r="I832" s="223"/>
      <c r="J832" s="224">
        <f>ROUND(I832*H832,0)</f>
        <v>0</v>
      </c>
      <c r="K832" s="225"/>
      <c r="L832" s="43"/>
      <c r="M832" s="226" t="s">
        <v>1</v>
      </c>
      <c r="N832" s="227" t="s">
        <v>42</v>
      </c>
      <c r="O832" s="90"/>
      <c r="P832" s="228">
        <f>O832*H832</f>
        <v>0</v>
      </c>
      <c r="Q832" s="228">
        <v>0.00142</v>
      </c>
      <c r="R832" s="228">
        <f>Q832*H832</f>
        <v>0.28959479999999999</v>
      </c>
      <c r="S832" s="228">
        <v>0</v>
      </c>
      <c r="T832" s="229">
        <f>S832*H832</f>
        <v>0</v>
      </c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R832" s="230" t="s">
        <v>246</v>
      </c>
      <c r="AT832" s="230" t="s">
        <v>159</v>
      </c>
      <c r="AU832" s="230" t="s">
        <v>86</v>
      </c>
      <c r="AY832" s="16" t="s">
        <v>157</v>
      </c>
      <c r="BE832" s="231">
        <f>IF(N832="základní",J832,0)</f>
        <v>0</v>
      </c>
      <c r="BF832" s="231">
        <f>IF(N832="snížená",J832,0)</f>
        <v>0</v>
      </c>
      <c r="BG832" s="231">
        <f>IF(N832="zákl. přenesená",J832,0)</f>
        <v>0</v>
      </c>
      <c r="BH832" s="231">
        <f>IF(N832="sníž. přenesená",J832,0)</f>
        <v>0</v>
      </c>
      <c r="BI832" s="231">
        <f>IF(N832="nulová",J832,0)</f>
        <v>0</v>
      </c>
      <c r="BJ832" s="16" t="s">
        <v>8</v>
      </c>
      <c r="BK832" s="231">
        <f>ROUND(I832*H832,0)</f>
        <v>0</v>
      </c>
      <c r="BL832" s="16" t="s">
        <v>246</v>
      </c>
      <c r="BM832" s="230" t="s">
        <v>1506</v>
      </c>
    </row>
    <row r="833" s="13" customFormat="1">
      <c r="A833" s="13"/>
      <c r="B833" s="232"/>
      <c r="C833" s="233"/>
      <c r="D833" s="234" t="s">
        <v>165</v>
      </c>
      <c r="E833" s="235" t="s">
        <v>1</v>
      </c>
      <c r="F833" s="236" t="s">
        <v>1507</v>
      </c>
      <c r="G833" s="233"/>
      <c r="H833" s="237">
        <v>203.94</v>
      </c>
      <c r="I833" s="238"/>
      <c r="J833" s="233"/>
      <c r="K833" s="233"/>
      <c r="L833" s="239"/>
      <c r="M833" s="240"/>
      <c r="N833" s="241"/>
      <c r="O833" s="241"/>
      <c r="P833" s="241"/>
      <c r="Q833" s="241"/>
      <c r="R833" s="241"/>
      <c r="S833" s="241"/>
      <c r="T833" s="242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T833" s="243" t="s">
        <v>165</v>
      </c>
      <c r="AU833" s="243" t="s">
        <v>86</v>
      </c>
      <c r="AV833" s="13" t="s">
        <v>86</v>
      </c>
      <c r="AW833" s="13" t="s">
        <v>32</v>
      </c>
      <c r="AX833" s="13" t="s">
        <v>77</v>
      </c>
      <c r="AY833" s="243" t="s">
        <v>157</v>
      </c>
    </row>
    <row r="834" s="2" customFormat="1" ht="24.15" customHeight="1">
      <c r="A834" s="37"/>
      <c r="B834" s="38"/>
      <c r="C834" s="218" t="s">
        <v>1508</v>
      </c>
      <c r="D834" s="218" t="s">
        <v>159</v>
      </c>
      <c r="E834" s="219" t="s">
        <v>1509</v>
      </c>
      <c r="F834" s="220" t="s">
        <v>1510</v>
      </c>
      <c r="G834" s="221" t="s">
        <v>193</v>
      </c>
      <c r="H834" s="222">
        <v>25.222999999999999</v>
      </c>
      <c r="I834" s="223"/>
      <c r="J834" s="224">
        <f>ROUND(I834*H834,0)</f>
        <v>0</v>
      </c>
      <c r="K834" s="225"/>
      <c r="L834" s="43"/>
      <c r="M834" s="226" t="s">
        <v>1</v>
      </c>
      <c r="N834" s="227" t="s">
        <v>42</v>
      </c>
      <c r="O834" s="90"/>
      <c r="P834" s="228">
        <f>O834*H834</f>
        <v>0</v>
      </c>
      <c r="Q834" s="228">
        <v>0</v>
      </c>
      <c r="R834" s="228">
        <f>Q834*H834</f>
        <v>0</v>
      </c>
      <c r="S834" s="228">
        <v>0</v>
      </c>
      <c r="T834" s="229">
        <f>S834*H834</f>
        <v>0</v>
      </c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R834" s="230" t="s">
        <v>246</v>
      </c>
      <c r="AT834" s="230" t="s">
        <v>159</v>
      </c>
      <c r="AU834" s="230" t="s">
        <v>86</v>
      </c>
      <c r="AY834" s="16" t="s">
        <v>157</v>
      </c>
      <c r="BE834" s="231">
        <f>IF(N834="základní",J834,0)</f>
        <v>0</v>
      </c>
      <c r="BF834" s="231">
        <f>IF(N834="snížená",J834,0)</f>
        <v>0</v>
      </c>
      <c r="BG834" s="231">
        <f>IF(N834="zákl. přenesená",J834,0)</f>
        <v>0</v>
      </c>
      <c r="BH834" s="231">
        <f>IF(N834="sníž. přenesená",J834,0)</f>
        <v>0</v>
      </c>
      <c r="BI834" s="231">
        <f>IF(N834="nulová",J834,0)</f>
        <v>0</v>
      </c>
      <c r="BJ834" s="16" t="s">
        <v>8</v>
      </c>
      <c r="BK834" s="231">
        <f>ROUND(I834*H834,0)</f>
        <v>0</v>
      </c>
      <c r="BL834" s="16" t="s">
        <v>246</v>
      </c>
      <c r="BM834" s="230" t="s">
        <v>1511</v>
      </c>
    </row>
    <row r="835" s="12" customFormat="1" ht="22.8" customHeight="1">
      <c r="A835" s="12"/>
      <c r="B835" s="202"/>
      <c r="C835" s="203"/>
      <c r="D835" s="204" t="s">
        <v>76</v>
      </c>
      <c r="E835" s="216" t="s">
        <v>1512</v>
      </c>
      <c r="F835" s="216" t="s">
        <v>1513</v>
      </c>
      <c r="G835" s="203"/>
      <c r="H835" s="203"/>
      <c r="I835" s="206"/>
      <c r="J835" s="217">
        <f>BK835</f>
        <v>0</v>
      </c>
      <c r="K835" s="203"/>
      <c r="L835" s="208"/>
      <c r="M835" s="209"/>
      <c r="N835" s="210"/>
      <c r="O835" s="210"/>
      <c r="P835" s="211">
        <f>SUM(P836:P845)</f>
        <v>0</v>
      </c>
      <c r="Q835" s="210"/>
      <c r="R835" s="211">
        <f>SUM(R836:R845)</f>
        <v>8.777775759999999</v>
      </c>
      <c r="S835" s="210"/>
      <c r="T835" s="212">
        <f>SUM(T836:T845)</f>
        <v>0</v>
      </c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R835" s="213" t="s">
        <v>86</v>
      </c>
      <c r="AT835" s="214" t="s">
        <v>76</v>
      </c>
      <c r="AU835" s="214" t="s">
        <v>8</v>
      </c>
      <c r="AY835" s="213" t="s">
        <v>157</v>
      </c>
      <c r="BK835" s="215">
        <f>SUM(BK836:BK845)</f>
        <v>0</v>
      </c>
    </row>
    <row r="836" s="2" customFormat="1" ht="24.15" customHeight="1">
      <c r="A836" s="37"/>
      <c r="B836" s="38"/>
      <c r="C836" s="218" t="s">
        <v>1514</v>
      </c>
      <c r="D836" s="218" t="s">
        <v>159</v>
      </c>
      <c r="E836" s="219" t="s">
        <v>1515</v>
      </c>
      <c r="F836" s="220" t="s">
        <v>1516</v>
      </c>
      <c r="G836" s="221" t="s">
        <v>209</v>
      </c>
      <c r="H836" s="222">
        <v>370.94</v>
      </c>
      <c r="I836" s="223"/>
      <c r="J836" s="224">
        <f>ROUND(I836*H836,0)</f>
        <v>0</v>
      </c>
      <c r="K836" s="225"/>
      <c r="L836" s="43"/>
      <c r="M836" s="226" t="s">
        <v>1</v>
      </c>
      <c r="N836" s="227" t="s">
        <v>42</v>
      </c>
      <c r="O836" s="90"/>
      <c r="P836" s="228">
        <f>O836*H836</f>
        <v>0</v>
      </c>
      <c r="Q836" s="228">
        <v>3.0000000000000001E-05</v>
      </c>
      <c r="R836" s="228">
        <f>Q836*H836</f>
        <v>0.0111282</v>
      </c>
      <c r="S836" s="228">
        <v>0</v>
      </c>
      <c r="T836" s="229">
        <f>S836*H836</f>
        <v>0</v>
      </c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R836" s="230" t="s">
        <v>246</v>
      </c>
      <c r="AT836" s="230" t="s">
        <v>159</v>
      </c>
      <c r="AU836" s="230" t="s">
        <v>86</v>
      </c>
      <c r="AY836" s="16" t="s">
        <v>157</v>
      </c>
      <c r="BE836" s="231">
        <f>IF(N836="základní",J836,0)</f>
        <v>0</v>
      </c>
      <c r="BF836" s="231">
        <f>IF(N836="snížená",J836,0)</f>
        <v>0</v>
      </c>
      <c r="BG836" s="231">
        <f>IF(N836="zákl. přenesená",J836,0)</f>
        <v>0</v>
      </c>
      <c r="BH836" s="231">
        <f>IF(N836="sníž. přenesená",J836,0)</f>
        <v>0</v>
      </c>
      <c r="BI836" s="231">
        <f>IF(N836="nulová",J836,0)</f>
        <v>0</v>
      </c>
      <c r="BJ836" s="16" t="s">
        <v>8</v>
      </c>
      <c r="BK836" s="231">
        <f>ROUND(I836*H836,0)</f>
        <v>0</v>
      </c>
      <c r="BL836" s="16" t="s">
        <v>246</v>
      </c>
      <c r="BM836" s="230" t="s">
        <v>1517</v>
      </c>
    </row>
    <row r="837" s="13" customFormat="1">
      <c r="A837" s="13"/>
      <c r="B837" s="232"/>
      <c r="C837" s="233"/>
      <c r="D837" s="234" t="s">
        <v>165</v>
      </c>
      <c r="E837" s="235" t="s">
        <v>1</v>
      </c>
      <c r="F837" s="236" t="s">
        <v>1518</v>
      </c>
      <c r="G837" s="233"/>
      <c r="H837" s="237">
        <v>370.94</v>
      </c>
      <c r="I837" s="238"/>
      <c r="J837" s="233"/>
      <c r="K837" s="233"/>
      <c r="L837" s="239"/>
      <c r="M837" s="240"/>
      <c r="N837" s="241"/>
      <c r="O837" s="241"/>
      <c r="P837" s="241"/>
      <c r="Q837" s="241"/>
      <c r="R837" s="241"/>
      <c r="S837" s="241"/>
      <c r="T837" s="242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T837" s="243" t="s">
        <v>165</v>
      </c>
      <c r="AU837" s="243" t="s">
        <v>86</v>
      </c>
      <c r="AV837" s="13" t="s">
        <v>86</v>
      </c>
      <c r="AW837" s="13" t="s">
        <v>32</v>
      </c>
      <c r="AX837" s="13" t="s">
        <v>77</v>
      </c>
      <c r="AY837" s="243" t="s">
        <v>157</v>
      </c>
    </row>
    <row r="838" s="2" customFormat="1" ht="33" customHeight="1">
      <c r="A838" s="37"/>
      <c r="B838" s="38"/>
      <c r="C838" s="218" t="s">
        <v>1519</v>
      </c>
      <c r="D838" s="218" t="s">
        <v>159</v>
      </c>
      <c r="E838" s="219" t="s">
        <v>1520</v>
      </c>
      <c r="F838" s="220" t="s">
        <v>1521</v>
      </c>
      <c r="G838" s="221" t="s">
        <v>209</v>
      </c>
      <c r="H838" s="222">
        <v>370.94</v>
      </c>
      <c r="I838" s="223"/>
      <c r="J838" s="224">
        <f>ROUND(I838*H838,0)</f>
        <v>0</v>
      </c>
      <c r="K838" s="225"/>
      <c r="L838" s="43"/>
      <c r="M838" s="226" t="s">
        <v>1</v>
      </c>
      <c r="N838" s="227" t="s">
        <v>42</v>
      </c>
      <c r="O838" s="90"/>
      <c r="P838" s="228">
        <f>O838*H838</f>
        <v>0</v>
      </c>
      <c r="Q838" s="228">
        <v>0.0045500000000000002</v>
      </c>
      <c r="R838" s="228">
        <f>Q838*H838</f>
        <v>1.6877770000000001</v>
      </c>
      <c r="S838" s="228">
        <v>0</v>
      </c>
      <c r="T838" s="229">
        <f>S838*H838</f>
        <v>0</v>
      </c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R838" s="230" t="s">
        <v>246</v>
      </c>
      <c r="AT838" s="230" t="s">
        <v>159</v>
      </c>
      <c r="AU838" s="230" t="s">
        <v>86</v>
      </c>
      <c r="AY838" s="16" t="s">
        <v>157</v>
      </c>
      <c r="BE838" s="231">
        <f>IF(N838="základní",J838,0)</f>
        <v>0</v>
      </c>
      <c r="BF838" s="231">
        <f>IF(N838="snížená",J838,0)</f>
        <v>0</v>
      </c>
      <c r="BG838" s="231">
        <f>IF(N838="zákl. přenesená",J838,0)</f>
        <v>0</v>
      </c>
      <c r="BH838" s="231">
        <f>IF(N838="sníž. přenesená",J838,0)</f>
        <v>0</v>
      </c>
      <c r="BI838" s="231">
        <f>IF(N838="nulová",J838,0)</f>
        <v>0</v>
      </c>
      <c r="BJ838" s="16" t="s">
        <v>8</v>
      </c>
      <c r="BK838" s="231">
        <f>ROUND(I838*H838,0)</f>
        <v>0</v>
      </c>
      <c r="BL838" s="16" t="s">
        <v>246</v>
      </c>
      <c r="BM838" s="230" t="s">
        <v>1522</v>
      </c>
    </row>
    <row r="839" s="2" customFormat="1" ht="24.15" customHeight="1">
      <c r="A839" s="37"/>
      <c r="B839" s="38"/>
      <c r="C839" s="218" t="s">
        <v>1523</v>
      </c>
      <c r="D839" s="218" t="s">
        <v>159</v>
      </c>
      <c r="E839" s="219" t="s">
        <v>1524</v>
      </c>
      <c r="F839" s="220" t="s">
        <v>1525</v>
      </c>
      <c r="G839" s="221" t="s">
        <v>216</v>
      </c>
      <c r="H839" s="222">
        <v>222.56399999999999</v>
      </c>
      <c r="I839" s="223"/>
      <c r="J839" s="224">
        <f>ROUND(I839*H839,0)</f>
        <v>0</v>
      </c>
      <c r="K839" s="225"/>
      <c r="L839" s="43"/>
      <c r="M839" s="226" t="s">
        <v>1</v>
      </c>
      <c r="N839" s="227" t="s">
        <v>42</v>
      </c>
      <c r="O839" s="90"/>
      <c r="P839" s="228">
        <f>O839*H839</f>
        <v>0</v>
      </c>
      <c r="Q839" s="228">
        <v>4.0000000000000003E-05</v>
      </c>
      <c r="R839" s="228">
        <f>Q839*H839</f>
        <v>0.0089025600000000003</v>
      </c>
      <c r="S839" s="228">
        <v>0</v>
      </c>
      <c r="T839" s="229">
        <f>S839*H839</f>
        <v>0</v>
      </c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R839" s="230" t="s">
        <v>246</v>
      </c>
      <c r="AT839" s="230" t="s">
        <v>159</v>
      </c>
      <c r="AU839" s="230" t="s">
        <v>86</v>
      </c>
      <c r="AY839" s="16" t="s">
        <v>157</v>
      </c>
      <c r="BE839" s="231">
        <f>IF(N839="základní",J839,0)</f>
        <v>0</v>
      </c>
      <c r="BF839" s="231">
        <f>IF(N839="snížená",J839,0)</f>
        <v>0</v>
      </c>
      <c r="BG839" s="231">
        <f>IF(N839="zákl. přenesená",J839,0)</f>
        <v>0</v>
      </c>
      <c r="BH839" s="231">
        <f>IF(N839="sníž. přenesená",J839,0)</f>
        <v>0</v>
      </c>
      <c r="BI839" s="231">
        <f>IF(N839="nulová",J839,0)</f>
        <v>0</v>
      </c>
      <c r="BJ839" s="16" t="s">
        <v>8</v>
      </c>
      <c r="BK839" s="231">
        <f>ROUND(I839*H839,0)</f>
        <v>0</v>
      </c>
      <c r="BL839" s="16" t="s">
        <v>246</v>
      </c>
      <c r="BM839" s="230" t="s">
        <v>1526</v>
      </c>
    </row>
    <row r="840" s="13" customFormat="1">
      <c r="A840" s="13"/>
      <c r="B840" s="232"/>
      <c r="C840" s="233"/>
      <c r="D840" s="234" t="s">
        <v>165</v>
      </c>
      <c r="E840" s="235" t="s">
        <v>1</v>
      </c>
      <c r="F840" s="236" t="s">
        <v>1527</v>
      </c>
      <c r="G840" s="233"/>
      <c r="H840" s="237">
        <v>222.56399999999999</v>
      </c>
      <c r="I840" s="238"/>
      <c r="J840" s="233"/>
      <c r="K840" s="233"/>
      <c r="L840" s="239"/>
      <c r="M840" s="240"/>
      <c r="N840" s="241"/>
      <c r="O840" s="241"/>
      <c r="P840" s="241"/>
      <c r="Q840" s="241"/>
      <c r="R840" s="241"/>
      <c r="S840" s="241"/>
      <c r="T840" s="242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T840" s="243" t="s">
        <v>165</v>
      </c>
      <c r="AU840" s="243" t="s">
        <v>86</v>
      </c>
      <c r="AV840" s="13" t="s">
        <v>86</v>
      </c>
      <c r="AW840" s="13" t="s">
        <v>32</v>
      </c>
      <c r="AX840" s="13" t="s">
        <v>77</v>
      </c>
      <c r="AY840" s="243" t="s">
        <v>157</v>
      </c>
    </row>
    <row r="841" s="2" customFormat="1" ht="16.5" customHeight="1">
      <c r="A841" s="37"/>
      <c r="B841" s="38"/>
      <c r="C841" s="254" t="s">
        <v>1528</v>
      </c>
      <c r="D841" s="254" t="s">
        <v>229</v>
      </c>
      <c r="E841" s="255" t="s">
        <v>1529</v>
      </c>
      <c r="F841" s="256" t="s">
        <v>1530</v>
      </c>
      <c r="G841" s="257" t="s">
        <v>216</v>
      </c>
      <c r="H841" s="258">
        <v>240.369</v>
      </c>
      <c r="I841" s="259"/>
      <c r="J841" s="260">
        <f>ROUND(I841*H841,0)</f>
        <v>0</v>
      </c>
      <c r="K841" s="261"/>
      <c r="L841" s="262"/>
      <c r="M841" s="263" t="s">
        <v>1</v>
      </c>
      <c r="N841" s="264" t="s">
        <v>42</v>
      </c>
      <c r="O841" s="90"/>
      <c r="P841" s="228">
        <f>O841*H841</f>
        <v>0</v>
      </c>
      <c r="Q841" s="228">
        <v>0.00020000000000000001</v>
      </c>
      <c r="R841" s="228">
        <f>Q841*H841</f>
        <v>0.0480738</v>
      </c>
      <c r="S841" s="228">
        <v>0</v>
      </c>
      <c r="T841" s="229">
        <f>S841*H841</f>
        <v>0</v>
      </c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R841" s="230" t="s">
        <v>329</v>
      </c>
      <c r="AT841" s="230" t="s">
        <v>229</v>
      </c>
      <c r="AU841" s="230" t="s">
        <v>86</v>
      </c>
      <c r="AY841" s="16" t="s">
        <v>157</v>
      </c>
      <c r="BE841" s="231">
        <f>IF(N841="základní",J841,0)</f>
        <v>0</v>
      </c>
      <c r="BF841" s="231">
        <f>IF(N841="snížená",J841,0)</f>
        <v>0</v>
      </c>
      <c r="BG841" s="231">
        <f>IF(N841="zákl. přenesená",J841,0)</f>
        <v>0</v>
      </c>
      <c r="BH841" s="231">
        <f>IF(N841="sníž. přenesená",J841,0)</f>
        <v>0</v>
      </c>
      <c r="BI841" s="231">
        <f>IF(N841="nulová",J841,0)</f>
        <v>0</v>
      </c>
      <c r="BJ841" s="16" t="s">
        <v>8</v>
      </c>
      <c r="BK841" s="231">
        <f>ROUND(I841*H841,0)</f>
        <v>0</v>
      </c>
      <c r="BL841" s="16" t="s">
        <v>246</v>
      </c>
      <c r="BM841" s="230" t="s">
        <v>1531</v>
      </c>
    </row>
    <row r="842" s="13" customFormat="1">
      <c r="A842" s="13"/>
      <c r="B842" s="232"/>
      <c r="C842" s="233"/>
      <c r="D842" s="234" t="s">
        <v>165</v>
      </c>
      <c r="E842" s="235" t="s">
        <v>1</v>
      </c>
      <c r="F842" s="236" t="s">
        <v>1532</v>
      </c>
      <c r="G842" s="233"/>
      <c r="H842" s="237">
        <v>222.56399999999999</v>
      </c>
      <c r="I842" s="238"/>
      <c r="J842" s="233"/>
      <c r="K842" s="233"/>
      <c r="L842" s="239"/>
      <c r="M842" s="240"/>
      <c r="N842" s="241"/>
      <c r="O842" s="241"/>
      <c r="P842" s="241"/>
      <c r="Q842" s="241"/>
      <c r="R842" s="241"/>
      <c r="S842" s="241"/>
      <c r="T842" s="242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T842" s="243" t="s">
        <v>165</v>
      </c>
      <c r="AU842" s="243" t="s">
        <v>86</v>
      </c>
      <c r="AV842" s="13" t="s">
        <v>86</v>
      </c>
      <c r="AW842" s="13" t="s">
        <v>32</v>
      </c>
      <c r="AX842" s="13" t="s">
        <v>8</v>
      </c>
      <c r="AY842" s="243" t="s">
        <v>157</v>
      </c>
    </row>
    <row r="843" s="13" customFormat="1">
      <c r="A843" s="13"/>
      <c r="B843" s="232"/>
      <c r="C843" s="233"/>
      <c r="D843" s="234" t="s">
        <v>165</v>
      </c>
      <c r="E843" s="233"/>
      <c r="F843" s="236" t="s">
        <v>1533</v>
      </c>
      <c r="G843" s="233"/>
      <c r="H843" s="237">
        <v>240.369</v>
      </c>
      <c r="I843" s="238"/>
      <c r="J843" s="233"/>
      <c r="K843" s="233"/>
      <c r="L843" s="239"/>
      <c r="M843" s="240"/>
      <c r="N843" s="241"/>
      <c r="O843" s="241"/>
      <c r="P843" s="241"/>
      <c r="Q843" s="241"/>
      <c r="R843" s="241"/>
      <c r="S843" s="241"/>
      <c r="T843" s="242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T843" s="243" t="s">
        <v>165</v>
      </c>
      <c r="AU843" s="243" t="s">
        <v>86</v>
      </c>
      <c r="AV843" s="13" t="s">
        <v>86</v>
      </c>
      <c r="AW843" s="13" t="s">
        <v>4</v>
      </c>
      <c r="AX843" s="13" t="s">
        <v>8</v>
      </c>
      <c r="AY843" s="243" t="s">
        <v>157</v>
      </c>
    </row>
    <row r="844" s="2" customFormat="1" ht="24.15" customHeight="1">
      <c r="A844" s="37"/>
      <c r="B844" s="38"/>
      <c r="C844" s="218" t="s">
        <v>1534</v>
      </c>
      <c r="D844" s="218" t="s">
        <v>159</v>
      </c>
      <c r="E844" s="219" t="s">
        <v>1535</v>
      </c>
      <c r="F844" s="220" t="s">
        <v>1536</v>
      </c>
      <c r="G844" s="221" t="s">
        <v>209</v>
      </c>
      <c r="H844" s="222">
        <v>370.94</v>
      </c>
      <c r="I844" s="223"/>
      <c r="J844" s="224">
        <f>ROUND(I844*H844,0)</f>
        <v>0</v>
      </c>
      <c r="K844" s="225"/>
      <c r="L844" s="43"/>
      <c r="M844" s="226" t="s">
        <v>1</v>
      </c>
      <c r="N844" s="227" t="s">
        <v>42</v>
      </c>
      <c r="O844" s="90"/>
      <c r="P844" s="228">
        <f>O844*H844</f>
        <v>0</v>
      </c>
      <c r="Q844" s="228">
        <v>0.018929999999999999</v>
      </c>
      <c r="R844" s="228">
        <f>Q844*H844</f>
        <v>7.0218941999999993</v>
      </c>
      <c r="S844" s="228">
        <v>0</v>
      </c>
      <c r="T844" s="229">
        <f>S844*H844</f>
        <v>0</v>
      </c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R844" s="230" t="s">
        <v>246</v>
      </c>
      <c r="AT844" s="230" t="s">
        <v>159</v>
      </c>
      <c r="AU844" s="230" t="s">
        <v>86</v>
      </c>
      <c r="AY844" s="16" t="s">
        <v>157</v>
      </c>
      <c r="BE844" s="231">
        <f>IF(N844="základní",J844,0)</f>
        <v>0</v>
      </c>
      <c r="BF844" s="231">
        <f>IF(N844="snížená",J844,0)</f>
        <v>0</v>
      </c>
      <c r="BG844" s="231">
        <f>IF(N844="zákl. přenesená",J844,0)</f>
        <v>0</v>
      </c>
      <c r="BH844" s="231">
        <f>IF(N844="sníž. přenesená",J844,0)</f>
        <v>0</v>
      </c>
      <c r="BI844" s="231">
        <f>IF(N844="nulová",J844,0)</f>
        <v>0</v>
      </c>
      <c r="BJ844" s="16" t="s">
        <v>8</v>
      </c>
      <c r="BK844" s="231">
        <f>ROUND(I844*H844,0)</f>
        <v>0</v>
      </c>
      <c r="BL844" s="16" t="s">
        <v>246</v>
      </c>
      <c r="BM844" s="230" t="s">
        <v>1537</v>
      </c>
    </row>
    <row r="845" s="2" customFormat="1" ht="24.15" customHeight="1">
      <c r="A845" s="37"/>
      <c r="B845" s="38"/>
      <c r="C845" s="218" t="s">
        <v>1538</v>
      </c>
      <c r="D845" s="218" t="s">
        <v>159</v>
      </c>
      <c r="E845" s="219" t="s">
        <v>1539</v>
      </c>
      <c r="F845" s="220" t="s">
        <v>1540</v>
      </c>
      <c r="G845" s="221" t="s">
        <v>193</v>
      </c>
      <c r="H845" s="222">
        <v>8.7780000000000005</v>
      </c>
      <c r="I845" s="223"/>
      <c r="J845" s="224">
        <f>ROUND(I845*H845,0)</f>
        <v>0</v>
      </c>
      <c r="K845" s="225"/>
      <c r="L845" s="43"/>
      <c r="M845" s="226" t="s">
        <v>1</v>
      </c>
      <c r="N845" s="227" t="s">
        <v>42</v>
      </c>
      <c r="O845" s="90"/>
      <c r="P845" s="228">
        <f>O845*H845</f>
        <v>0</v>
      </c>
      <c r="Q845" s="228">
        <v>0</v>
      </c>
      <c r="R845" s="228">
        <f>Q845*H845</f>
        <v>0</v>
      </c>
      <c r="S845" s="228">
        <v>0</v>
      </c>
      <c r="T845" s="229">
        <f>S845*H845</f>
        <v>0</v>
      </c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R845" s="230" t="s">
        <v>246</v>
      </c>
      <c r="AT845" s="230" t="s">
        <v>159</v>
      </c>
      <c r="AU845" s="230" t="s">
        <v>86</v>
      </c>
      <c r="AY845" s="16" t="s">
        <v>157</v>
      </c>
      <c r="BE845" s="231">
        <f>IF(N845="základní",J845,0)</f>
        <v>0</v>
      </c>
      <c r="BF845" s="231">
        <f>IF(N845="snížená",J845,0)</f>
        <v>0</v>
      </c>
      <c r="BG845" s="231">
        <f>IF(N845="zákl. přenesená",J845,0)</f>
        <v>0</v>
      </c>
      <c r="BH845" s="231">
        <f>IF(N845="sníž. přenesená",J845,0)</f>
        <v>0</v>
      </c>
      <c r="BI845" s="231">
        <f>IF(N845="nulová",J845,0)</f>
        <v>0</v>
      </c>
      <c r="BJ845" s="16" t="s">
        <v>8</v>
      </c>
      <c r="BK845" s="231">
        <f>ROUND(I845*H845,0)</f>
        <v>0</v>
      </c>
      <c r="BL845" s="16" t="s">
        <v>246</v>
      </c>
      <c r="BM845" s="230" t="s">
        <v>1541</v>
      </c>
    </row>
    <row r="846" s="12" customFormat="1" ht="22.8" customHeight="1">
      <c r="A846" s="12"/>
      <c r="B846" s="202"/>
      <c r="C846" s="203"/>
      <c r="D846" s="204" t="s">
        <v>76</v>
      </c>
      <c r="E846" s="216" t="s">
        <v>1542</v>
      </c>
      <c r="F846" s="216" t="s">
        <v>1543</v>
      </c>
      <c r="G846" s="203"/>
      <c r="H846" s="203"/>
      <c r="I846" s="206"/>
      <c r="J846" s="217">
        <f>BK846</f>
        <v>0</v>
      </c>
      <c r="K846" s="203"/>
      <c r="L846" s="208"/>
      <c r="M846" s="209"/>
      <c r="N846" s="210"/>
      <c r="O846" s="210"/>
      <c r="P846" s="211">
        <f>SUM(P847:P859)</f>
        <v>0</v>
      </c>
      <c r="Q846" s="210"/>
      <c r="R846" s="211">
        <f>SUM(R847:R859)</f>
        <v>1.3857332999999998</v>
      </c>
      <c r="S846" s="210"/>
      <c r="T846" s="212">
        <f>SUM(T847:T859)</f>
        <v>0</v>
      </c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R846" s="213" t="s">
        <v>86</v>
      </c>
      <c r="AT846" s="214" t="s">
        <v>76</v>
      </c>
      <c r="AU846" s="214" t="s">
        <v>8</v>
      </c>
      <c r="AY846" s="213" t="s">
        <v>157</v>
      </c>
      <c r="BK846" s="215">
        <f>SUM(BK847:BK859)</f>
        <v>0</v>
      </c>
    </row>
    <row r="847" s="2" customFormat="1" ht="24.15" customHeight="1">
      <c r="A847" s="37"/>
      <c r="B847" s="38"/>
      <c r="C847" s="218" t="s">
        <v>1544</v>
      </c>
      <c r="D847" s="218" t="s">
        <v>159</v>
      </c>
      <c r="E847" s="219" t="s">
        <v>1545</v>
      </c>
      <c r="F847" s="220" t="s">
        <v>1546</v>
      </c>
      <c r="G847" s="221" t="s">
        <v>209</v>
      </c>
      <c r="H847" s="222">
        <v>144.83000000000001</v>
      </c>
      <c r="I847" s="223"/>
      <c r="J847" s="224">
        <f>ROUND(I847*H847,0)</f>
        <v>0</v>
      </c>
      <c r="K847" s="225"/>
      <c r="L847" s="43"/>
      <c r="M847" s="226" t="s">
        <v>1</v>
      </c>
      <c r="N847" s="227" t="s">
        <v>42</v>
      </c>
      <c r="O847" s="90"/>
      <c r="P847" s="228">
        <f>O847*H847</f>
        <v>0</v>
      </c>
      <c r="Q847" s="228">
        <v>3.0000000000000001E-05</v>
      </c>
      <c r="R847" s="228">
        <f>Q847*H847</f>
        <v>0.0043449000000000005</v>
      </c>
      <c r="S847" s="228">
        <v>0</v>
      </c>
      <c r="T847" s="229">
        <f>S847*H847</f>
        <v>0</v>
      </c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R847" s="230" t="s">
        <v>246</v>
      </c>
      <c r="AT847" s="230" t="s">
        <v>159</v>
      </c>
      <c r="AU847" s="230" t="s">
        <v>86</v>
      </c>
      <c r="AY847" s="16" t="s">
        <v>157</v>
      </c>
      <c r="BE847" s="231">
        <f>IF(N847="základní",J847,0)</f>
        <v>0</v>
      </c>
      <c r="BF847" s="231">
        <f>IF(N847="snížená",J847,0)</f>
        <v>0</v>
      </c>
      <c r="BG847" s="231">
        <f>IF(N847="zákl. přenesená",J847,0)</f>
        <v>0</v>
      </c>
      <c r="BH847" s="231">
        <f>IF(N847="sníž. přenesená",J847,0)</f>
        <v>0</v>
      </c>
      <c r="BI847" s="231">
        <f>IF(N847="nulová",J847,0)</f>
        <v>0</v>
      </c>
      <c r="BJ847" s="16" t="s">
        <v>8</v>
      </c>
      <c r="BK847" s="231">
        <f>ROUND(I847*H847,0)</f>
        <v>0</v>
      </c>
      <c r="BL847" s="16" t="s">
        <v>246</v>
      </c>
      <c r="BM847" s="230" t="s">
        <v>1547</v>
      </c>
    </row>
    <row r="848" s="13" customFormat="1">
      <c r="A848" s="13"/>
      <c r="B848" s="232"/>
      <c r="C848" s="233"/>
      <c r="D848" s="234" t="s">
        <v>165</v>
      </c>
      <c r="E848" s="235" t="s">
        <v>1</v>
      </c>
      <c r="F848" s="236" t="s">
        <v>1548</v>
      </c>
      <c r="G848" s="233"/>
      <c r="H848" s="237">
        <v>144.83000000000001</v>
      </c>
      <c r="I848" s="238"/>
      <c r="J848" s="233"/>
      <c r="K848" s="233"/>
      <c r="L848" s="239"/>
      <c r="M848" s="240"/>
      <c r="N848" s="241"/>
      <c r="O848" s="241"/>
      <c r="P848" s="241"/>
      <c r="Q848" s="241"/>
      <c r="R848" s="241"/>
      <c r="S848" s="241"/>
      <c r="T848" s="242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T848" s="243" t="s">
        <v>165</v>
      </c>
      <c r="AU848" s="243" t="s">
        <v>86</v>
      </c>
      <c r="AV848" s="13" t="s">
        <v>86</v>
      </c>
      <c r="AW848" s="13" t="s">
        <v>32</v>
      </c>
      <c r="AX848" s="13" t="s">
        <v>77</v>
      </c>
      <c r="AY848" s="243" t="s">
        <v>157</v>
      </c>
    </row>
    <row r="849" s="2" customFormat="1" ht="33" customHeight="1">
      <c r="A849" s="37"/>
      <c r="B849" s="38"/>
      <c r="C849" s="218" t="s">
        <v>1549</v>
      </c>
      <c r="D849" s="218" t="s">
        <v>159</v>
      </c>
      <c r="E849" s="219" t="s">
        <v>1550</v>
      </c>
      <c r="F849" s="220" t="s">
        <v>1551</v>
      </c>
      <c r="G849" s="221" t="s">
        <v>209</v>
      </c>
      <c r="H849" s="222">
        <v>144.83000000000001</v>
      </c>
      <c r="I849" s="223"/>
      <c r="J849" s="224">
        <f>ROUND(I849*H849,0)</f>
        <v>0</v>
      </c>
      <c r="K849" s="225"/>
      <c r="L849" s="43"/>
      <c r="M849" s="226" t="s">
        <v>1</v>
      </c>
      <c r="N849" s="227" t="s">
        <v>42</v>
      </c>
      <c r="O849" s="90"/>
      <c r="P849" s="228">
        <f>O849*H849</f>
        <v>0</v>
      </c>
      <c r="Q849" s="228">
        <v>0.0044999999999999997</v>
      </c>
      <c r="R849" s="228">
        <f>Q849*H849</f>
        <v>0.65173499999999995</v>
      </c>
      <c r="S849" s="228">
        <v>0</v>
      </c>
      <c r="T849" s="229">
        <f>S849*H849</f>
        <v>0</v>
      </c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R849" s="230" t="s">
        <v>246</v>
      </c>
      <c r="AT849" s="230" t="s">
        <v>159</v>
      </c>
      <c r="AU849" s="230" t="s">
        <v>86</v>
      </c>
      <c r="AY849" s="16" t="s">
        <v>157</v>
      </c>
      <c r="BE849" s="231">
        <f>IF(N849="základní",J849,0)</f>
        <v>0</v>
      </c>
      <c r="BF849" s="231">
        <f>IF(N849="snížená",J849,0)</f>
        <v>0</v>
      </c>
      <c r="BG849" s="231">
        <f>IF(N849="zákl. přenesená",J849,0)</f>
        <v>0</v>
      </c>
      <c r="BH849" s="231">
        <f>IF(N849="sníž. přenesená",J849,0)</f>
        <v>0</v>
      </c>
      <c r="BI849" s="231">
        <f>IF(N849="nulová",J849,0)</f>
        <v>0</v>
      </c>
      <c r="BJ849" s="16" t="s">
        <v>8</v>
      </c>
      <c r="BK849" s="231">
        <f>ROUND(I849*H849,0)</f>
        <v>0</v>
      </c>
      <c r="BL849" s="16" t="s">
        <v>246</v>
      </c>
      <c r="BM849" s="230" t="s">
        <v>1552</v>
      </c>
    </row>
    <row r="850" s="2" customFormat="1" ht="21.75" customHeight="1">
      <c r="A850" s="37"/>
      <c r="B850" s="38"/>
      <c r="C850" s="218" t="s">
        <v>1553</v>
      </c>
      <c r="D850" s="218" t="s">
        <v>159</v>
      </c>
      <c r="E850" s="219" t="s">
        <v>1554</v>
      </c>
      <c r="F850" s="220" t="s">
        <v>1555</v>
      </c>
      <c r="G850" s="221" t="s">
        <v>209</v>
      </c>
      <c r="H850" s="222">
        <v>144.83000000000001</v>
      </c>
      <c r="I850" s="223"/>
      <c r="J850" s="224">
        <f>ROUND(I850*H850,0)</f>
        <v>0</v>
      </c>
      <c r="K850" s="225"/>
      <c r="L850" s="43"/>
      <c r="M850" s="226" t="s">
        <v>1</v>
      </c>
      <c r="N850" s="227" t="s">
        <v>42</v>
      </c>
      <c r="O850" s="90"/>
      <c r="P850" s="228">
        <f>O850*H850</f>
        <v>0</v>
      </c>
      <c r="Q850" s="228">
        <v>0.00029999999999999997</v>
      </c>
      <c r="R850" s="228">
        <f>Q850*H850</f>
        <v>0.043449000000000002</v>
      </c>
      <c r="S850" s="228">
        <v>0</v>
      </c>
      <c r="T850" s="229">
        <f>S850*H850</f>
        <v>0</v>
      </c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R850" s="230" t="s">
        <v>246</v>
      </c>
      <c r="AT850" s="230" t="s">
        <v>159</v>
      </c>
      <c r="AU850" s="230" t="s">
        <v>86</v>
      </c>
      <c r="AY850" s="16" t="s">
        <v>157</v>
      </c>
      <c r="BE850" s="231">
        <f>IF(N850="základní",J850,0)</f>
        <v>0</v>
      </c>
      <c r="BF850" s="231">
        <f>IF(N850="snížená",J850,0)</f>
        <v>0</v>
      </c>
      <c r="BG850" s="231">
        <f>IF(N850="zákl. přenesená",J850,0)</f>
        <v>0</v>
      </c>
      <c r="BH850" s="231">
        <f>IF(N850="sníž. přenesená",J850,0)</f>
        <v>0</v>
      </c>
      <c r="BI850" s="231">
        <f>IF(N850="nulová",J850,0)</f>
        <v>0</v>
      </c>
      <c r="BJ850" s="16" t="s">
        <v>8</v>
      </c>
      <c r="BK850" s="231">
        <f>ROUND(I850*H850,0)</f>
        <v>0</v>
      </c>
      <c r="BL850" s="16" t="s">
        <v>246</v>
      </c>
      <c r="BM850" s="230" t="s">
        <v>1556</v>
      </c>
    </row>
    <row r="851" s="2" customFormat="1" ht="37.8" customHeight="1">
      <c r="A851" s="37"/>
      <c r="B851" s="38"/>
      <c r="C851" s="254" t="s">
        <v>1557</v>
      </c>
      <c r="D851" s="254" t="s">
        <v>229</v>
      </c>
      <c r="E851" s="255" t="s">
        <v>1558</v>
      </c>
      <c r="F851" s="256" t="s">
        <v>1559</v>
      </c>
      <c r="G851" s="257" t="s">
        <v>209</v>
      </c>
      <c r="H851" s="258">
        <v>159.31299999999999</v>
      </c>
      <c r="I851" s="259"/>
      <c r="J851" s="260">
        <f>ROUND(I851*H851,0)</f>
        <v>0</v>
      </c>
      <c r="K851" s="261"/>
      <c r="L851" s="262"/>
      <c r="M851" s="263" t="s">
        <v>1</v>
      </c>
      <c r="N851" s="264" t="s">
        <v>42</v>
      </c>
      <c r="O851" s="90"/>
      <c r="P851" s="228">
        <f>O851*H851</f>
        <v>0</v>
      </c>
      <c r="Q851" s="228">
        <v>0.0038999999999999998</v>
      </c>
      <c r="R851" s="228">
        <f>Q851*H851</f>
        <v>0.62132069999999995</v>
      </c>
      <c r="S851" s="228">
        <v>0</v>
      </c>
      <c r="T851" s="229">
        <f>S851*H851</f>
        <v>0</v>
      </c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R851" s="230" t="s">
        <v>329</v>
      </c>
      <c r="AT851" s="230" t="s">
        <v>229</v>
      </c>
      <c r="AU851" s="230" t="s">
        <v>86</v>
      </c>
      <c r="AY851" s="16" t="s">
        <v>157</v>
      </c>
      <c r="BE851" s="231">
        <f>IF(N851="základní",J851,0)</f>
        <v>0</v>
      </c>
      <c r="BF851" s="231">
        <f>IF(N851="snížená",J851,0)</f>
        <v>0</v>
      </c>
      <c r="BG851" s="231">
        <f>IF(N851="zákl. přenesená",J851,0)</f>
        <v>0</v>
      </c>
      <c r="BH851" s="231">
        <f>IF(N851="sníž. přenesená",J851,0)</f>
        <v>0</v>
      </c>
      <c r="BI851" s="231">
        <f>IF(N851="nulová",J851,0)</f>
        <v>0</v>
      </c>
      <c r="BJ851" s="16" t="s">
        <v>8</v>
      </c>
      <c r="BK851" s="231">
        <f>ROUND(I851*H851,0)</f>
        <v>0</v>
      </c>
      <c r="BL851" s="16" t="s">
        <v>246</v>
      </c>
      <c r="BM851" s="230" t="s">
        <v>1560</v>
      </c>
    </row>
    <row r="852" s="13" customFormat="1">
      <c r="A852" s="13"/>
      <c r="B852" s="232"/>
      <c r="C852" s="233"/>
      <c r="D852" s="234" t="s">
        <v>165</v>
      </c>
      <c r="E852" s="235" t="s">
        <v>1</v>
      </c>
      <c r="F852" s="236" t="s">
        <v>1561</v>
      </c>
      <c r="G852" s="233"/>
      <c r="H852" s="237">
        <v>144.83000000000001</v>
      </c>
      <c r="I852" s="238"/>
      <c r="J852" s="233"/>
      <c r="K852" s="233"/>
      <c r="L852" s="239"/>
      <c r="M852" s="240"/>
      <c r="N852" s="241"/>
      <c r="O852" s="241"/>
      <c r="P852" s="241"/>
      <c r="Q852" s="241"/>
      <c r="R852" s="241"/>
      <c r="S852" s="241"/>
      <c r="T852" s="242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T852" s="243" t="s">
        <v>165</v>
      </c>
      <c r="AU852" s="243" t="s">
        <v>86</v>
      </c>
      <c r="AV852" s="13" t="s">
        <v>86</v>
      </c>
      <c r="AW852" s="13" t="s">
        <v>32</v>
      </c>
      <c r="AX852" s="13" t="s">
        <v>8</v>
      </c>
      <c r="AY852" s="243" t="s">
        <v>157</v>
      </c>
    </row>
    <row r="853" s="13" customFormat="1">
      <c r="A853" s="13"/>
      <c r="B853" s="232"/>
      <c r="C853" s="233"/>
      <c r="D853" s="234" t="s">
        <v>165</v>
      </c>
      <c r="E853" s="233"/>
      <c r="F853" s="236" t="s">
        <v>1562</v>
      </c>
      <c r="G853" s="233"/>
      <c r="H853" s="237">
        <v>159.31299999999999</v>
      </c>
      <c r="I853" s="238"/>
      <c r="J853" s="233"/>
      <c r="K853" s="233"/>
      <c r="L853" s="239"/>
      <c r="M853" s="240"/>
      <c r="N853" s="241"/>
      <c r="O853" s="241"/>
      <c r="P853" s="241"/>
      <c r="Q853" s="241"/>
      <c r="R853" s="241"/>
      <c r="S853" s="241"/>
      <c r="T853" s="242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T853" s="243" t="s">
        <v>165</v>
      </c>
      <c r="AU853" s="243" t="s">
        <v>86</v>
      </c>
      <c r="AV853" s="13" t="s">
        <v>86</v>
      </c>
      <c r="AW853" s="13" t="s">
        <v>4</v>
      </c>
      <c r="AX853" s="13" t="s">
        <v>8</v>
      </c>
      <c r="AY853" s="243" t="s">
        <v>157</v>
      </c>
    </row>
    <row r="854" s="2" customFormat="1" ht="24.15" customHeight="1">
      <c r="A854" s="37"/>
      <c r="B854" s="38"/>
      <c r="C854" s="218" t="s">
        <v>1563</v>
      </c>
      <c r="D854" s="218" t="s">
        <v>159</v>
      </c>
      <c r="E854" s="219" t="s">
        <v>1564</v>
      </c>
      <c r="F854" s="220" t="s">
        <v>1565</v>
      </c>
      <c r="G854" s="221" t="s">
        <v>216</v>
      </c>
      <c r="H854" s="222">
        <v>115.864</v>
      </c>
      <c r="I854" s="223"/>
      <c r="J854" s="224">
        <f>ROUND(I854*H854,0)</f>
        <v>0</v>
      </c>
      <c r="K854" s="225"/>
      <c r="L854" s="43"/>
      <c r="M854" s="226" t="s">
        <v>1</v>
      </c>
      <c r="N854" s="227" t="s">
        <v>42</v>
      </c>
      <c r="O854" s="90"/>
      <c r="P854" s="228">
        <f>O854*H854</f>
        <v>0</v>
      </c>
      <c r="Q854" s="228">
        <v>5.0000000000000002E-05</v>
      </c>
      <c r="R854" s="228">
        <f>Q854*H854</f>
        <v>0.0057932000000000001</v>
      </c>
      <c r="S854" s="228">
        <v>0</v>
      </c>
      <c r="T854" s="229">
        <f>S854*H854</f>
        <v>0</v>
      </c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R854" s="230" t="s">
        <v>246</v>
      </c>
      <c r="AT854" s="230" t="s">
        <v>159</v>
      </c>
      <c r="AU854" s="230" t="s">
        <v>86</v>
      </c>
      <c r="AY854" s="16" t="s">
        <v>157</v>
      </c>
      <c r="BE854" s="231">
        <f>IF(N854="základní",J854,0)</f>
        <v>0</v>
      </c>
      <c r="BF854" s="231">
        <f>IF(N854="snížená",J854,0)</f>
        <v>0</v>
      </c>
      <c r="BG854" s="231">
        <f>IF(N854="zákl. přenesená",J854,0)</f>
        <v>0</v>
      </c>
      <c r="BH854" s="231">
        <f>IF(N854="sníž. přenesená",J854,0)</f>
        <v>0</v>
      </c>
      <c r="BI854" s="231">
        <f>IF(N854="nulová",J854,0)</f>
        <v>0</v>
      </c>
      <c r="BJ854" s="16" t="s">
        <v>8</v>
      </c>
      <c r="BK854" s="231">
        <f>ROUND(I854*H854,0)</f>
        <v>0</v>
      </c>
      <c r="BL854" s="16" t="s">
        <v>246</v>
      </c>
      <c r="BM854" s="230" t="s">
        <v>1566</v>
      </c>
    </row>
    <row r="855" s="13" customFormat="1">
      <c r="A855" s="13"/>
      <c r="B855" s="232"/>
      <c r="C855" s="233"/>
      <c r="D855" s="234" t="s">
        <v>165</v>
      </c>
      <c r="E855" s="235" t="s">
        <v>1</v>
      </c>
      <c r="F855" s="236" t="s">
        <v>1567</v>
      </c>
      <c r="G855" s="233"/>
      <c r="H855" s="237">
        <v>115.864</v>
      </c>
      <c r="I855" s="238"/>
      <c r="J855" s="233"/>
      <c r="K855" s="233"/>
      <c r="L855" s="239"/>
      <c r="M855" s="240"/>
      <c r="N855" s="241"/>
      <c r="O855" s="241"/>
      <c r="P855" s="241"/>
      <c r="Q855" s="241"/>
      <c r="R855" s="241"/>
      <c r="S855" s="241"/>
      <c r="T855" s="242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T855" s="243" t="s">
        <v>165</v>
      </c>
      <c r="AU855" s="243" t="s">
        <v>86</v>
      </c>
      <c r="AV855" s="13" t="s">
        <v>86</v>
      </c>
      <c r="AW855" s="13" t="s">
        <v>32</v>
      </c>
      <c r="AX855" s="13" t="s">
        <v>77</v>
      </c>
      <c r="AY855" s="243" t="s">
        <v>157</v>
      </c>
    </row>
    <row r="856" s="2" customFormat="1" ht="16.5" customHeight="1">
      <c r="A856" s="37"/>
      <c r="B856" s="38"/>
      <c r="C856" s="254" t="s">
        <v>1568</v>
      </c>
      <c r="D856" s="254" t="s">
        <v>229</v>
      </c>
      <c r="E856" s="255" t="s">
        <v>1569</v>
      </c>
      <c r="F856" s="256" t="s">
        <v>1570</v>
      </c>
      <c r="G856" s="257" t="s">
        <v>216</v>
      </c>
      <c r="H856" s="258">
        <v>118.181</v>
      </c>
      <c r="I856" s="259"/>
      <c r="J856" s="260">
        <f>ROUND(I856*H856,0)</f>
        <v>0</v>
      </c>
      <c r="K856" s="261"/>
      <c r="L856" s="262"/>
      <c r="M856" s="263" t="s">
        <v>1</v>
      </c>
      <c r="N856" s="264" t="s">
        <v>42</v>
      </c>
      <c r="O856" s="90"/>
      <c r="P856" s="228">
        <f>O856*H856</f>
        <v>0</v>
      </c>
      <c r="Q856" s="228">
        <v>0.00050000000000000001</v>
      </c>
      <c r="R856" s="228">
        <f>Q856*H856</f>
        <v>0.059090499999999997</v>
      </c>
      <c r="S856" s="228">
        <v>0</v>
      </c>
      <c r="T856" s="229">
        <f>S856*H856</f>
        <v>0</v>
      </c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R856" s="230" t="s">
        <v>329</v>
      </c>
      <c r="AT856" s="230" t="s">
        <v>229</v>
      </c>
      <c r="AU856" s="230" t="s">
        <v>86</v>
      </c>
      <c r="AY856" s="16" t="s">
        <v>157</v>
      </c>
      <c r="BE856" s="231">
        <f>IF(N856="základní",J856,0)</f>
        <v>0</v>
      </c>
      <c r="BF856" s="231">
        <f>IF(N856="snížená",J856,0)</f>
        <v>0</v>
      </c>
      <c r="BG856" s="231">
        <f>IF(N856="zákl. přenesená",J856,0)</f>
        <v>0</v>
      </c>
      <c r="BH856" s="231">
        <f>IF(N856="sníž. přenesená",J856,0)</f>
        <v>0</v>
      </c>
      <c r="BI856" s="231">
        <f>IF(N856="nulová",J856,0)</f>
        <v>0</v>
      </c>
      <c r="BJ856" s="16" t="s">
        <v>8</v>
      </c>
      <c r="BK856" s="231">
        <f>ROUND(I856*H856,0)</f>
        <v>0</v>
      </c>
      <c r="BL856" s="16" t="s">
        <v>246</v>
      </c>
      <c r="BM856" s="230" t="s">
        <v>1571</v>
      </c>
    </row>
    <row r="857" s="13" customFormat="1">
      <c r="A857" s="13"/>
      <c r="B857" s="232"/>
      <c r="C857" s="233"/>
      <c r="D857" s="234" t="s">
        <v>165</v>
      </c>
      <c r="E857" s="235" t="s">
        <v>1</v>
      </c>
      <c r="F857" s="236" t="s">
        <v>1572</v>
      </c>
      <c r="G857" s="233"/>
      <c r="H857" s="237">
        <v>115.864</v>
      </c>
      <c r="I857" s="238"/>
      <c r="J857" s="233"/>
      <c r="K857" s="233"/>
      <c r="L857" s="239"/>
      <c r="M857" s="240"/>
      <c r="N857" s="241"/>
      <c r="O857" s="241"/>
      <c r="P857" s="241"/>
      <c r="Q857" s="241"/>
      <c r="R857" s="241"/>
      <c r="S857" s="241"/>
      <c r="T857" s="242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T857" s="243" t="s">
        <v>165</v>
      </c>
      <c r="AU857" s="243" t="s">
        <v>86</v>
      </c>
      <c r="AV857" s="13" t="s">
        <v>86</v>
      </c>
      <c r="AW857" s="13" t="s">
        <v>32</v>
      </c>
      <c r="AX857" s="13" t="s">
        <v>77</v>
      </c>
      <c r="AY857" s="243" t="s">
        <v>157</v>
      </c>
    </row>
    <row r="858" s="13" customFormat="1">
      <c r="A858" s="13"/>
      <c r="B858" s="232"/>
      <c r="C858" s="233"/>
      <c r="D858" s="234" t="s">
        <v>165</v>
      </c>
      <c r="E858" s="233"/>
      <c r="F858" s="236" t="s">
        <v>1573</v>
      </c>
      <c r="G858" s="233"/>
      <c r="H858" s="237">
        <v>118.181</v>
      </c>
      <c r="I858" s="238"/>
      <c r="J858" s="233"/>
      <c r="K858" s="233"/>
      <c r="L858" s="239"/>
      <c r="M858" s="240"/>
      <c r="N858" s="241"/>
      <c r="O858" s="241"/>
      <c r="P858" s="241"/>
      <c r="Q858" s="241"/>
      <c r="R858" s="241"/>
      <c r="S858" s="241"/>
      <c r="T858" s="242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T858" s="243" t="s">
        <v>165</v>
      </c>
      <c r="AU858" s="243" t="s">
        <v>86</v>
      </c>
      <c r="AV858" s="13" t="s">
        <v>86</v>
      </c>
      <c r="AW858" s="13" t="s">
        <v>4</v>
      </c>
      <c r="AX858" s="13" t="s">
        <v>8</v>
      </c>
      <c r="AY858" s="243" t="s">
        <v>157</v>
      </c>
    </row>
    <row r="859" s="2" customFormat="1" ht="24.15" customHeight="1">
      <c r="A859" s="37"/>
      <c r="B859" s="38"/>
      <c r="C859" s="218" t="s">
        <v>1574</v>
      </c>
      <c r="D859" s="218" t="s">
        <v>159</v>
      </c>
      <c r="E859" s="219" t="s">
        <v>1575</v>
      </c>
      <c r="F859" s="220" t="s">
        <v>1576</v>
      </c>
      <c r="G859" s="221" t="s">
        <v>193</v>
      </c>
      <c r="H859" s="222">
        <v>1.3859999999999999</v>
      </c>
      <c r="I859" s="223"/>
      <c r="J859" s="224">
        <f>ROUND(I859*H859,0)</f>
        <v>0</v>
      </c>
      <c r="K859" s="225"/>
      <c r="L859" s="43"/>
      <c r="M859" s="226" t="s">
        <v>1</v>
      </c>
      <c r="N859" s="227" t="s">
        <v>42</v>
      </c>
      <c r="O859" s="90"/>
      <c r="P859" s="228">
        <f>O859*H859</f>
        <v>0</v>
      </c>
      <c r="Q859" s="228">
        <v>0</v>
      </c>
      <c r="R859" s="228">
        <f>Q859*H859</f>
        <v>0</v>
      </c>
      <c r="S859" s="228">
        <v>0</v>
      </c>
      <c r="T859" s="229">
        <f>S859*H859</f>
        <v>0</v>
      </c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R859" s="230" t="s">
        <v>246</v>
      </c>
      <c r="AT859" s="230" t="s">
        <v>159</v>
      </c>
      <c r="AU859" s="230" t="s">
        <v>86</v>
      </c>
      <c r="AY859" s="16" t="s">
        <v>157</v>
      </c>
      <c r="BE859" s="231">
        <f>IF(N859="základní",J859,0)</f>
        <v>0</v>
      </c>
      <c r="BF859" s="231">
        <f>IF(N859="snížená",J859,0)</f>
        <v>0</v>
      </c>
      <c r="BG859" s="231">
        <f>IF(N859="zákl. přenesená",J859,0)</f>
        <v>0</v>
      </c>
      <c r="BH859" s="231">
        <f>IF(N859="sníž. přenesená",J859,0)</f>
        <v>0</v>
      </c>
      <c r="BI859" s="231">
        <f>IF(N859="nulová",J859,0)</f>
        <v>0</v>
      </c>
      <c r="BJ859" s="16" t="s">
        <v>8</v>
      </c>
      <c r="BK859" s="231">
        <f>ROUND(I859*H859,0)</f>
        <v>0</v>
      </c>
      <c r="BL859" s="16" t="s">
        <v>246</v>
      </c>
      <c r="BM859" s="230" t="s">
        <v>1577</v>
      </c>
    </row>
    <row r="860" s="12" customFormat="1" ht="22.8" customHeight="1">
      <c r="A860" s="12"/>
      <c r="B860" s="202"/>
      <c r="C860" s="203"/>
      <c r="D860" s="204" t="s">
        <v>76</v>
      </c>
      <c r="E860" s="216" t="s">
        <v>1578</v>
      </c>
      <c r="F860" s="216" t="s">
        <v>1579</v>
      </c>
      <c r="G860" s="203"/>
      <c r="H860" s="203"/>
      <c r="I860" s="206"/>
      <c r="J860" s="217">
        <f>BK860</f>
        <v>0</v>
      </c>
      <c r="K860" s="203"/>
      <c r="L860" s="208"/>
      <c r="M860" s="209"/>
      <c r="N860" s="210"/>
      <c r="O860" s="210"/>
      <c r="P860" s="211">
        <f>SUM(P861:P881)</f>
        <v>0</v>
      </c>
      <c r="Q860" s="210"/>
      <c r="R860" s="211">
        <f>SUM(R861:R881)</f>
        <v>34.253540780000009</v>
      </c>
      <c r="S860" s="210"/>
      <c r="T860" s="212">
        <f>SUM(T861:T881)</f>
        <v>0</v>
      </c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R860" s="213" t="s">
        <v>86</v>
      </c>
      <c r="AT860" s="214" t="s">
        <v>76</v>
      </c>
      <c r="AU860" s="214" t="s">
        <v>8</v>
      </c>
      <c r="AY860" s="213" t="s">
        <v>157</v>
      </c>
      <c r="BK860" s="215">
        <f>SUM(BK861:BK881)</f>
        <v>0</v>
      </c>
    </row>
    <row r="861" s="2" customFormat="1" ht="16.5" customHeight="1">
      <c r="A861" s="37"/>
      <c r="B861" s="38"/>
      <c r="C861" s="218" t="s">
        <v>1580</v>
      </c>
      <c r="D861" s="218" t="s">
        <v>159</v>
      </c>
      <c r="E861" s="219" t="s">
        <v>1581</v>
      </c>
      <c r="F861" s="220" t="s">
        <v>1582</v>
      </c>
      <c r="G861" s="221" t="s">
        <v>209</v>
      </c>
      <c r="H861" s="222">
        <v>1173.4000000000001</v>
      </c>
      <c r="I861" s="223"/>
      <c r="J861" s="224">
        <f>ROUND(I861*H861,0)</f>
        <v>0</v>
      </c>
      <c r="K861" s="225"/>
      <c r="L861" s="43"/>
      <c r="M861" s="226" t="s">
        <v>1</v>
      </c>
      <c r="N861" s="227" t="s">
        <v>42</v>
      </c>
      <c r="O861" s="90"/>
      <c r="P861" s="228">
        <f>O861*H861</f>
        <v>0</v>
      </c>
      <c r="Q861" s="228">
        <v>0.00029999999999999997</v>
      </c>
      <c r="R861" s="228">
        <f>Q861*H861</f>
        <v>0.35202</v>
      </c>
      <c r="S861" s="228">
        <v>0</v>
      </c>
      <c r="T861" s="229">
        <f>S861*H861</f>
        <v>0</v>
      </c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R861" s="230" t="s">
        <v>246</v>
      </c>
      <c r="AT861" s="230" t="s">
        <v>159</v>
      </c>
      <c r="AU861" s="230" t="s">
        <v>86</v>
      </c>
      <c r="AY861" s="16" t="s">
        <v>157</v>
      </c>
      <c r="BE861" s="231">
        <f>IF(N861="základní",J861,0)</f>
        <v>0</v>
      </c>
      <c r="BF861" s="231">
        <f>IF(N861="snížená",J861,0)</f>
        <v>0</v>
      </c>
      <c r="BG861" s="231">
        <f>IF(N861="zákl. přenesená",J861,0)</f>
        <v>0</v>
      </c>
      <c r="BH861" s="231">
        <f>IF(N861="sníž. přenesená",J861,0)</f>
        <v>0</v>
      </c>
      <c r="BI861" s="231">
        <f>IF(N861="nulová",J861,0)</f>
        <v>0</v>
      </c>
      <c r="BJ861" s="16" t="s">
        <v>8</v>
      </c>
      <c r="BK861" s="231">
        <f>ROUND(I861*H861,0)</f>
        <v>0</v>
      </c>
      <c r="BL861" s="16" t="s">
        <v>246</v>
      </c>
      <c r="BM861" s="230" t="s">
        <v>1583</v>
      </c>
    </row>
    <row r="862" s="13" customFormat="1">
      <c r="A862" s="13"/>
      <c r="B862" s="232"/>
      <c r="C862" s="233"/>
      <c r="D862" s="234" t="s">
        <v>165</v>
      </c>
      <c r="E862" s="235" t="s">
        <v>1</v>
      </c>
      <c r="F862" s="236" t="s">
        <v>1584</v>
      </c>
      <c r="G862" s="233"/>
      <c r="H862" s="237">
        <v>33.200000000000003</v>
      </c>
      <c r="I862" s="238"/>
      <c r="J862" s="233"/>
      <c r="K862" s="233"/>
      <c r="L862" s="239"/>
      <c r="M862" s="240"/>
      <c r="N862" s="241"/>
      <c r="O862" s="241"/>
      <c r="P862" s="241"/>
      <c r="Q862" s="241"/>
      <c r="R862" s="241"/>
      <c r="S862" s="241"/>
      <c r="T862" s="242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T862" s="243" t="s">
        <v>165</v>
      </c>
      <c r="AU862" s="243" t="s">
        <v>86</v>
      </c>
      <c r="AV862" s="13" t="s">
        <v>86</v>
      </c>
      <c r="AW862" s="13" t="s">
        <v>32</v>
      </c>
      <c r="AX862" s="13" t="s">
        <v>77</v>
      </c>
      <c r="AY862" s="243" t="s">
        <v>157</v>
      </c>
    </row>
    <row r="863" s="13" customFormat="1">
      <c r="A863" s="13"/>
      <c r="B863" s="232"/>
      <c r="C863" s="233"/>
      <c r="D863" s="234" t="s">
        <v>165</v>
      </c>
      <c r="E863" s="235" t="s">
        <v>1</v>
      </c>
      <c r="F863" s="236" t="s">
        <v>1585</v>
      </c>
      <c r="G863" s="233"/>
      <c r="H863" s="237">
        <v>798.39999999999998</v>
      </c>
      <c r="I863" s="238"/>
      <c r="J863" s="233"/>
      <c r="K863" s="233"/>
      <c r="L863" s="239"/>
      <c r="M863" s="240"/>
      <c r="N863" s="241"/>
      <c r="O863" s="241"/>
      <c r="P863" s="241"/>
      <c r="Q863" s="241"/>
      <c r="R863" s="241"/>
      <c r="S863" s="241"/>
      <c r="T863" s="242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T863" s="243" t="s">
        <v>165</v>
      </c>
      <c r="AU863" s="243" t="s">
        <v>86</v>
      </c>
      <c r="AV863" s="13" t="s">
        <v>86</v>
      </c>
      <c r="AW863" s="13" t="s">
        <v>32</v>
      </c>
      <c r="AX863" s="13" t="s">
        <v>77</v>
      </c>
      <c r="AY863" s="243" t="s">
        <v>157</v>
      </c>
    </row>
    <row r="864" s="13" customFormat="1">
      <c r="A864" s="13"/>
      <c r="B864" s="232"/>
      <c r="C864" s="233"/>
      <c r="D864" s="234" t="s">
        <v>165</v>
      </c>
      <c r="E864" s="235" t="s">
        <v>1</v>
      </c>
      <c r="F864" s="236" t="s">
        <v>1586</v>
      </c>
      <c r="G864" s="233"/>
      <c r="H864" s="237">
        <v>341.80000000000001</v>
      </c>
      <c r="I864" s="238"/>
      <c r="J864" s="233"/>
      <c r="K864" s="233"/>
      <c r="L864" s="239"/>
      <c r="M864" s="240"/>
      <c r="N864" s="241"/>
      <c r="O864" s="241"/>
      <c r="P864" s="241"/>
      <c r="Q864" s="241"/>
      <c r="R864" s="241"/>
      <c r="S864" s="241"/>
      <c r="T864" s="242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T864" s="243" t="s">
        <v>165</v>
      </c>
      <c r="AU864" s="243" t="s">
        <v>86</v>
      </c>
      <c r="AV864" s="13" t="s">
        <v>86</v>
      </c>
      <c r="AW864" s="13" t="s">
        <v>32</v>
      </c>
      <c r="AX864" s="13" t="s">
        <v>77</v>
      </c>
      <c r="AY864" s="243" t="s">
        <v>157</v>
      </c>
    </row>
    <row r="865" s="2" customFormat="1" ht="24.15" customHeight="1">
      <c r="A865" s="37"/>
      <c r="B865" s="38"/>
      <c r="C865" s="218" t="s">
        <v>1587</v>
      </c>
      <c r="D865" s="218" t="s">
        <v>159</v>
      </c>
      <c r="E865" s="219" t="s">
        <v>1588</v>
      </c>
      <c r="F865" s="220" t="s">
        <v>1589</v>
      </c>
      <c r="G865" s="221" t="s">
        <v>209</v>
      </c>
      <c r="H865" s="222">
        <v>73.727999999999994</v>
      </c>
      <c r="I865" s="223"/>
      <c r="J865" s="224">
        <f>ROUND(I865*H865,0)</f>
        <v>0</v>
      </c>
      <c r="K865" s="225"/>
      <c r="L865" s="43"/>
      <c r="M865" s="226" t="s">
        <v>1</v>
      </c>
      <c r="N865" s="227" t="s">
        <v>42</v>
      </c>
      <c r="O865" s="90"/>
      <c r="P865" s="228">
        <f>O865*H865</f>
        <v>0</v>
      </c>
      <c r="Q865" s="228">
        <v>0.0015</v>
      </c>
      <c r="R865" s="228">
        <f>Q865*H865</f>
        <v>0.110592</v>
      </c>
      <c r="S865" s="228">
        <v>0</v>
      </c>
      <c r="T865" s="229">
        <f>S865*H865</f>
        <v>0</v>
      </c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R865" s="230" t="s">
        <v>246</v>
      </c>
      <c r="AT865" s="230" t="s">
        <v>159</v>
      </c>
      <c r="AU865" s="230" t="s">
        <v>86</v>
      </c>
      <c r="AY865" s="16" t="s">
        <v>157</v>
      </c>
      <c r="BE865" s="231">
        <f>IF(N865="základní",J865,0)</f>
        <v>0</v>
      </c>
      <c r="BF865" s="231">
        <f>IF(N865="snížená",J865,0)</f>
        <v>0</v>
      </c>
      <c r="BG865" s="231">
        <f>IF(N865="zákl. přenesená",J865,0)</f>
        <v>0</v>
      </c>
      <c r="BH865" s="231">
        <f>IF(N865="sníž. přenesená",J865,0)</f>
        <v>0</v>
      </c>
      <c r="BI865" s="231">
        <f>IF(N865="nulová",J865,0)</f>
        <v>0</v>
      </c>
      <c r="BJ865" s="16" t="s">
        <v>8</v>
      </c>
      <c r="BK865" s="231">
        <f>ROUND(I865*H865,0)</f>
        <v>0</v>
      </c>
      <c r="BL865" s="16" t="s">
        <v>246</v>
      </c>
      <c r="BM865" s="230" t="s">
        <v>1590</v>
      </c>
    </row>
    <row r="866" s="13" customFormat="1">
      <c r="A866" s="13"/>
      <c r="B866" s="232"/>
      <c r="C866" s="233"/>
      <c r="D866" s="234" t="s">
        <v>165</v>
      </c>
      <c r="E866" s="235" t="s">
        <v>1</v>
      </c>
      <c r="F866" s="236" t="s">
        <v>1591</v>
      </c>
      <c r="G866" s="233"/>
      <c r="H866" s="237">
        <v>73.727999999999994</v>
      </c>
      <c r="I866" s="238"/>
      <c r="J866" s="233"/>
      <c r="K866" s="233"/>
      <c r="L866" s="239"/>
      <c r="M866" s="240"/>
      <c r="N866" s="241"/>
      <c r="O866" s="241"/>
      <c r="P866" s="241"/>
      <c r="Q866" s="241"/>
      <c r="R866" s="241"/>
      <c r="S866" s="241"/>
      <c r="T866" s="242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T866" s="243" t="s">
        <v>165</v>
      </c>
      <c r="AU866" s="243" t="s">
        <v>86</v>
      </c>
      <c r="AV866" s="13" t="s">
        <v>86</v>
      </c>
      <c r="AW866" s="13" t="s">
        <v>32</v>
      </c>
      <c r="AX866" s="13" t="s">
        <v>77</v>
      </c>
      <c r="AY866" s="243" t="s">
        <v>157</v>
      </c>
    </row>
    <row r="867" s="2" customFormat="1" ht="33" customHeight="1">
      <c r="A867" s="37"/>
      <c r="B867" s="38"/>
      <c r="C867" s="218" t="s">
        <v>1592</v>
      </c>
      <c r="D867" s="218" t="s">
        <v>159</v>
      </c>
      <c r="E867" s="219" t="s">
        <v>1593</v>
      </c>
      <c r="F867" s="220" t="s">
        <v>1594</v>
      </c>
      <c r="G867" s="221" t="s">
        <v>209</v>
      </c>
      <c r="H867" s="222">
        <v>1173.4000000000001</v>
      </c>
      <c r="I867" s="223"/>
      <c r="J867" s="224">
        <f>ROUND(I867*H867,0)</f>
        <v>0</v>
      </c>
      <c r="K867" s="225"/>
      <c r="L867" s="43"/>
      <c r="M867" s="226" t="s">
        <v>1</v>
      </c>
      <c r="N867" s="227" t="s">
        <v>42</v>
      </c>
      <c r="O867" s="90"/>
      <c r="P867" s="228">
        <f>O867*H867</f>
        <v>0</v>
      </c>
      <c r="Q867" s="228">
        <v>0.0075500000000000003</v>
      </c>
      <c r="R867" s="228">
        <f>Q867*H867</f>
        <v>8.8591700000000007</v>
      </c>
      <c r="S867" s="228">
        <v>0</v>
      </c>
      <c r="T867" s="229">
        <f>S867*H867</f>
        <v>0</v>
      </c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R867" s="230" t="s">
        <v>246</v>
      </c>
      <c r="AT867" s="230" t="s">
        <v>159</v>
      </c>
      <c r="AU867" s="230" t="s">
        <v>86</v>
      </c>
      <c r="AY867" s="16" t="s">
        <v>157</v>
      </c>
      <c r="BE867" s="231">
        <f>IF(N867="základní",J867,0)</f>
        <v>0</v>
      </c>
      <c r="BF867" s="231">
        <f>IF(N867="snížená",J867,0)</f>
        <v>0</v>
      </c>
      <c r="BG867" s="231">
        <f>IF(N867="zákl. přenesená",J867,0)</f>
        <v>0</v>
      </c>
      <c r="BH867" s="231">
        <f>IF(N867="sníž. přenesená",J867,0)</f>
        <v>0</v>
      </c>
      <c r="BI867" s="231">
        <f>IF(N867="nulová",J867,0)</f>
        <v>0</v>
      </c>
      <c r="BJ867" s="16" t="s">
        <v>8</v>
      </c>
      <c r="BK867" s="231">
        <f>ROUND(I867*H867,0)</f>
        <v>0</v>
      </c>
      <c r="BL867" s="16" t="s">
        <v>246</v>
      </c>
      <c r="BM867" s="230" t="s">
        <v>1595</v>
      </c>
    </row>
    <row r="868" s="2" customFormat="1" ht="24.15" customHeight="1">
      <c r="A868" s="37"/>
      <c r="B868" s="38"/>
      <c r="C868" s="254" t="s">
        <v>1596</v>
      </c>
      <c r="D868" s="254" t="s">
        <v>229</v>
      </c>
      <c r="E868" s="255" t="s">
        <v>1597</v>
      </c>
      <c r="F868" s="256" t="s">
        <v>1598</v>
      </c>
      <c r="G868" s="257" t="s">
        <v>209</v>
      </c>
      <c r="H868" s="258">
        <v>1349.4100000000001</v>
      </c>
      <c r="I868" s="259"/>
      <c r="J868" s="260">
        <f>ROUND(I868*H868,0)</f>
        <v>0</v>
      </c>
      <c r="K868" s="261"/>
      <c r="L868" s="262"/>
      <c r="M868" s="263" t="s">
        <v>1</v>
      </c>
      <c r="N868" s="264" t="s">
        <v>42</v>
      </c>
      <c r="O868" s="90"/>
      <c r="P868" s="228">
        <f>O868*H868</f>
        <v>0</v>
      </c>
      <c r="Q868" s="228">
        <v>0.018409999999999999</v>
      </c>
      <c r="R868" s="228">
        <f>Q868*H868</f>
        <v>24.842638100000002</v>
      </c>
      <c r="S868" s="228">
        <v>0</v>
      </c>
      <c r="T868" s="229">
        <f>S868*H868</f>
        <v>0</v>
      </c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R868" s="230" t="s">
        <v>329</v>
      </c>
      <c r="AT868" s="230" t="s">
        <v>229</v>
      </c>
      <c r="AU868" s="230" t="s">
        <v>86</v>
      </c>
      <c r="AY868" s="16" t="s">
        <v>157</v>
      </c>
      <c r="BE868" s="231">
        <f>IF(N868="základní",J868,0)</f>
        <v>0</v>
      </c>
      <c r="BF868" s="231">
        <f>IF(N868="snížená",J868,0)</f>
        <v>0</v>
      </c>
      <c r="BG868" s="231">
        <f>IF(N868="zákl. přenesená",J868,0)</f>
        <v>0</v>
      </c>
      <c r="BH868" s="231">
        <f>IF(N868="sníž. přenesená",J868,0)</f>
        <v>0</v>
      </c>
      <c r="BI868" s="231">
        <f>IF(N868="nulová",J868,0)</f>
        <v>0</v>
      </c>
      <c r="BJ868" s="16" t="s">
        <v>8</v>
      </c>
      <c r="BK868" s="231">
        <f>ROUND(I868*H868,0)</f>
        <v>0</v>
      </c>
      <c r="BL868" s="16" t="s">
        <v>246</v>
      </c>
      <c r="BM868" s="230" t="s">
        <v>1599</v>
      </c>
    </row>
    <row r="869" s="13" customFormat="1">
      <c r="A869" s="13"/>
      <c r="B869" s="232"/>
      <c r="C869" s="233"/>
      <c r="D869" s="234" t="s">
        <v>165</v>
      </c>
      <c r="E869" s="235" t="s">
        <v>1</v>
      </c>
      <c r="F869" s="236" t="s">
        <v>1600</v>
      </c>
      <c r="G869" s="233"/>
      <c r="H869" s="237">
        <v>1173.4000000000001</v>
      </c>
      <c r="I869" s="238"/>
      <c r="J869" s="233"/>
      <c r="K869" s="233"/>
      <c r="L869" s="239"/>
      <c r="M869" s="240"/>
      <c r="N869" s="241"/>
      <c r="O869" s="241"/>
      <c r="P869" s="241"/>
      <c r="Q869" s="241"/>
      <c r="R869" s="241"/>
      <c r="S869" s="241"/>
      <c r="T869" s="242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T869" s="243" t="s">
        <v>165</v>
      </c>
      <c r="AU869" s="243" t="s">
        <v>86</v>
      </c>
      <c r="AV869" s="13" t="s">
        <v>86</v>
      </c>
      <c r="AW869" s="13" t="s">
        <v>32</v>
      </c>
      <c r="AX869" s="13" t="s">
        <v>8</v>
      </c>
      <c r="AY869" s="243" t="s">
        <v>157</v>
      </c>
    </row>
    <row r="870" s="13" customFormat="1">
      <c r="A870" s="13"/>
      <c r="B870" s="232"/>
      <c r="C870" s="233"/>
      <c r="D870" s="234" t="s">
        <v>165</v>
      </c>
      <c r="E870" s="233"/>
      <c r="F870" s="236" t="s">
        <v>1601</v>
      </c>
      <c r="G870" s="233"/>
      <c r="H870" s="237">
        <v>1349.4100000000001</v>
      </c>
      <c r="I870" s="238"/>
      <c r="J870" s="233"/>
      <c r="K870" s="233"/>
      <c r="L870" s="239"/>
      <c r="M870" s="240"/>
      <c r="N870" s="241"/>
      <c r="O870" s="241"/>
      <c r="P870" s="241"/>
      <c r="Q870" s="241"/>
      <c r="R870" s="241"/>
      <c r="S870" s="241"/>
      <c r="T870" s="242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T870" s="243" t="s">
        <v>165</v>
      </c>
      <c r="AU870" s="243" t="s">
        <v>86</v>
      </c>
      <c r="AV870" s="13" t="s">
        <v>86</v>
      </c>
      <c r="AW870" s="13" t="s">
        <v>4</v>
      </c>
      <c r="AX870" s="13" t="s">
        <v>8</v>
      </c>
      <c r="AY870" s="243" t="s">
        <v>157</v>
      </c>
    </row>
    <row r="871" s="2" customFormat="1" ht="24.15" customHeight="1">
      <c r="A871" s="37"/>
      <c r="B871" s="38"/>
      <c r="C871" s="218" t="s">
        <v>1602</v>
      </c>
      <c r="D871" s="218" t="s">
        <v>159</v>
      </c>
      <c r="E871" s="219" t="s">
        <v>1603</v>
      </c>
      <c r="F871" s="220" t="s">
        <v>1604</v>
      </c>
      <c r="G871" s="221" t="s">
        <v>216</v>
      </c>
      <c r="H871" s="222">
        <v>101.91</v>
      </c>
      <c r="I871" s="223"/>
      <c r="J871" s="224">
        <f>ROUND(I871*H871,0)</f>
        <v>0</v>
      </c>
      <c r="K871" s="225"/>
      <c r="L871" s="43"/>
      <c r="M871" s="226" t="s">
        <v>1</v>
      </c>
      <c r="N871" s="227" t="s">
        <v>42</v>
      </c>
      <c r="O871" s="90"/>
      <c r="P871" s="228">
        <f>O871*H871</f>
        <v>0</v>
      </c>
      <c r="Q871" s="228">
        <v>0.00020000000000000001</v>
      </c>
      <c r="R871" s="228">
        <f>Q871*H871</f>
        <v>0.020382000000000001</v>
      </c>
      <c r="S871" s="228">
        <v>0</v>
      </c>
      <c r="T871" s="229">
        <f>S871*H871</f>
        <v>0</v>
      </c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R871" s="230" t="s">
        <v>246</v>
      </c>
      <c r="AT871" s="230" t="s">
        <v>159</v>
      </c>
      <c r="AU871" s="230" t="s">
        <v>86</v>
      </c>
      <c r="AY871" s="16" t="s">
        <v>157</v>
      </c>
      <c r="BE871" s="231">
        <f>IF(N871="základní",J871,0)</f>
        <v>0</v>
      </c>
      <c r="BF871" s="231">
        <f>IF(N871="snížená",J871,0)</f>
        <v>0</v>
      </c>
      <c r="BG871" s="231">
        <f>IF(N871="zákl. přenesená",J871,0)</f>
        <v>0</v>
      </c>
      <c r="BH871" s="231">
        <f>IF(N871="sníž. přenesená",J871,0)</f>
        <v>0</v>
      </c>
      <c r="BI871" s="231">
        <f>IF(N871="nulová",J871,0)</f>
        <v>0</v>
      </c>
      <c r="BJ871" s="16" t="s">
        <v>8</v>
      </c>
      <c r="BK871" s="231">
        <f>ROUND(I871*H871,0)</f>
        <v>0</v>
      </c>
      <c r="BL871" s="16" t="s">
        <v>246</v>
      </c>
      <c r="BM871" s="230" t="s">
        <v>1605</v>
      </c>
    </row>
    <row r="872" s="13" customFormat="1">
      <c r="A872" s="13"/>
      <c r="B872" s="232"/>
      <c r="C872" s="233"/>
      <c r="D872" s="234" t="s">
        <v>165</v>
      </c>
      <c r="E872" s="235" t="s">
        <v>1</v>
      </c>
      <c r="F872" s="236" t="s">
        <v>1606</v>
      </c>
      <c r="G872" s="233"/>
      <c r="H872" s="237">
        <v>55.350000000000001</v>
      </c>
      <c r="I872" s="238"/>
      <c r="J872" s="233"/>
      <c r="K872" s="233"/>
      <c r="L872" s="239"/>
      <c r="M872" s="240"/>
      <c r="N872" s="241"/>
      <c r="O872" s="241"/>
      <c r="P872" s="241"/>
      <c r="Q872" s="241"/>
      <c r="R872" s="241"/>
      <c r="S872" s="241"/>
      <c r="T872" s="242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T872" s="243" t="s">
        <v>165</v>
      </c>
      <c r="AU872" s="243" t="s">
        <v>86</v>
      </c>
      <c r="AV872" s="13" t="s">
        <v>86</v>
      </c>
      <c r="AW872" s="13" t="s">
        <v>32</v>
      </c>
      <c r="AX872" s="13" t="s">
        <v>77</v>
      </c>
      <c r="AY872" s="243" t="s">
        <v>157</v>
      </c>
    </row>
    <row r="873" s="13" customFormat="1">
      <c r="A873" s="13"/>
      <c r="B873" s="232"/>
      <c r="C873" s="233"/>
      <c r="D873" s="234" t="s">
        <v>165</v>
      </c>
      <c r="E873" s="235" t="s">
        <v>1</v>
      </c>
      <c r="F873" s="236" t="s">
        <v>1607</v>
      </c>
      <c r="G873" s="233"/>
      <c r="H873" s="237">
        <v>46.560000000000002</v>
      </c>
      <c r="I873" s="238"/>
      <c r="J873" s="233"/>
      <c r="K873" s="233"/>
      <c r="L873" s="239"/>
      <c r="M873" s="240"/>
      <c r="N873" s="241"/>
      <c r="O873" s="241"/>
      <c r="P873" s="241"/>
      <c r="Q873" s="241"/>
      <c r="R873" s="241"/>
      <c r="S873" s="241"/>
      <c r="T873" s="242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T873" s="243" t="s">
        <v>165</v>
      </c>
      <c r="AU873" s="243" t="s">
        <v>86</v>
      </c>
      <c r="AV873" s="13" t="s">
        <v>86</v>
      </c>
      <c r="AW873" s="13" t="s">
        <v>32</v>
      </c>
      <c r="AX873" s="13" t="s">
        <v>77</v>
      </c>
      <c r="AY873" s="243" t="s">
        <v>157</v>
      </c>
    </row>
    <row r="874" s="2" customFormat="1" ht="24.15" customHeight="1">
      <c r="A874" s="37"/>
      <c r="B874" s="38"/>
      <c r="C874" s="218" t="s">
        <v>1608</v>
      </c>
      <c r="D874" s="218" t="s">
        <v>159</v>
      </c>
      <c r="E874" s="219" t="s">
        <v>1609</v>
      </c>
      <c r="F874" s="220" t="s">
        <v>1610</v>
      </c>
      <c r="G874" s="221" t="s">
        <v>216</v>
      </c>
      <c r="H874" s="222">
        <v>6.3399999999999999</v>
      </c>
      <c r="I874" s="223"/>
      <c r="J874" s="224">
        <f>ROUND(I874*H874,0)</f>
        <v>0</v>
      </c>
      <c r="K874" s="225"/>
      <c r="L874" s="43"/>
      <c r="M874" s="226" t="s">
        <v>1</v>
      </c>
      <c r="N874" s="227" t="s">
        <v>42</v>
      </c>
      <c r="O874" s="90"/>
      <c r="P874" s="228">
        <f>O874*H874</f>
        <v>0</v>
      </c>
      <c r="Q874" s="228">
        <v>0.00018000000000000001</v>
      </c>
      <c r="R874" s="228">
        <f>Q874*H874</f>
        <v>0.0011412</v>
      </c>
      <c r="S874" s="228">
        <v>0</v>
      </c>
      <c r="T874" s="229">
        <f>S874*H874</f>
        <v>0</v>
      </c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R874" s="230" t="s">
        <v>246</v>
      </c>
      <c r="AT874" s="230" t="s">
        <v>159</v>
      </c>
      <c r="AU874" s="230" t="s">
        <v>86</v>
      </c>
      <c r="AY874" s="16" t="s">
        <v>157</v>
      </c>
      <c r="BE874" s="231">
        <f>IF(N874="základní",J874,0)</f>
        <v>0</v>
      </c>
      <c r="BF874" s="231">
        <f>IF(N874="snížená",J874,0)</f>
        <v>0</v>
      </c>
      <c r="BG874" s="231">
        <f>IF(N874="zákl. přenesená",J874,0)</f>
        <v>0</v>
      </c>
      <c r="BH874" s="231">
        <f>IF(N874="sníž. přenesená",J874,0)</f>
        <v>0</v>
      </c>
      <c r="BI874" s="231">
        <f>IF(N874="nulová",J874,0)</f>
        <v>0</v>
      </c>
      <c r="BJ874" s="16" t="s">
        <v>8</v>
      </c>
      <c r="BK874" s="231">
        <f>ROUND(I874*H874,0)</f>
        <v>0</v>
      </c>
      <c r="BL874" s="16" t="s">
        <v>246</v>
      </c>
      <c r="BM874" s="230" t="s">
        <v>1611</v>
      </c>
    </row>
    <row r="875" s="13" customFormat="1">
      <c r="A875" s="13"/>
      <c r="B875" s="232"/>
      <c r="C875" s="233"/>
      <c r="D875" s="234" t="s">
        <v>165</v>
      </c>
      <c r="E875" s="235" t="s">
        <v>1</v>
      </c>
      <c r="F875" s="236" t="s">
        <v>1612</v>
      </c>
      <c r="G875" s="233"/>
      <c r="H875" s="237">
        <v>6.3399999999999999</v>
      </c>
      <c r="I875" s="238"/>
      <c r="J875" s="233"/>
      <c r="K875" s="233"/>
      <c r="L875" s="239"/>
      <c r="M875" s="240"/>
      <c r="N875" s="241"/>
      <c r="O875" s="241"/>
      <c r="P875" s="241"/>
      <c r="Q875" s="241"/>
      <c r="R875" s="241"/>
      <c r="S875" s="241"/>
      <c r="T875" s="242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T875" s="243" t="s">
        <v>165</v>
      </c>
      <c r="AU875" s="243" t="s">
        <v>86</v>
      </c>
      <c r="AV875" s="13" t="s">
        <v>86</v>
      </c>
      <c r="AW875" s="13" t="s">
        <v>32</v>
      </c>
      <c r="AX875" s="13" t="s">
        <v>77</v>
      </c>
      <c r="AY875" s="243" t="s">
        <v>157</v>
      </c>
    </row>
    <row r="876" s="2" customFormat="1" ht="16.5" customHeight="1">
      <c r="A876" s="37"/>
      <c r="B876" s="38"/>
      <c r="C876" s="254" t="s">
        <v>1613</v>
      </c>
      <c r="D876" s="254" t="s">
        <v>229</v>
      </c>
      <c r="E876" s="255" t="s">
        <v>1614</v>
      </c>
      <c r="F876" s="256" t="s">
        <v>1615</v>
      </c>
      <c r="G876" s="257" t="s">
        <v>216</v>
      </c>
      <c r="H876" s="258">
        <v>113.663</v>
      </c>
      <c r="I876" s="259"/>
      <c r="J876" s="260">
        <f>ROUND(I876*H876,0)</f>
        <v>0</v>
      </c>
      <c r="K876" s="261"/>
      <c r="L876" s="262"/>
      <c r="M876" s="263" t="s">
        <v>1</v>
      </c>
      <c r="N876" s="264" t="s">
        <v>42</v>
      </c>
      <c r="O876" s="90"/>
      <c r="P876" s="228">
        <f>O876*H876</f>
        <v>0</v>
      </c>
      <c r="Q876" s="228">
        <v>0.00032000000000000003</v>
      </c>
      <c r="R876" s="228">
        <f>Q876*H876</f>
        <v>0.036372160000000001</v>
      </c>
      <c r="S876" s="228">
        <v>0</v>
      </c>
      <c r="T876" s="229">
        <f>S876*H876</f>
        <v>0</v>
      </c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R876" s="230" t="s">
        <v>329</v>
      </c>
      <c r="AT876" s="230" t="s">
        <v>229</v>
      </c>
      <c r="AU876" s="230" t="s">
        <v>86</v>
      </c>
      <c r="AY876" s="16" t="s">
        <v>157</v>
      </c>
      <c r="BE876" s="231">
        <f>IF(N876="základní",J876,0)</f>
        <v>0</v>
      </c>
      <c r="BF876" s="231">
        <f>IF(N876="snížená",J876,0)</f>
        <v>0</v>
      </c>
      <c r="BG876" s="231">
        <f>IF(N876="zákl. přenesená",J876,0)</f>
        <v>0</v>
      </c>
      <c r="BH876" s="231">
        <f>IF(N876="sníž. přenesená",J876,0)</f>
        <v>0</v>
      </c>
      <c r="BI876" s="231">
        <f>IF(N876="nulová",J876,0)</f>
        <v>0</v>
      </c>
      <c r="BJ876" s="16" t="s">
        <v>8</v>
      </c>
      <c r="BK876" s="231">
        <f>ROUND(I876*H876,0)</f>
        <v>0</v>
      </c>
      <c r="BL876" s="16" t="s">
        <v>246</v>
      </c>
      <c r="BM876" s="230" t="s">
        <v>1616</v>
      </c>
    </row>
    <row r="877" s="13" customFormat="1">
      <c r="A877" s="13"/>
      <c r="B877" s="232"/>
      <c r="C877" s="233"/>
      <c r="D877" s="234" t="s">
        <v>165</v>
      </c>
      <c r="E877" s="235" t="s">
        <v>1</v>
      </c>
      <c r="F877" s="236" t="s">
        <v>1617</v>
      </c>
      <c r="G877" s="233"/>
      <c r="H877" s="237">
        <v>108.25</v>
      </c>
      <c r="I877" s="238"/>
      <c r="J877" s="233"/>
      <c r="K877" s="233"/>
      <c r="L877" s="239"/>
      <c r="M877" s="240"/>
      <c r="N877" s="241"/>
      <c r="O877" s="241"/>
      <c r="P877" s="241"/>
      <c r="Q877" s="241"/>
      <c r="R877" s="241"/>
      <c r="S877" s="241"/>
      <c r="T877" s="242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T877" s="243" t="s">
        <v>165</v>
      </c>
      <c r="AU877" s="243" t="s">
        <v>86</v>
      </c>
      <c r="AV877" s="13" t="s">
        <v>86</v>
      </c>
      <c r="AW877" s="13" t="s">
        <v>32</v>
      </c>
      <c r="AX877" s="13" t="s">
        <v>8</v>
      </c>
      <c r="AY877" s="243" t="s">
        <v>157</v>
      </c>
    </row>
    <row r="878" s="13" customFormat="1">
      <c r="A878" s="13"/>
      <c r="B878" s="232"/>
      <c r="C878" s="233"/>
      <c r="D878" s="234" t="s">
        <v>165</v>
      </c>
      <c r="E878" s="233"/>
      <c r="F878" s="236" t="s">
        <v>1618</v>
      </c>
      <c r="G878" s="233"/>
      <c r="H878" s="237">
        <v>113.663</v>
      </c>
      <c r="I878" s="238"/>
      <c r="J878" s="233"/>
      <c r="K878" s="233"/>
      <c r="L878" s="239"/>
      <c r="M878" s="240"/>
      <c r="N878" s="241"/>
      <c r="O878" s="241"/>
      <c r="P878" s="241"/>
      <c r="Q878" s="241"/>
      <c r="R878" s="241"/>
      <c r="S878" s="241"/>
      <c r="T878" s="242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T878" s="243" t="s">
        <v>165</v>
      </c>
      <c r="AU878" s="243" t="s">
        <v>86</v>
      </c>
      <c r="AV878" s="13" t="s">
        <v>86</v>
      </c>
      <c r="AW878" s="13" t="s">
        <v>4</v>
      </c>
      <c r="AX878" s="13" t="s">
        <v>8</v>
      </c>
      <c r="AY878" s="243" t="s">
        <v>157</v>
      </c>
    </row>
    <row r="879" s="2" customFormat="1" ht="16.5" customHeight="1">
      <c r="A879" s="37"/>
      <c r="B879" s="38"/>
      <c r="C879" s="218" t="s">
        <v>1619</v>
      </c>
      <c r="D879" s="218" t="s">
        <v>159</v>
      </c>
      <c r="E879" s="219" t="s">
        <v>1620</v>
      </c>
      <c r="F879" s="220" t="s">
        <v>1621</v>
      </c>
      <c r="G879" s="221" t="s">
        <v>216</v>
      </c>
      <c r="H879" s="222">
        <v>346.94799999999998</v>
      </c>
      <c r="I879" s="223"/>
      <c r="J879" s="224">
        <f>ROUND(I879*H879,0)</f>
        <v>0</v>
      </c>
      <c r="K879" s="225"/>
      <c r="L879" s="43"/>
      <c r="M879" s="226" t="s">
        <v>1</v>
      </c>
      <c r="N879" s="227" t="s">
        <v>42</v>
      </c>
      <c r="O879" s="90"/>
      <c r="P879" s="228">
        <f>O879*H879</f>
        <v>0</v>
      </c>
      <c r="Q879" s="228">
        <v>9.0000000000000006E-05</v>
      </c>
      <c r="R879" s="228">
        <f>Q879*H879</f>
        <v>0.031225320000000001</v>
      </c>
      <c r="S879" s="228">
        <v>0</v>
      </c>
      <c r="T879" s="229">
        <f>S879*H879</f>
        <v>0</v>
      </c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R879" s="230" t="s">
        <v>246</v>
      </c>
      <c r="AT879" s="230" t="s">
        <v>159</v>
      </c>
      <c r="AU879" s="230" t="s">
        <v>86</v>
      </c>
      <c r="AY879" s="16" t="s">
        <v>157</v>
      </c>
      <c r="BE879" s="231">
        <f>IF(N879="základní",J879,0)</f>
        <v>0</v>
      </c>
      <c r="BF879" s="231">
        <f>IF(N879="snížená",J879,0)</f>
        <v>0</v>
      </c>
      <c r="BG879" s="231">
        <f>IF(N879="zákl. přenesená",J879,0)</f>
        <v>0</v>
      </c>
      <c r="BH879" s="231">
        <f>IF(N879="sníž. přenesená",J879,0)</f>
        <v>0</v>
      </c>
      <c r="BI879" s="231">
        <f>IF(N879="nulová",J879,0)</f>
        <v>0</v>
      </c>
      <c r="BJ879" s="16" t="s">
        <v>8</v>
      </c>
      <c r="BK879" s="231">
        <f>ROUND(I879*H879,0)</f>
        <v>0</v>
      </c>
      <c r="BL879" s="16" t="s">
        <v>246</v>
      </c>
      <c r="BM879" s="230" t="s">
        <v>1622</v>
      </c>
    </row>
    <row r="880" s="13" customFormat="1">
      <c r="A880" s="13"/>
      <c r="B880" s="232"/>
      <c r="C880" s="233"/>
      <c r="D880" s="234" t="s">
        <v>165</v>
      </c>
      <c r="E880" s="235" t="s">
        <v>1</v>
      </c>
      <c r="F880" s="236" t="s">
        <v>1623</v>
      </c>
      <c r="G880" s="233"/>
      <c r="H880" s="237">
        <v>346.94799999999998</v>
      </c>
      <c r="I880" s="238"/>
      <c r="J880" s="233"/>
      <c r="K880" s="233"/>
      <c r="L880" s="239"/>
      <c r="M880" s="240"/>
      <c r="N880" s="241"/>
      <c r="O880" s="241"/>
      <c r="P880" s="241"/>
      <c r="Q880" s="241"/>
      <c r="R880" s="241"/>
      <c r="S880" s="241"/>
      <c r="T880" s="242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T880" s="243" t="s">
        <v>165</v>
      </c>
      <c r="AU880" s="243" t="s">
        <v>86</v>
      </c>
      <c r="AV880" s="13" t="s">
        <v>86</v>
      </c>
      <c r="AW880" s="13" t="s">
        <v>32</v>
      </c>
      <c r="AX880" s="13" t="s">
        <v>77</v>
      </c>
      <c r="AY880" s="243" t="s">
        <v>157</v>
      </c>
    </row>
    <row r="881" s="2" customFormat="1" ht="24.15" customHeight="1">
      <c r="A881" s="37"/>
      <c r="B881" s="38"/>
      <c r="C881" s="218" t="s">
        <v>1624</v>
      </c>
      <c r="D881" s="218" t="s">
        <v>159</v>
      </c>
      <c r="E881" s="219" t="s">
        <v>1625</v>
      </c>
      <c r="F881" s="220" t="s">
        <v>1626</v>
      </c>
      <c r="G881" s="221" t="s">
        <v>193</v>
      </c>
      <c r="H881" s="222">
        <v>34.253999999999998</v>
      </c>
      <c r="I881" s="223"/>
      <c r="J881" s="224">
        <f>ROUND(I881*H881,0)</f>
        <v>0</v>
      </c>
      <c r="K881" s="225"/>
      <c r="L881" s="43"/>
      <c r="M881" s="226" t="s">
        <v>1</v>
      </c>
      <c r="N881" s="227" t="s">
        <v>42</v>
      </c>
      <c r="O881" s="90"/>
      <c r="P881" s="228">
        <f>O881*H881</f>
        <v>0</v>
      </c>
      <c r="Q881" s="228">
        <v>0</v>
      </c>
      <c r="R881" s="228">
        <f>Q881*H881</f>
        <v>0</v>
      </c>
      <c r="S881" s="228">
        <v>0</v>
      </c>
      <c r="T881" s="229">
        <f>S881*H881</f>
        <v>0</v>
      </c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R881" s="230" t="s">
        <v>246</v>
      </c>
      <c r="AT881" s="230" t="s">
        <v>159</v>
      </c>
      <c r="AU881" s="230" t="s">
        <v>86</v>
      </c>
      <c r="AY881" s="16" t="s">
        <v>157</v>
      </c>
      <c r="BE881" s="231">
        <f>IF(N881="základní",J881,0)</f>
        <v>0</v>
      </c>
      <c r="BF881" s="231">
        <f>IF(N881="snížená",J881,0)</f>
        <v>0</v>
      </c>
      <c r="BG881" s="231">
        <f>IF(N881="zákl. přenesená",J881,0)</f>
        <v>0</v>
      </c>
      <c r="BH881" s="231">
        <f>IF(N881="sníž. přenesená",J881,0)</f>
        <v>0</v>
      </c>
      <c r="BI881" s="231">
        <f>IF(N881="nulová",J881,0)</f>
        <v>0</v>
      </c>
      <c r="BJ881" s="16" t="s">
        <v>8</v>
      </c>
      <c r="BK881" s="231">
        <f>ROUND(I881*H881,0)</f>
        <v>0</v>
      </c>
      <c r="BL881" s="16" t="s">
        <v>246</v>
      </c>
      <c r="BM881" s="230" t="s">
        <v>1627</v>
      </c>
    </row>
    <row r="882" s="12" customFormat="1" ht="22.8" customHeight="1">
      <c r="A882" s="12"/>
      <c r="B882" s="202"/>
      <c r="C882" s="203"/>
      <c r="D882" s="204" t="s">
        <v>76</v>
      </c>
      <c r="E882" s="216" t="s">
        <v>1628</v>
      </c>
      <c r="F882" s="216" t="s">
        <v>1629</v>
      </c>
      <c r="G882" s="203"/>
      <c r="H882" s="203"/>
      <c r="I882" s="206"/>
      <c r="J882" s="217">
        <f>BK882</f>
        <v>0</v>
      </c>
      <c r="K882" s="203"/>
      <c r="L882" s="208"/>
      <c r="M882" s="209"/>
      <c r="N882" s="210"/>
      <c r="O882" s="210"/>
      <c r="P882" s="211">
        <f>SUM(P883:P885)</f>
        <v>0</v>
      </c>
      <c r="Q882" s="210"/>
      <c r="R882" s="211">
        <f>SUM(R883:R885)</f>
        <v>0.018980219999999999</v>
      </c>
      <c r="S882" s="210"/>
      <c r="T882" s="212">
        <f>SUM(T883:T885)</f>
        <v>0</v>
      </c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R882" s="213" t="s">
        <v>86</v>
      </c>
      <c r="AT882" s="214" t="s">
        <v>76</v>
      </c>
      <c r="AU882" s="214" t="s">
        <v>8</v>
      </c>
      <c r="AY882" s="213" t="s">
        <v>157</v>
      </c>
      <c r="BK882" s="215">
        <f>SUM(BK883:BK885)</f>
        <v>0</v>
      </c>
    </row>
    <row r="883" s="2" customFormat="1" ht="24.15" customHeight="1">
      <c r="A883" s="37"/>
      <c r="B883" s="38"/>
      <c r="C883" s="218" t="s">
        <v>1630</v>
      </c>
      <c r="D883" s="218" t="s">
        <v>159</v>
      </c>
      <c r="E883" s="219" t="s">
        <v>1631</v>
      </c>
      <c r="F883" s="220" t="s">
        <v>1632</v>
      </c>
      <c r="G883" s="221" t="s">
        <v>209</v>
      </c>
      <c r="H883" s="222">
        <v>135.57300000000001</v>
      </c>
      <c r="I883" s="223"/>
      <c r="J883" s="224">
        <f>ROUND(I883*H883,0)</f>
        <v>0</v>
      </c>
      <c r="K883" s="225"/>
      <c r="L883" s="43"/>
      <c r="M883" s="226" t="s">
        <v>1</v>
      </c>
      <c r="N883" s="227" t="s">
        <v>42</v>
      </c>
      <c r="O883" s="90"/>
      <c r="P883" s="228">
        <f>O883*H883</f>
        <v>0</v>
      </c>
      <c r="Q883" s="228">
        <v>0.00013999999999999999</v>
      </c>
      <c r="R883" s="228">
        <f>Q883*H883</f>
        <v>0.018980219999999999</v>
      </c>
      <c r="S883" s="228">
        <v>0</v>
      </c>
      <c r="T883" s="229">
        <f>S883*H883</f>
        <v>0</v>
      </c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R883" s="230" t="s">
        <v>246</v>
      </c>
      <c r="AT883" s="230" t="s">
        <v>159</v>
      </c>
      <c r="AU883" s="230" t="s">
        <v>86</v>
      </c>
      <c r="AY883" s="16" t="s">
        <v>157</v>
      </c>
      <c r="BE883" s="231">
        <f>IF(N883="základní",J883,0)</f>
        <v>0</v>
      </c>
      <c r="BF883" s="231">
        <f>IF(N883="snížená",J883,0)</f>
        <v>0</v>
      </c>
      <c r="BG883" s="231">
        <f>IF(N883="zákl. přenesená",J883,0)</f>
        <v>0</v>
      </c>
      <c r="BH883" s="231">
        <f>IF(N883="sníž. přenesená",J883,0)</f>
        <v>0</v>
      </c>
      <c r="BI883" s="231">
        <f>IF(N883="nulová",J883,0)</f>
        <v>0</v>
      </c>
      <c r="BJ883" s="16" t="s">
        <v>8</v>
      </c>
      <c r="BK883" s="231">
        <f>ROUND(I883*H883,0)</f>
        <v>0</v>
      </c>
      <c r="BL883" s="16" t="s">
        <v>246</v>
      </c>
      <c r="BM883" s="230" t="s">
        <v>1633</v>
      </c>
    </row>
    <row r="884" s="13" customFormat="1">
      <c r="A884" s="13"/>
      <c r="B884" s="232"/>
      <c r="C884" s="233"/>
      <c r="D884" s="234" t="s">
        <v>165</v>
      </c>
      <c r="E884" s="235" t="s">
        <v>1</v>
      </c>
      <c r="F884" s="236" t="s">
        <v>1634</v>
      </c>
      <c r="G884" s="233"/>
      <c r="H884" s="237">
        <v>135.57300000000001</v>
      </c>
      <c r="I884" s="238"/>
      <c r="J884" s="233"/>
      <c r="K884" s="233"/>
      <c r="L884" s="239"/>
      <c r="M884" s="240"/>
      <c r="N884" s="241"/>
      <c r="O884" s="241"/>
      <c r="P884" s="241"/>
      <c r="Q884" s="241"/>
      <c r="R884" s="241"/>
      <c r="S884" s="241"/>
      <c r="T884" s="242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T884" s="243" t="s">
        <v>165</v>
      </c>
      <c r="AU884" s="243" t="s">
        <v>86</v>
      </c>
      <c r="AV884" s="13" t="s">
        <v>86</v>
      </c>
      <c r="AW884" s="13" t="s">
        <v>32</v>
      </c>
      <c r="AX884" s="13" t="s">
        <v>77</v>
      </c>
      <c r="AY884" s="243" t="s">
        <v>157</v>
      </c>
    </row>
    <row r="885" s="2" customFormat="1" ht="16.5" customHeight="1">
      <c r="A885" s="37"/>
      <c r="B885" s="38"/>
      <c r="C885" s="218" t="s">
        <v>1635</v>
      </c>
      <c r="D885" s="218" t="s">
        <v>159</v>
      </c>
      <c r="E885" s="219" t="s">
        <v>1636</v>
      </c>
      <c r="F885" s="220" t="s">
        <v>1637</v>
      </c>
      <c r="G885" s="221" t="s">
        <v>407</v>
      </c>
      <c r="H885" s="222">
        <v>1</v>
      </c>
      <c r="I885" s="223"/>
      <c r="J885" s="224">
        <f>ROUND(I885*H885,0)</f>
        <v>0</v>
      </c>
      <c r="K885" s="225"/>
      <c r="L885" s="43"/>
      <c r="M885" s="226" t="s">
        <v>1</v>
      </c>
      <c r="N885" s="227" t="s">
        <v>42</v>
      </c>
      <c r="O885" s="90"/>
      <c r="P885" s="228">
        <f>O885*H885</f>
        <v>0</v>
      </c>
      <c r="Q885" s="228">
        <v>0</v>
      </c>
      <c r="R885" s="228">
        <f>Q885*H885</f>
        <v>0</v>
      </c>
      <c r="S885" s="228">
        <v>0</v>
      </c>
      <c r="T885" s="229">
        <f>S885*H885</f>
        <v>0</v>
      </c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R885" s="230" t="s">
        <v>246</v>
      </c>
      <c r="AT885" s="230" t="s">
        <v>159</v>
      </c>
      <c r="AU885" s="230" t="s">
        <v>86</v>
      </c>
      <c r="AY885" s="16" t="s">
        <v>157</v>
      </c>
      <c r="BE885" s="231">
        <f>IF(N885="základní",J885,0)</f>
        <v>0</v>
      </c>
      <c r="BF885" s="231">
        <f>IF(N885="snížená",J885,0)</f>
        <v>0</v>
      </c>
      <c r="BG885" s="231">
        <f>IF(N885="zákl. přenesená",J885,0)</f>
        <v>0</v>
      </c>
      <c r="BH885" s="231">
        <f>IF(N885="sníž. přenesená",J885,0)</f>
        <v>0</v>
      </c>
      <c r="BI885" s="231">
        <f>IF(N885="nulová",J885,0)</f>
        <v>0</v>
      </c>
      <c r="BJ885" s="16" t="s">
        <v>8</v>
      </c>
      <c r="BK885" s="231">
        <f>ROUND(I885*H885,0)</f>
        <v>0</v>
      </c>
      <c r="BL885" s="16" t="s">
        <v>246</v>
      </c>
      <c r="BM885" s="230" t="s">
        <v>1638</v>
      </c>
    </row>
    <row r="886" s="12" customFormat="1" ht="22.8" customHeight="1">
      <c r="A886" s="12"/>
      <c r="B886" s="202"/>
      <c r="C886" s="203"/>
      <c r="D886" s="204" t="s">
        <v>76</v>
      </c>
      <c r="E886" s="216" t="s">
        <v>1639</v>
      </c>
      <c r="F886" s="216" t="s">
        <v>1640</v>
      </c>
      <c r="G886" s="203"/>
      <c r="H886" s="203"/>
      <c r="I886" s="206"/>
      <c r="J886" s="217">
        <f>BK886</f>
        <v>0</v>
      </c>
      <c r="K886" s="203"/>
      <c r="L886" s="208"/>
      <c r="M886" s="209"/>
      <c r="N886" s="210"/>
      <c r="O886" s="210"/>
      <c r="P886" s="211">
        <f>SUM(P887:P891)</f>
        <v>0</v>
      </c>
      <c r="Q886" s="210"/>
      <c r="R886" s="211">
        <f>SUM(R887:R891)</f>
        <v>1.7788512600000002</v>
      </c>
      <c r="S886" s="210"/>
      <c r="T886" s="212">
        <f>SUM(T887:T891)</f>
        <v>0</v>
      </c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R886" s="213" t="s">
        <v>86</v>
      </c>
      <c r="AT886" s="214" t="s">
        <v>76</v>
      </c>
      <c r="AU886" s="214" t="s">
        <v>8</v>
      </c>
      <c r="AY886" s="213" t="s">
        <v>157</v>
      </c>
      <c r="BK886" s="215">
        <f>SUM(BK887:BK891)</f>
        <v>0</v>
      </c>
    </row>
    <row r="887" s="2" customFormat="1" ht="24.15" customHeight="1">
      <c r="A887" s="37"/>
      <c r="B887" s="38"/>
      <c r="C887" s="218" t="s">
        <v>1641</v>
      </c>
      <c r="D887" s="218" t="s">
        <v>159</v>
      </c>
      <c r="E887" s="219" t="s">
        <v>1642</v>
      </c>
      <c r="F887" s="220" t="s">
        <v>1643</v>
      </c>
      <c r="G887" s="221" t="s">
        <v>209</v>
      </c>
      <c r="H887" s="222">
        <v>3294.1689999999999</v>
      </c>
      <c r="I887" s="223"/>
      <c r="J887" s="224">
        <f>ROUND(I887*H887,0)</f>
        <v>0</v>
      </c>
      <c r="K887" s="225"/>
      <c r="L887" s="43"/>
      <c r="M887" s="226" t="s">
        <v>1</v>
      </c>
      <c r="N887" s="227" t="s">
        <v>42</v>
      </c>
      <c r="O887" s="90"/>
      <c r="P887" s="228">
        <f>O887*H887</f>
        <v>0</v>
      </c>
      <c r="Q887" s="228">
        <v>0.00021000000000000001</v>
      </c>
      <c r="R887" s="228">
        <f>Q887*H887</f>
        <v>0.69177549000000005</v>
      </c>
      <c r="S887" s="228">
        <v>0</v>
      </c>
      <c r="T887" s="229">
        <f>S887*H887</f>
        <v>0</v>
      </c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R887" s="230" t="s">
        <v>246</v>
      </c>
      <c r="AT887" s="230" t="s">
        <v>159</v>
      </c>
      <c r="AU887" s="230" t="s">
        <v>86</v>
      </c>
      <c r="AY887" s="16" t="s">
        <v>157</v>
      </c>
      <c r="BE887" s="231">
        <f>IF(N887="základní",J887,0)</f>
        <v>0</v>
      </c>
      <c r="BF887" s="231">
        <f>IF(N887="snížená",J887,0)</f>
        <v>0</v>
      </c>
      <c r="BG887" s="231">
        <f>IF(N887="zákl. přenesená",J887,0)</f>
        <v>0</v>
      </c>
      <c r="BH887" s="231">
        <f>IF(N887="sníž. přenesená",J887,0)</f>
        <v>0</v>
      </c>
      <c r="BI887" s="231">
        <f>IF(N887="nulová",J887,0)</f>
        <v>0</v>
      </c>
      <c r="BJ887" s="16" t="s">
        <v>8</v>
      </c>
      <c r="BK887" s="231">
        <f>ROUND(I887*H887,0)</f>
        <v>0</v>
      </c>
      <c r="BL887" s="16" t="s">
        <v>246</v>
      </c>
      <c r="BM887" s="230" t="s">
        <v>1644</v>
      </c>
    </row>
    <row r="888" s="13" customFormat="1">
      <c r="A888" s="13"/>
      <c r="B888" s="232"/>
      <c r="C888" s="233"/>
      <c r="D888" s="234" t="s">
        <v>165</v>
      </c>
      <c r="E888" s="235" t="s">
        <v>1</v>
      </c>
      <c r="F888" s="236" t="s">
        <v>1645</v>
      </c>
      <c r="G888" s="233"/>
      <c r="H888" s="237">
        <v>405.95499999999998</v>
      </c>
      <c r="I888" s="238"/>
      <c r="J888" s="233"/>
      <c r="K888" s="233"/>
      <c r="L888" s="239"/>
      <c r="M888" s="240"/>
      <c r="N888" s="241"/>
      <c r="O888" s="241"/>
      <c r="P888" s="241"/>
      <c r="Q888" s="241"/>
      <c r="R888" s="241"/>
      <c r="S888" s="241"/>
      <c r="T888" s="242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T888" s="243" t="s">
        <v>165</v>
      </c>
      <c r="AU888" s="243" t="s">
        <v>86</v>
      </c>
      <c r="AV888" s="13" t="s">
        <v>86</v>
      </c>
      <c r="AW888" s="13" t="s">
        <v>32</v>
      </c>
      <c r="AX888" s="13" t="s">
        <v>77</v>
      </c>
      <c r="AY888" s="243" t="s">
        <v>157</v>
      </c>
    </row>
    <row r="889" s="13" customFormat="1">
      <c r="A889" s="13"/>
      <c r="B889" s="232"/>
      <c r="C889" s="233"/>
      <c r="D889" s="234" t="s">
        <v>165</v>
      </c>
      <c r="E889" s="235" t="s">
        <v>1</v>
      </c>
      <c r="F889" s="236" t="s">
        <v>1646</v>
      </c>
      <c r="G889" s="233"/>
      <c r="H889" s="237">
        <v>4028.4140000000002</v>
      </c>
      <c r="I889" s="238"/>
      <c r="J889" s="233"/>
      <c r="K889" s="233"/>
      <c r="L889" s="239"/>
      <c r="M889" s="240"/>
      <c r="N889" s="241"/>
      <c r="O889" s="241"/>
      <c r="P889" s="241"/>
      <c r="Q889" s="241"/>
      <c r="R889" s="241"/>
      <c r="S889" s="241"/>
      <c r="T889" s="242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T889" s="243" t="s">
        <v>165</v>
      </c>
      <c r="AU889" s="243" t="s">
        <v>86</v>
      </c>
      <c r="AV889" s="13" t="s">
        <v>86</v>
      </c>
      <c r="AW889" s="13" t="s">
        <v>32</v>
      </c>
      <c r="AX889" s="13" t="s">
        <v>77</v>
      </c>
      <c r="AY889" s="243" t="s">
        <v>157</v>
      </c>
    </row>
    <row r="890" s="13" customFormat="1">
      <c r="A890" s="13"/>
      <c r="B890" s="232"/>
      <c r="C890" s="233"/>
      <c r="D890" s="234" t="s">
        <v>165</v>
      </c>
      <c r="E890" s="235" t="s">
        <v>1</v>
      </c>
      <c r="F890" s="236" t="s">
        <v>1647</v>
      </c>
      <c r="G890" s="233"/>
      <c r="H890" s="237">
        <v>-1140.2000000000001</v>
      </c>
      <c r="I890" s="238"/>
      <c r="J890" s="233"/>
      <c r="K890" s="233"/>
      <c r="L890" s="239"/>
      <c r="M890" s="240"/>
      <c r="N890" s="241"/>
      <c r="O890" s="241"/>
      <c r="P890" s="241"/>
      <c r="Q890" s="241"/>
      <c r="R890" s="241"/>
      <c r="S890" s="241"/>
      <c r="T890" s="242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T890" s="243" t="s">
        <v>165</v>
      </c>
      <c r="AU890" s="243" t="s">
        <v>86</v>
      </c>
      <c r="AV890" s="13" t="s">
        <v>86</v>
      </c>
      <c r="AW890" s="13" t="s">
        <v>32</v>
      </c>
      <c r="AX890" s="13" t="s">
        <v>77</v>
      </c>
      <c r="AY890" s="243" t="s">
        <v>157</v>
      </c>
    </row>
    <row r="891" s="2" customFormat="1" ht="24.15" customHeight="1">
      <c r="A891" s="37"/>
      <c r="B891" s="38"/>
      <c r="C891" s="218" t="s">
        <v>1648</v>
      </c>
      <c r="D891" s="218" t="s">
        <v>159</v>
      </c>
      <c r="E891" s="219" t="s">
        <v>1649</v>
      </c>
      <c r="F891" s="220" t="s">
        <v>1650</v>
      </c>
      <c r="G891" s="221" t="s">
        <v>209</v>
      </c>
      <c r="H891" s="222">
        <v>3294.1689999999999</v>
      </c>
      <c r="I891" s="223"/>
      <c r="J891" s="224">
        <f>ROUND(I891*H891,0)</f>
        <v>0</v>
      </c>
      <c r="K891" s="225"/>
      <c r="L891" s="43"/>
      <c r="M891" s="226" t="s">
        <v>1</v>
      </c>
      <c r="N891" s="227" t="s">
        <v>42</v>
      </c>
      <c r="O891" s="90"/>
      <c r="P891" s="228">
        <f>O891*H891</f>
        <v>0</v>
      </c>
      <c r="Q891" s="228">
        <v>0.00033</v>
      </c>
      <c r="R891" s="228">
        <f>Q891*H891</f>
        <v>1.08707577</v>
      </c>
      <c r="S891" s="228">
        <v>0</v>
      </c>
      <c r="T891" s="229">
        <f>S891*H891</f>
        <v>0</v>
      </c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R891" s="230" t="s">
        <v>246</v>
      </c>
      <c r="AT891" s="230" t="s">
        <v>159</v>
      </c>
      <c r="AU891" s="230" t="s">
        <v>86</v>
      </c>
      <c r="AY891" s="16" t="s">
        <v>157</v>
      </c>
      <c r="BE891" s="231">
        <f>IF(N891="základní",J891,0)</f>
        <v>0</v>
      </c>
      <c r="BF891" s="231">
        <f>IF(N891="snížená",J891,0)</f>
        <v>0</v>
      </c>
      <c r="BG891" s="231">
        <f>IF(N891="zákl. přenesená",J891,0)</f>
        <v>0</v>
      </c>
      <c r="BH891" s="231">
        <f>IF(N891="sníž. přenesená",J891,0)</f>
        <v>0</v>
      </c>
      <c r="BI891" s="231">
        <f>IF(N891="nulová",J891,0)</f>
        <v>0</v>
      </c>
      <c r="BJ891" s="16" t="s">
        <v>8</v>
      </c>
      <c r="BK891" s="231">
        <f>ROUND(I891*H891,0)</f>
        <v>0</v>
      </c>
      <c r="BL891" s="16" t="s">
        <v>246</v>
      </c>
      <c r="BM891" s="230" t="s">
        <v>1651</v>
      </c>
    </row>
    <row r="892" s="12" customFormat="1" ht="25.92" customHeight="1">
      <c r="A892" s="12"/>
      <c r="B892" s="202"/>
      <c r="C892" s="203"/>
      <c r="D892" s="204" t="s">
        <v>76</v>
      </c>
      <c r="E892" s="205" t="s">
        <v>229</v>
      </c>
      <c r="F892" s="205" t="s">
        <v>1652</v>
      </c>
      <c r="G892" s="203"/>
      <c r="H892" s="203"/>
      <c r="I892" s="206"/>
      <c r="J892" s="207">
        <f>BK892</f>
        <v>0</v>
      </c>
      <c r="K892" s="203"/>
      <c r="L892" s="208"/>
      <c r="M892" s="209"/>
      <c r="N892" s="210"/>
      <c r="O892" s="210"/>
      <c r="P892" s="211">
        <f>P893</f>
        <v>0</v>
      </c>
      <c r="Q892" s="210"/>
      <c r="R892" s="211">
        <f>R893</f>
        <v>0</v>
      </c>
      <c r="S892" s="210"/>
      <c r="T892" s="212">
        <f>T893</f>
        <v>0</v>
      </c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R892" s="213" t="s">
        <v>176</v>
      </c>
      <c r="AT892" s="214" t="s">
        <v>76</v>
      </c>
      <c r="AU892" s="214" t="s">
        <v>77</v>
      </c>
      <c r="AY892" s="213" t="s">
        <v>157</v>
      </c>
      <c r="BK892" s="215">
        <f>BK893</f>
        <v>0</v>
      </c>
    </row>
    <row r="893" s="12" customFormat="1" ht="22.8" customHeight="1">
      <c r="A893" s="12"/>
      <c r="B893" s="202"/>
      <c r="C893" s="203"/>
      <c r="D893" s="204" t="s">
        <v>76</v>
      </c>
      <c r="E893" s="216" t="s">
        <v>1653</v>
      </c>
      <c r="F893" s="216" t="s">
        <v>1654</v>
      </c>
      <c r="G893" s="203"/>
      <c r="H893" s="203"/>
      <c r="I893" s="206"/>
      <c r="J893" s="217">
        <f>BK893</f>
        <v>0</v>
      </c>
      <c r="K893" s="203"/>
      <c r="L893" s="208"/>
      <c r="M893" s="209"/>
      <c r="N893" s="210"/>
      <c r="O893" s="210"/>
      <c r="P893" s="211">
        <f>P894</f>
        <v>0</v>
      </c>
      <c r="Q893" s="210"/>
      <c r="R893" s="211">
        <f>R894</f>
        <v>0</v>
      </c>
      <c r="S893" s="210"/>
      <c r="T893" s="212">
        <f>T894</f>
        <v>0</v>
      </c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R893" s="213" t="s">
        <v>176</v>
      </c>
      <c r="AT893" s="214" t="s">
        <v>76</v>
      </c>
      <c r="AU893" s="214" t="s">
        <v>8</v>
      </c>
      <c r="AY893" s="213" t="s">
        <v>157</v>
      </c>
      <c r="BK893" s="215">
        <f>BK894</f>
        <v>0</v>
      </c>
    </row>
    <row r="894" s="2" customFormat="1" ht="16.5" customHeight="1">
      <c r="A894" s="37"/>
      <c r="B894" s="38"/>
      <c r="C894" s="218" t="s">
        <v>1655</v>
      </c>
      <c r="D894" s="218" t="s">
        <v>159</v>
      </c>
      <c r="E894" s="219" t="s">
        <v>1656</v>
      </c>
      <c r="F894" s="220" t="s">
        <v>1657</v>
      </c>
      <c r="G894" s="221" t="s">
        <v>353</v>
      </c>
      <c r="H894" s="222">
        <v>1</v>
      </c>
      <c r="I894" s="223"/>
      <c r="J894" s="224">
        <f>ROUND(I894*H894,0)</f>
        <v>0</v>
      </c>
      <c r="K894" s="225"/>
      <c r="L894" s="43"/>
      <c r="M894" s="266" t="s">
        <v>1</v>
      </c>
      <c r="N894" s="267" t="s">
        <v>42</v>
      </c>
      <c r="O894" s="268"/>
      <c r="P894" s="269">
        <f>O894*H894</f>
        <v>0</v>
      </c>
      <c r="Q894" s="269">
        <v>0</v>
      </c>
      <c r="R894" s="269">
        <f>Q894*H894</f>
        <v>0</v>
      </c>
      <c r="S894" s="269">
        <v>0</v>
      </c>
      <c r="T894" s="270">
        <f>S894*H894</f>
        <v>0</v>
      </c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R894" s="230" t="s">
        <v>500</v>
      </c>
      <c r="AT894" s="230" t="s">
        <v>159</v>
      </c>
      <c r="AU894" s="230" t="s">
        <v>86</v>
      </c>
      <c r="AY894" s="16" t="s">
        <v>157</v>
      </c>
      <c r="BE894" s="231">
        <f>IF(N894="základní",J894,0)</f>
        <v>0</v>
      </c>
      <c r="BF894" s="231">
        <f>IF(N894="snížená",J894,0)</f>
        <v>0</v>
      </c>
      <c r="BG894" s="231">
        <f>IF(N894="zákl. přenesená",J894,0)</f>
        <v>0</v>
      </c>
      <c r="BH894" s="231">
        <f>IF(N894="sníž. přenesená",J894,0)</f>
        <v>0</v>
      </c>
      <c r="BI894" s="231">
        <f>IF(N894="nulová",J894,0)</f>
        <v>0</v>
      </c>
      <c r="BJ894" s="16" t="s">
        <v>8</v>
      </c>
      <c r="BK894" s="231">
        <f>ROUND(I894*H894,0)</f>
        <v>0</v>
      </c>
      <c r="BL894" s="16" t="s">
        <v>500</v>
      </c>
      <c r="BM894" s="230" t="s">
        <v>1658</v>
      </c>
    </row>
    <row r="895" s="2" customFormat="1" ht="6.96" customHeight="1">
      <c r="A895" s="37"/>
      <c r="B895" s="65"/>
      <c r="C895" s="66"/>
      <c r="D895" s="66"/>
      <c r="E895" s="66"/>
      <c r="F895" s="66"/>
      <c r="G895" s="66"/>
      <c r="H895" s="66"/>
      <c r="I895" s="66"/>
      <c r="J895" s="66"/>
      <c r="K895" s="66"/>
      <c r="L895" s="43"/>
      <c r="M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</row>
  </sheetData>
  <sheetProtection sheet="1" autoFilter="0" formatColumns="0" formatRows="0" objects="1" scenarios="1" spinCount="100000" saltValue="s2RVIKYvQxGb8bpqDaU6TzcclxpPSVCL3upsgozCjDyWWeynpIsUGVo/d1QEgzU0gBiQrPeuZde/rKcsMfU7UQ==" hashValue="XCoYdA2SwA/ccbz4AtFpCQWIQDIlO1o31BnIMsatDaPPVnU14tjdjtf5rbmOK8RbooPLTAdW0bHIVujeqDz0kg==" algorithmName="SHA-512" password="F695"/>
  <autoFilter ref="C141:K894"/>
  <mergeCells count="9">
    <mergeCell ref="E7:H7"/>
    <mergeCell ref="E9:H9"/>
    <mergeCell ref="E18:H18"/>
    <mergeCell ref="E27:H27"/>
    <mergeCell ref="E85:H85"/>
    <mergeCell ref="E87:H87"/>
    <mergeCell ref="E132:H132"/>
    <mergeCell ref="E134:H134"/>
    <mergeCell ref="L2:V2"/>
  </mergeCell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50.83203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hidden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6" t="s">
        <v>89</v>
      </c>
    </row>
    <row r="3" s="1" customFormat="1" ht="6.96" customHeight="1">
      <c r="B3" s="135"/>
      <c r="C3" s="136"/>
      <c r="D3" s="136"/>
      <c r="E3" s="136"/>
      <c r="F3" s="136"/>
      <c r="G3" s="136"/>
      <c r="H3" s="136"/>
      <c r="I3" s="136"/>
      <c r="J3" s="136"/>
      <c r="K3" s="136"/>
      <c r="L3" s="19"/>
      <c r="AT3" s="16" t="s">
        <v>86</v>
      </c>
    </row>
    <row r="4" s="1" customFormat="1" ht="24.96" customHeight="1">
      <c r="B4" s="19"/>
      <c r="D4" s="137" t="s">
        <v>108</v>
      </c>
      <c r="L4" s="19"/>
      <c r="M4" s="138" t="s">
        <v>11</v>
      </c>
      <c r="AT4" s="16" t="s">
        <v>4</v>
      </c>
    </row>
    <row r="5" s="1" customFormat="1" ht="6.96" customHeight="1">
      <c r="B5" s="19"/>
      <c r="L5" s="19"/>
    </row>
    <row r="6" s="1" customFormat="1" ht="12" customHeight="1">
      <c r="B6" s="19"/>
      <c r="D6" s="139" t="s">
        <v>17</v>
      </c>
      <c r="L6" s="19"/>
    </row>
    <row r="7" s="1" customFormat="1" ht="16.5" customHeight="1">
      <c r="B7" s="19"/>
      <c r="E7" s="140" t="str">
        <f>'Rekapitulace stavby'!K6</f>
        <v>Areál společnosti FORESTINA s.r.o. Horažďovice, Blatenská 587</v>
      </c>
      <c r="F7" s="139"/>
      <c r="G7" s="139"/>
      <c r="H7" s="139"/>
      <c r="L7" s="19"/>
    </row>
    <row r="8" s="2" customFormat="1" ht="12" customHeight="1">
      <c r="A8" s="37"/>
      <c r="B8" s="43"/>
      <c r="C8" s="37"/>
      <c r="D8" s="139" t="s">
        <v>109</v>
      </c>
      <c r="E8" s="37"/>
      <c r="F8" s="37"/>
      <c r="G8" s="37"/>
      <c r="H8" s="37"/>
      <c r="I8" s="37"/>
      <c r="J8" s="37"/>
      <c r="K8" s="37"/>
      <c r="L8" s="62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</row>
    <row r="9" s="2" customFormat="1" ht="16.5" customHeight="1">
      <c r="A9" s="37"/>
      <c r="B9" s="43"/>
      <c r="C9" s="37"/>
      <c r="D9" s="37"/>
      <c r="E9" s="141" t="s">
        <v>1659</v>
      </c>
      <c r="F9" s="37"/>
      <c r="G9" s="37"/>
      <c r="H9" s="37"/>
      <c r="I9" s="37"/>
      <c r="J9" s="37"/>
      <c r="K9" s="37"/>
      <c r="L9" s="62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</row>
    <row r="10" s="2" customFormat="1">
      <c r="A10" s="37"/>
      <c r="B10" s="43"/>
      <c r="C10" s="37"/>
      <c r="D10" s="37"/>
      <c r="E10" s="37"/>
      <c r="F10" s="37"/>
      <c r="G10" s="37"/>
      <c r="H10" s="37"/>
      <c r="I10" s="37"/>
      <c r="J10" s="37"/>
      <c r="K10" s="37"/>
      <c r="L10" s="62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</row>
    <row r="11" s="2" customFormat="1" ht="12" customHeight="1">
      <c r="A11" s="37"/>
      <c r="B11" s="43"/>
      <c r="C11" s="37"/>
      <c r="D11" s="139" t="s">
        <v>19</v>
      </c>
      <c r="E11" s="37"/>
      <c r="F11" s="142" t="s">
        <v>1</v>
      </c>
      <c r="G11" s="37"/>
      <c r="H11" s="37"/>
      <c r="I11" s="139" t="s">
        <v>20</v>
      </c>
      <c r="J11" s="142" t="s">
        <v>1</v>
      </c>
      <c r="K11" s="37"/>
      <c r="L11" s="62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</row>
    <row r="12" s="2" customFormat="1" ht="12" customHeight="1">
      <c r="A12" s="37"/>
      <c r="B12" s="43"/>
      <c r="C12" s="37"/>
      <c r="D12" s="139" t="s">
        <v>21</v>
      </c>
      <c r="E12" s="37"/>
      <c r="F12" s="142" t="s">
        <v>22</v>
      </c>
      <c r="G12" s="37"/>
      <c r="H12" s="37"/>
      <c r="I12" s="139" t="s">
        <v>23</v>
      </c>
      <c r="J12" s="143" t="str">
        <f>'Rekapitulace stavby'!AN8</f>
        <v>26. 11. 2025</v>
      </c>
      <c r="K12" s="37"/>
      <c r="L12" s="62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</row>
    <row r="13" s="2" customFormat="1" ht="10.8" customHeight="1">
      <c r="A13" s="37"/>
      <c r="B13" s="43"/>
      <c r="C13" s="37"/>
      <c r="D13" s="37"/>
      <c r="E13" s="37"/>
      <c r="F13" s="37"/>
      <c r="G13" s="37"/>
      <c r="H13" s="37"/>
      <c r="I13" s="37"/>
      <c r="J13" s="37"/>
      <c r="K13" s="37"/>
      <c r="L13" s="62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</row>
    <row r="14" s="2" customFormat="1" ht="12" customHeight="1">
      <c r="A14" s="37"/>
      <c r="B14" s="43"/>
      <c r="C14" s="37"/>
      <c r="D14" s="139" t="s">
        <v>25</v>
      </c>
      <c r="E14" s="37"/>
      <c r="F14" s="37"/>
      <c r="G14" s="37"/>
      <c r="H14" s="37"/>
      <c r="I14" s="139" t="s">
        <v>26</v>
      </c>
      <c r="J14" s="142" t="s">
        <v>1</v>
      </c>
      <c r="K14" s="37"/>
      <c r="L14" s="62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</row>
    <row r="15" s="2" customFormat="1" ht="18" customHeight="1">
      <c r="A15" s="37"/>
      <c r="B15" s="43"/>
      <c r="C15" s="37"/>
      <c r="D15" s="37"/>
      <c r="E15" s="142" t="s">
        <v>27</v>
      </c>
      <c r="F15" s="37"/>
      <c r="G15" s="37"/>
      <c r="H15" s="37"/>
      <c r="I15" s="139" t="s">
        <v>28</v>
      </c>
      <c r="J15" s="142" t="s">
        <v>1</v>
      </c>
      <c r="K15" s="37"/>
      <c r="L15" s="62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</row>
    <row r="16" s="2" customFormat="1" ht="6.96" customHeight="1">
      <c r="A16" s="37"/>
      <c r="B16" s="43"/>
      <c r="C16" s="37"/>
      <c r="D16" s="37"/>
      <c r="E16" s="37"/>
      <c r="F16" s="37"/>
      <c r="G16" s="37"/>
      <c r="H16" s="37"/>
      <c r="I16" s="37"/>
      <c r="J16" s="37"/>
      <c r="K16" s="37"/>
      <c r="L16" s="62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</row>
    <row r="17" s="2" customFormat="1" ht="12" customHeight="1">
      <c r="A17" s="37"/>
      <c r="B17" s="43"/>
      <c r="C17" s="37"/>
      <c r="D17" s="139" t="s">
        <v>29</v>
      </c>
      <c r="E17" s="37"/>
      <c r="F17" s="37"/>
      <c r="G17" s="37"/>
      <c r="H17" s="37"/>
      <c r="I17" s="139" t="s">
        <v>26</v>
      </c>
      <c r="J17" s="32" t="str">
        <f>'Rekapitulace stavby'!AN13</f>
        <v>Vyplň údaj</v>
      </c>
      <c r="K17" s="37"/>
      <c r="L17" s="62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</row>
    <row r="18" s="2" customFormat="1" ht="18" customHeight="1">
      <c r="A18" s="37"/>
      <c r="B18" s="43"/>
      <c r="C18" s="37"/>
      <c r="D18" s="37"/>
      <c r="E18" s="32" t="str">
        <f>'Rekapitulace stavby'!E14</f>
        <v>Vyplň údaj</v>
      </c>
      <c r="F18" s="142"/>
      <c r="G18" s="142"/>
      <c r="H18" s="142"/>
      <c r="I18" s="139" t="s">
        <v>28</v>
      </c>
      <c r="J18" s="32" t="str">
        <f>'Rekapitulace stavby'!AN14</f>
        <v>Vyplň údaj</v>
      </c>
      <c r="K18" s="37"/>
      <c r="L18" s="62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</row>
    <row r="19" s="2" customFormat="1" ht="6.96" customHeight="1">
      <c r="A19" s="37"/>
      <c r="B19" s="43"/>
      <c r="C19" s="37"/>
      <c r="D19" s="37"/>
      <c r="E19" s="37"/>
      <c r="F19" s="37"/>
      <c r="G19" s="37"/>
      <c r="H19" s="37"/>
      <c r="I19" s="37"/>
      <c r="J19" s="37"/>
      <c r="K19" s="37"/>
      <c r="L19" s="62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</row>
    <row r="20" s="2" customFormat="1" ht="12" customHeight="1">
      <c r="A20" s="37"/>
      <c r="B20" s="43"/>
      <c r="C20" s="37"/>
      <c r="D20" s="139" t="s">
        <v>31</v>
      </c>
      <c r="E20" s="37"/>
      <c r="F20" s="37"/>
      <c r="G20" s="37"/>
      <c r="H20" s="37"/>
      <c r="I20" s="139" t="s">
        <v>26</v>
      </c>
      <c r="J20" s="142" t="s">
        <v>1</v>
      </c>
      <c r="K20" s="37"/>
      <c r="L20" s="62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</row>
    <row r="21" s="2" customFormat="1" ht="18" customHeight="1">
      <c r="A21" s="37"/>
      <c r="B21" s="43"/>
      <c r="C21" s="37"/>
      <c r="D21" s="37"/>
      <c r="E21" s="142" t="s">
        <v>33</v>
      </c>
      <c r="F21" s="37"/>
      <c r="G21" s="37"/>
      <c r="H21" s="37"/>
      <c r="I21" s="139" t="s">
        <v>28</v>
      </c>
      <c r="J21" s="142" t="s">
        <v>1</v>
      </c>
      <c r="K21" s="37"/>
      <c r="L21" s="62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</row>
    <row r="22" s="2" customFormat="1" ht="6.96" customHeight="1">
      <c r="A22" s="37"/>
      <c r="B22" s="43"/>
      <c r="C22" s="37"/>
      <c r="D22" s="37"/>
      <c r="E22" s="37"/>
      <c r="F22" s="37"/>
      <c r="G22" s="37"/>
      <c r="H22" s="37"/>
      <c r="I22" s="37"/>
      <c r="J22" s="37"/>
      <c r="K22" s="37"/>
      <c r="L22" s="62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</row>
    <row r="23" s="2" customFormat="1" ht="12" customHeight="1">
      <c r="A23" s="37"/>
      <c r="B23" s="43"/>
      <c r="C23" s="37"/>
      <c r="D23" s="139" t="s">
        <v>34</v>
      </c>
      <c r="E23" s="37"/>
      <c r="F23" s="37"/>
      <c r="G23" s="37"/>
      <c r="H23" s="37"/>
      <c r="I23" s="139" t="s">
        <v>26</v>
      </c>
      <c r="J23" s="142" t="s">
        <v>1</v>
      </c>
      <c r="K23" s="37"/>
      <c r="L23" s="62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</row>
    <row r="24" s="2" customFormat="1" ht="18" customHeight="1">
      <c r="A24" s="37"/>
      <c r="B24" s="43"/>
      <c r="C24" s="37"/>
      <c r="D24" s="37"/>
      <c r="E24" s="142" t="s">
        <v>35</v>
      </c>
      <c r="F24" s="37"/>
      <c r="G24" s="37"/>
      <c r="H24" s="37"/>
      <c r="I24" s="139" t="s">
        <v>28</v>
      </c>
      <c r="J24" s="142" t="s">
        <v>1</v>
      </c>
      <c r="K24" s="37"/>
      <c r="L24" s="62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</row>
    <row r="25" s="2" customFormat="1" ht="6.96" customHeight="1">
      <c r="A25" s="37"/>
      <c r="B25" s="43"/>
      <c r="C25" s="37"/>
      <c r="D25" s="37"/>
      <c r="E25" s="37"/>
      <c r="F25" s="37"/>
      <c r="G25" s="37"/>
      <c r="H25" s="37"/>
      <c r="I25" s="37"/>
      <c r="J25" s="37"/>
      <c r="K25" s="37"/>
      <c r="L25" s="62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</row>
    <row r="26" s="2" customFormat="1" ht="12" customHeight="1">
      <c r="A26" s="37"/>
      <c r="B26" s="43"/>
      <c r="C26" s="37"/>
      <c r="D26" s="139" t="s">
        <v>36</v>
      </c>
      <c r="E26" s="37"/>
      <c r="F26" s="37"/>
      <c r="G26" s="37"/>
      <c r="H26" s="37"/>
      <c r="I26" s="37"/>
      <c r="J26" s="37"/>
      <c r="K26" s="37"/>
      <c r="L26" s="62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</row>
    <row r="27" s="8" customFormat="1" ht="16.5" customHeight="1">
      <c r="A27" s="144"/>
      <c r="B27" s="145"/>
      <c r="C27" s="144"/>
      <c r="D27" s="144"/>
      <c r="E27" s="146" t="s">
        <v>1</v>
      </c>
      <c r="F27" s="146"/>
      <c r="G27" s="146"/>
      <c r="H27" s="146"/>
      <c r="I27" s="144"/>
      <c r="J27" s="144"/>
      <c r="K27" s="144"/>
      <c r="L27" s="147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</row>
    <row r="28" s="2" customFormat="1" ht="6.96" customHeight="1">
      <c r="A28" s="37"/>
      <c r="B28" s="43"/>
      <c r="C28" s="37"/>
      <c r="D28" s="37"/>
      <c r="E28" s="37"/>
      <c r="F28" s="37"/>
      <c r="G28" s="37"/>
      <c r="H28" s="37"/>
      <c r="I28" s="37"/>
      <c r="J28" s="37"/>
      <c r="K28" s="37"/>
      <c r="L28" s="62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</row>
    <row r="29" s="2" customFormat="1" ht="6.96" customHeight="1">
      <c r="A29" s="37"/>
      <c r="B29" s="43"/>
      <c r="C29" s="37"/>
      <c r="D29" s="148"/>
      <c r="E29" s="148"/>
      <c r="F29" s="148"/>
      <c r="G29" s="148"/>
      <c r="H29" s="148"/>
      <c r="I29" s="148"/>
      <c r="J29" s="148"/>
      <c r="K29" s="148"/>
      <c r="L29" s="62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</row>
    <row r="30" s="2" customFormat="1" ht="25.44" customHeight="1">
      <c r="A30" s="37"/>
      <c r="B30" s="43"/>
      <c r="C30" s="37"/>
      <c r="D30" s="149" t="s">
        <v>37</v>
      </c>
      <c r="E30" s="37"/>
      <c r="F30" s="37"/>
      <c r="G30" s="37"/>
      <c r="H30" s="37"/>
      <c r="I30" s="37"/>
      <c r="J30" s="150">
        <f>ROUND(J132, 0)</f>
        <v>0</v>
      </c>
      <c r="K30" s="37"/>
      <c r="L30" s="62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</row>
    <row r="31" s="2" customFormat="1" ht="6.96" customHeight="1">
      <c r="A31" s="37"/>
      <c r="B31" s="43"/>
      <c r="C31" s="37"/>
      <c r="D31" s="148"/>
      <c r="E31" s="148"/>
      <c r="F31" s="148"/>
      <c r="G31" s="148"/>
      <c r="H31" s="148"/>
      <c r="I31" s="148"/>
      <c r="J31" s="148"/>
      <c r="K31" s="148"/>
      <c r="L31" s="62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</row>
    <row r="32" s="2" customFormat="1" ht="14.4" customHeight="1">
      <c r="A32" s="37"/>
      <c r="B32" s="43"/>
      <c r="C32" s="37"/>
      <c r="D32" s="37"/>
      <c r="E32" s="37"/>
      <c r="F32" s="151" t="s">
        <v>39</v>
      </c>
      <c r="G32" s="37"/>
      <c r="H32" s="37"/>
      <c r="I32" s="151" t="s">
        <v>38</v>
      </c>
      <c r="J32" s="151" t="s">
        <v>40</v>
      </c>
      <c r="K32" s="37"/>
      <c r="L32" s="62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</row>
    <row r="33" s="2" customFormat="1" ht="14.4" customHeight="1">
      <c r="A33" s="37"/>
      <c r="B33" s="43"/>
      <c r="C33" s="37"/>
      <c r="D33" s="152" t="s">
        <v>41</v>
      </c>
      <c r="E33" s="139" t="s">
        <v>42</v>
      </c>
      <c r="F33" s="153">
        <f>ROUND((SUM(BE132:BE451)),  0)</f>
        <v>0</v>
      </c>
      <c r="G33" s="37"/>
      <c r="H33" s="37"/>
      <c r="I33" s="154">
        <v>0.20999999999999999</v>
      </c>
      <c r="J33" s="153">
        <f>ROUND(((SUM(BE132:BE451))*I33),  0)</f>
        <v>0</v>
      </c>
      <c r="K33" s="37"/>
      <c r="L33" s="62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</row>
    <row r="34" s="2" customFormat="1" ht="14.4" customHeight="1">
      <c r="A34" s="37"/>
      <c r="B34" s="43"/>
      <c r="C34" s="37"/>
      <c r="D34" s="37"/>
      <c r="E34" s="139" t="s">
        <v>43</v>
      </c>
      <c r="F34" s="153">
        <f>ROUND((SUM(BF132:BF451)),  0)</f>
        <v>0</v>
      </c>
      <c r="G34" s="37"/>
      <c r="H34" s="37"/>
      <c r="I34" s="154">
        <v>0.12</v>
      </c>
      <c r="J34" s="153">
        <f>ROUND(((SUM(BF132:BF451))*I34),  0)</f>
        <v>0</v>
      </c>
      <c r="K34" s="37"/>
      <c r="L34" s="62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</row>
    <row r="35" hidden="1" s="2" customFormat="1" ht="14.4" customHeight="1">
      <c r="A35" s="37"/>
      <c r="B35" s="43"/>
      <c r="C35" s="37"/>
      <c r="D35" s="37"/>
      <c r="E35" s="139" t="s">
        <v>44</v>
      </c>
      <c r="F35" s="153">
        <f>ROUND((SUM(BG132:BG451)),  0)</f>
        <v>0</v>
      </c>
      <c r="G35" s="37"/>
      <c r="H35" s="37"/>
      <c r="I35" s="154">
        <v>0.20999999999999999</v>
      </c>
      <c r="J35" s="153">
        <f>0</f>
        <v>0</v>
      </c>
      <c r="K35" s="37"/>
      <c r="L35" s="62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</row>
    <row r="36" hidden="1" s="2" customFormat="1" ht="14.4" customHeight="1">
      <c r="A36" s="37"/>
      <c r="B36" s="43"/>
      <c r="C36" s="37"/>
      <c r="D36" s="37"/>
      <c r="E36" s="139" t="s">
        <v>45</v>
      </c>
      <c r="F36" s="153">
        <f>ROUND((SUM(BH132:BH451)),  0)</f>
        <v>0</v>
      </c>
      <c r="G36" s="37"/>
      <c r="H36" s="37"/>
      <c r="I36" s="154">
        <v>0.12</v>
      </c>
      <c r="J36" s="153">
        <f>0</f>
        <v>0</v>
      </c>
      <c r="K36" s="37"/>
      <c r="L36" s="62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</row>
    <row r="37" hidden="1" s="2" customFormat="1" ht="14.4" customHeight="1">
      <c r="A37" s="37"/>
      <c r="B37" s="43"/>
      <c r="C37" s="37"/>
      <c r="D37" s="37"/>
      <c r="E37" s="139" t="s">
        <v>46</v>
      </c>
      <c r="F37" s="153">
        <f>ROUND((SUM(BI132:BI451)),  0)</f>
        <v>0</v>
      </c>
      <c r="G37" s="37"/>
      <c r="H37" s="37"/>
      <c r="I37" s="154">
        <v>0</v>
      </c>
      <c r="J37" s="153">
        <f>0</f>
        <v>0</v>
      </c>
      <c r="K37" s="37"/>
      <c r="L37" s="62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</row>
    <row r="38" s="2" customFormat="1" ht="6.96" customHeight="1">
      <c r="A38" s="37"/>
      <c r="B38" s="43"/>
      <c r="C38" s="37"/>
      <c r="D38" s="37"/>
      <c r="E38" s="37"/>
      <c r="F38" s="37"/>
      <c r="G38" s="37"/>
      <c r="H38" s="37"/>
      <c r="I38" s="37"/>
      <c r="J38" s="37"/>
      <c r="K38" s="37"/>
      <c r="L38" s="62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</row>
    <row r="39" s="2" customFormat="1" ht="25.44" customHeight="1">
      <c r="A39" s="37"/>
      <c r="B39" s="43"/>
      <c r="C39" s="155"/>
      <c r="D39" s="156" t="s">
        <v>47</v>
      </c>
      <c r="E39" s="157"/>
      <c r="F39" s="157"/>
      <c r="G39" s="158" t="s">
        <v>48</v>
      </c>
      <c r="H39" s="159" t="s">
        <v>49</v>
      </c>
      <c r="I39" s="157"/>
      <c r="J39" s="160">
        <f>SUM(J30:J37)</f>
        <v>0</v>
      </c>
      <c r="K39" s="161"/>
      <c r="L39" s="62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</row>
    <row r="40" s="2" customFormat="1" ht="14.4" customHeight="1">
      <c r="A40" s="37"/>
      <c r="B40" s="43"/>
      <c r="C40" s="37"/>
      <c r="D40" s="37"/>
      <c r="E40" s="37"/>
      <c r="F40" s="37"/>
      <c r="G40" s="37"/>
      <c r="H40" s="37"/>
      <c r="I40" s="37"/>
      <c r="J40" s="37"/>
      <c r="K40" s="37"/>
      <c r="L40" s="62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</row>
    <row r="41" s="1" customFormat="1" ht="14.4" customHeight="1">
      <c r="B41" s="19"/>
      <c r="L41" s="19"/>
    </row>
    <row r="42" s="1" customFormat="1" ht="14.4" customHeight="1">
      <c r="B42" s="19"/>
      <c r="L42" s="19"/>
    </row>
    <row r="43" s="1" customFormat="1" ht="14.4" customHeight="1">
      <c r="B43" s="19"/>
      <c r="L43" s="19"/>
    </row>
    <row r="44" s="1" customFormat="1" ht="14.4" customHeight="1">
      <c r="B44" s="19"/>
      <c r="L44" s="19"/>
    </row>
    <row r="45" s="1" customFormat="1" ht="14.4" customHeight="1">
      <c r="B45" s="19"/>
      <c r="L45" s="19"/>
    </row>
    <row r="46" s="1" customFormat="1" ht="14.4" customHeight="1">
      <c r="B46" s="19"/>
      <c r="L46" s="19"/>
    </row>
    <row r="47" s="1" customFormat="1" ht="14.4" customHeight="1">
      <c r="B47" s="19"/>
      <c r="L47" s="19"/>
    </row>
    <row r="48" s="1" customFormat="1" ht="14.4" customHeight="1">
      <c r="B48" s="19"/>
      <c r="L48" s="19"/>
    </row>
    <row r="49" s="1" customFormat="1" ht="14.4" customHeight="1">
      <c r="B49" s="19"/>
      <c r="L49" s="19"/>
    </row>
    <row r="50" s="2" customFormat="1" ht="14.4" customHeight="1">
      <c r="B50" s="62"/>
      <c r="D50" s="162" t="s">
        <v>50</v>
      </c>
      <c r="E50" s="163"/>
      <c r="F50" s="163"/>
      <c r="G50" s="162" t="s">
        <v>51</v>
      </c>
      <c r="H50" s="163"/>
      <c r="I50" s="163"/>
      <c r="J50" s="163"/>
      <c r="K50" s="163"/>
      <c r="L50" s="62"/>
    </row>
    <row r="51">
      <c r="B51" s="19"/>
      <c r="L51" s="19"/>
    </row>
    <row r="52">
      <c r="B52" s="19"/>
      <c r="L52" s="19"/>
    </row>
    <row r="53">
      <c r="B53" s="19"/>
      <c r="L53" s="19"/>
    </row>
    <row r="54">
      <c r="B54" s="19"/>
      <c r="L54" s="19"/>
    </row>
    <row r="55">
      <c r="B55" s="19"/>
      <c r="L55" s="19"/>
    </row>
    <row r="56">
      <c r="B56" s="19"/>
      <c r="L56" s="19"/>
    </row>
    <row r="57">
      <c r="B57" s="19"/>
      <c r="L57" s="19"/>
    </row>
    <row r="58">
      <c r="B58" s="19"/>
      <c r="L58" s="19"/>
    </row>
    <row r="59">
      <c r="B59" s="19"/>
      <c r="L59" s="19"/>
    </row>
    <row r="60">
      <c r="B60" s="19"/>
      <c r="L60" s="19"/>
    </row>
    <row r="61" s="2" customFormat="1">
      <c r="A61" s="37"/>
      <c r="B61" s="43"/>
      <c r="C61" s="37"/>
      <c r="D61" s="164" t="s">
        <v>52</v>
      </c>
      <c r="E61" s="165"/>
      <c r="F61" s="166" t="s">
        <v>53</v>
      </c>
      <c r="G61" s="164" t="s">
        <v>52</v>
      </c>
      <c r="H61" s="165"/>
      <c r="I61" s="165"/>
      <c r="J61" s="167" t="s">
        <v>53</v>
      </c>
      <c r="K61" s="165"/>
      <c r="L61" s="62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</row>
    <row r="62">
      <c r="B62" s="19"/>
      <c r="L62" s="19"/>
    </row>
    <row r="63">
      <c r="B63" s="19"/>
      <c r="L63" s="19"/>
    </row>
    <row r="64">
      <c r="B64" s="19"/>
      <c r="L64" s="19"/>
    </row>
    <row r="65" s="2" customFormat="1">
      <c r="A65" s="37"/>
      <c r="B65" s="43"/>
      <c r="C65" s="37"/>
      <c r="D65" s="162" t="s">
        <v>54</v>
      </c>
      <c r="E65" s="168"/>
      <c r="F65" s="168"/>
      <c r="G65" s="162" t="s">
        <v>55</v>
      </c>
      <c r="H65" s="168"/>
      <c r="I65" s="168"/>
      <c r="J65" s="168"/>
      <c r="K65" s="168"/>
      <c r="L65" s="62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</row>
    <row r="66">
      <c r="B66" s="19"/>
      <c r="L66" s="19"/>
    </row>
    <row r="67">
      <c r="B67" s="19"/>
      <c r="L67" s="19"/>
    </row>
    <row r="68">
      <c r="B68" s="19"/>
      <c r="L68" s="19"/>
    </row>
    <row r="69">
      <c r="B69" s="19"/>
      <c r="L69" s="19"/>
    </row>
    <row r="70">
      <c r="B70" s="19"/>
      <c r="L70" s="19"/>
    </row>
    <row r="71">
      <c r="B71" s="19"/>
      <c r="L71" s="19"/>
    </row>
    <row r="72">
      <c r="B72" s="19"/>
      <c r="L72" s="19"/>
    </row>
    <row r="73">
      <c r="B73" s="19"/>
      <c r="L73" s="19"/>
    </row>
    <row r="74">
      <c r="B74" s="19"/>
      <c r="L74" s="19"/>
    </row>
    <row r="75">
      <c r="B75" s="19"/>
      <c r="L75" s="19"/>
    </row>
    <row r="76" s="2" customFormat="1">
      <c r="A76" s="37"/>
      <c r="B76" s="43"/>
      <c r="C76" s="37"/>
      <c r="D76" s="164" t="s">
        <v>52</v>
      </c>
      <c r="E76" s="165"/>
      <c r="F76" s="166" t="s">
        <v>53</v>
      </c>
      <c r="G76" s="164" t="s">
        <v>52</v>
      </c>
      <c r="H76" s="165"/>
      <c r="I76" s="165"/>
      <c r="J76" s="167" t="s">
        <v>53</v>
      </c>
      <c r="K76" s="165"/>
      <c r="L76" s="62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</row>
    <row r="77" s="2" customFormat="1" ht="14.4" customHeight="1">
      <c r="A77" s="37"/>
      <c r="B77" s="169"/>
      <c r="C77" s="170"/>
      <c r="D77" s="170"/>
      <c r="E77" s="170"/>
      <c r="F77" s="170"/>
      <c r="G77" s="170"/>
      <c r="H77" s="170"/>
      <c r="I77" s="170"/>
      <c r="J77" s="170"/>
      <c r="K77" s="170"/>
      <c r="L77" s="62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</row>
    <row r="81" s="2" customFormat="1" ht="6.96" customHeight="1">
      <c r="A81" s="37"/>
      <c r="B81" s="171"/>
      <c r="C81" s="172"/>
      <c r="D81" s="172"/>
      <c r="E81" s="172"/>
      <c r="F81" s="172"/>
      <c r="G81" s="172"/>
      <c r="H81" s="172"/>
      <c r="I81" s="172"/>
      <c r="J81" s="172"/>
      <c r="K81" s="172"/>
      <c r="L81" s="62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</row>
    <row r="82" s="2" customFormat="1" ht="24.96" customHeight="1">
      <c r="A82" s="37"/>
      <c r="B82" s="38"/>
      <c r="C82" s="22" t="s">
        <v>111</v>
      </c>
      <c r="D82" s="39"/>
      <c r="E82" s="39"/>
      <c r="F82" s="39"/>
      <c r="G82" s="39"/>
      <c r="H82" s="39"/>
      <c r="I82" s="39"/>
      <c r="J82" s="39"/>
      <c r="K82" s="39"/>
      <c r="L82" s="62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</row>
    <row r="83" s="2" customFormat="1" ht="6.96" customHeight="1">
      <c r="A83" s="37"/>
      <c r="B83" s="38"/>
      <c r="C83" s="39"/>
      <c r="D83" s="39"/>
      <c r="E83" s="39"/>
      <c r="F83" s="39"/>
      <c r="G83" s="39"/>
      <c r="H83" s="39"/>
      <c r="I83" s="39"/>
      <c r="J83" s="39"/>
      <c r="K83" s="39"/>
      <c r="L83" s="62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</row>
    <row r="84" s="2" customFormat="1" ht="12" customHeight="1">
      <c r="A84" s="37"/>
      <c r="B84" s="38"/>
      <c r="C84" s="31" t="s">
        <v>17</v>
      </c>
      <c r="D84" s="39"/>
      <c r="E84" s="39"/>
      <c r="F84" s="39"/>
      <c r="G84" s="39"/>
      <c r="H84" s="39"/>
      <c r="I84" s="39"/>
      <c r="J84" s="39"/>
      <c r="K84" s="39"/>
      <c r="L84" s="62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</row>
    <row r="85" s="2" customFormat="1" ht="16.5" customHeight="1">
      <c r="A85" s="37"/>
      <c r="B85" s="38"/>
      <c r="C85" s="39"/>
      <c r="D85" s="39"/>
      <c r="E85" s="173" t="str">
        <f>E7</f>
        <v>Areál společnosti FORESTINA s.r.o. Horažďovice, Blatenská 587</v>
      </c>
      <c r="F85" s="31"/>
      <c r="G85" s="31"/>
      <c r="H85" s="31"/>
      <c r="I85" s="39"/>
      <c r="J85" s="39"/>
      <c r="K85" s="39"/>
      <c r="L85" s="62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</row>
    <row r="86" s="2" customFormat="1" ht="12" customHeight="1">
      <c r="A86" s="37"/>
      <c r="B86" s="38"/>
      <c r="C86" s="31" t="s">
        <v>109</v>
      </c>
      <c r="D86" s="39"/>
      <c r="E86" s="39"/>
      <c r="F86" s="39"/>
      <c r="G86" s="39"/>
      <c r="H86" s="39"/>
      <c r="I86" s="39"/>
      <c r="J86" s="39"/>
      <c r="K86" s="39"/>
      <c r="L86" s="62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</row>
    <row r="87" s="2" customFormat="1" ht="16.5" customHeight="1">
      <c r="A87" s="37"/>
      <c r="B87" s="38"/>
      <c r="C87" s="39"/>
      <c r="D87" s="39"/>
      <c r="E87" s="75" t="str">
        <f>E9</f>
        <v>020 - Hala</v>
      </c>
      <c r="F87" s="39"/>
      <c r="G87" s="39"/>
      <c r="H87" s="39"/>
      <c r="I87" s="39"/>
      <c r="J87" s="39"/>
      <c r="K87" s="39"/>
      <c r="L87" s="62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</row>
    <row r="88" s="2" customFormat="1" ht="6.96" customHeight="1">
      <c r="A88" s="37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62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</row>
    <row r="89" s="2" customFormat="1" ht="12" customHeight="1">
      <c r="A89" s="37"/>
      <c r="B89" s="38"/>
      <c r="C89" s="31" t="s">
        <v>21</v>
      </c>
      <c r="D89" s="39"/>
      <c r="E89" s="39"/>
      <c r="F89" s="26" t="str">
        <f>F12</f>
        <v>Horažďovice</v>
      </c>
      <c r="G89" s="39"/>
      <c r="H89" s="39"/>
      <c r="I89" s="31" t="s">
        <v>23</v>
      </c>
      <c r="J89" s="78" t="str">
        <f>IF(J12="","",J12)</f>
        <v>26. 11. 2025</v>
      </c>
      <c r="K89" s="39"/>
      <c r="L89" s="62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</row>
    <row r="90" s="2" customFormat="1" ht="6.96" customHeight="1">
      <c r="A90" s="37"/>
      <c r="B90" s="38"/>
      <c r="C90" s="39"/>
      <c r="D90" s="39"/>
      <c r="E90" s="39"/>
      <c r="F90" s="39"/>
      <c r="G90" s="39"/>
      <c r="H90" s="39"/>
      <c r="I90" s="39"/>
      <c r="J90" s="39"/>
      <c r="K90" s="39"/>
      <c r="L90" s="62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</row>
    <row r="91" s="2" customFormat="1" ht="25.65" customHeight="1">
      <c r="A91" s="37"/>
      <c r="B91" s="38"/>
      <c r="C91" s="31" t="s">
        <v>25</v>
      </c>
      <c r="D91" s="39"/>
      <c r="E91" s="39"/>
      <c r="F91" s="26" t="str">
        <f>E15</f>
        <v>FORESTINA s.r.o.</v>
      </c>
      <c r="G91" s="39"/>
      <c r="H91" s="39"/>
      <c r="I91" s="31" t="s">
        <v>31</v>
      </c>
      <c r="J91" s="35" t="str">
        <f>E21</f>
        <v>STA projektový ateliér, s.r.o.</v>
      </c>
      <c r="K91" s="39"/>
      <c r="L91" s="62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</row>
    <row r="92" s="2" customFormat="1" ht="15.15" customHeight="1">
      <c r="A92" s="37"/>
      <c r="B92" s="38"/>
      <c r="C92" s="31" t="s">
        <v>29</v>
      </c>
      <c r="D92" s="39"/>
      <c r="E92" s="39"/>
      <c r="F92" s="26" t="str">
        <f>IF(E18="","",E18)</f>
        <v>Vyplň údaj</v>
      </c>
      <c r="G92" s="39"/>
      <c r="H92" s="39"/>
      <c r="I92" s="31" t="s">
        <v>34</v>
      </c>
      <c r="J92" s="35" t="str">
        <f>E24</f>
        <v>Pavel Hrba</v>
      </c>
      <c r="K92" s="39"/>
      <c r="L92" s="62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</row>
    <row r="93" s="2" customFormat="1" ht="10.32" customHeight="1">
      <c r="A93" s="37"/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62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</row>
    <row r="94" s="2" customFormat="1" ht="29.28" customHeight="1">
      <c r="A94" s="37"/>
      <c r="B94" s="38"/>
      <c r="C94" s="174" t="s">
        <v>112</v>
      </c>
      <c r="D94" s="175"/>
      <c r="E94" s="175"/>
      <c r="F94" s="175"/>
      <c r="G94" s="175"/>
      <c r="H94" s="175"/>
      <c r="I94" s="175"/>
      <c r="J94" s="176" t="s">
        <v>113</v>
      </c>
      <c r="K94" s="175"/>
      <c r="L94" s="62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</row>
    <row r="95" s="2" customFormat="1" ht="10.32" customHeight="1">
      <c r="A95" s="37"/>
      <c r="B95" s="38"/>
      <c r="C95" s="39"/>
      <c r="D95" s="39"/>
      <c r="E95" s="39"/>
      <c r="F95" s="39"/>
      <c r="G95" s="39"/>
      <c r="H95" s="39"/>
      <c r="I95" s="39"/>
      <c r="J95" s="39"/>
      <c r="K95" s="39"/>
      <c r="L95" s="62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</row>
    <row r="96" s="2" customFormat="1" ht="22.8" customHeight="1">
      <c r="A96" s="37"/>
      <c r="B96" s="38"/>
      <c r="C96" s="177" t="s">
        <v>114</v>
      </c>
      <c r="D96" s="39"/>
      <c r="E96" s="39"/>
      <c r="F96" s="39"/>
      <c r="G96" s="39"/>
      <c r="H96" s="39"/>
      <c r="I96" s="39"/>
      <c r="J96" s="109">
        <f>J132</f>
        <v>0</v>
      </c>
      <c r="K96" s="39"/>
      <c r="L96" s="62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U96" s="16" t="s">
        <v>115</v>
      </c>
    </row>
    <row r="97" s="9" customFormat="1" ht="24.96" customHeight="1">
      <c r="A97" s="9"/>
      <c r="B97" s="178"/>
      <c r="C97" s="179"/>
      <c r="D97" s="180" t="s">
        <v>116</v>
      </c>
      <c r="E97" s="181"/>
      <c r="F97" s="181"/>
      <c r="G97" s="181"/>
      <c r="H97" s="181"/>
      <c r="I97" s="181"/>
      <c r="J97" s="182">
        <f>J133</f>
        <v>0</v>
      </c>
      <c r="K97" s="179"/>
      <c r="L97" s="183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="10" customFormat="1" ht="19.92" customHeight="1">
      <c r="A98" s="10"/>
      <c r="B98" s="184"/>
      <c r="C98" s="185"/>
      <c r="D98" s="186" t="s">
        <v>117</v>
      </c>
      <c r="E98" s="187"/>
      <c r="F98" s="187"/>
      <c r="G98" s="187"/>
      <c r="H98" s="187"/>
      <c r="I98" s="187"/>
      <c r="J98" s="188">
        <f>J134</f>
        <v>0</v>
      </c>
      <c r="K98" s="185"/>
      <c r="L98" s="189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="10" customFormat="1" ht="19.92" customHeight="1">
      <c r="A99" s="10"/>
      <c r="B99" s="184"/>
      <c r="C99" s="185"/>
      <c r="D99" s="186" t="s">
        <v>118</v>
      </c>
      <c r="E99" s="187"/>
      <c r="F99" s="187"/>
      <c r="G99" s="187"/>
      <c r="H99" s="187"/>
      <c r="I99" s="187"/>
      <c r="J99" s="188">
        <f>J159</f>
        <v>0</v>
      </c>
      <c r="K99" s="185"/>
      <c r="L99" s="189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 s="10" customFormat="1" ht="19.92" customHeight="1">
      <c r="A100" s="10"/>
      <c r="B100" s="184"/>
      <c r="C100" s="185"/>
      <c r="D100" s="186" t="s">
        <v>119</v>
      </c>
      <c r="E100" s="187"/>
      <c r="F100" s="187"/>
      <c r="G100" s="187"/>
      <c r="H100" s="187"/>
      <c r="I100" s="187"/>
      <c r="J100" s="188">
        <f>J198</f>
        <v>0</v>
      </c>
      <c r="K100" s="185"/>
      <c r="L100" s="189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s="10" customFormat="1" ht="19.92" customHeight="1">
      <c r="A101" s="10"/>
      <c r="B101" s="184"/>
      <c r="C101" s="185"/>
      <c r="D101" s="186" t="s">
        <v>120</v>
      </c>
      <c r="E101" s="187"/>
      <c r="F101" s="187"/>
      <c r="G101" s="187"/>
      <c r="H101" s="187"/>
      <c r="I101" s="187"/>
      <c r="J101" s="188">
        <f>J239</f>
        <v>0</v>
      </c>
      <c r="K101" s="185"/>
      <c r="L101" s="189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 s="10" customFormat="1" ht="19.92" customHeight="1">
      <c r="A102" s="10"/>
      <c r="B102" s="184"/>
      <c r="C102" s="185"/>
      <c r="D102" s="186" t="s">
        <v>121</v>
      </c>
      <c r="E102" s="187"/>
      <c r="F102" s="187"/>
      <c r="G102" s="187"/>
      <c r="H102" s="187"/>
      <c r="I102" s="187"/>
      <c r="J102" s="188">
        <f>J283</f>
        <v>0</v>
      </c>
      <c r="K102" s="185"/>
      <c r="L102" s="189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 s="10" customFormat="1" ht="19.92" customHeight="1">
      <c r="A103" s="10"/>
      <c r="B103" s="184"/>
      <c r="C103" s="185"/>
      <c r="D103" s="186" t="s">
        <v>122</v>
      </c>
      <c r="E103" s="187"/>
      <c r="F103" s="187"/>
      <c r="G103" s="187"/>
      <c r="H103" s="187"/>
      <c r="I103" s="187"/>
      <c r="J103" s="188">
        <f>J286</f>
        <v>0</v>
      </c>
      <c r="K103" s="185"/>
      <c r="L103" s="189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</row>
    <row r="104" s="10" customFormat="1" ht="19.92" customHeight="1">
      <c r="A104" s="10"/>
      <c r="B104" s="184"/>
      <c r="C104" s="185"/>
      <c r="D104" s="186" t="s">
        <v>123</v>
      </c>
      <c r="E104" s="187"/>
      <c r="F104" s="187"/>
      <c r="G104" s="187"/>
      <c r="H104" s="187"/>
      <c r="I104" s="187"/>
      <c r="J104" s="188">
        <f>J317</f>
        <v>0</v>
      </c>
      <c r="K104" s="185"/>
      <c r="L104" s="189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</row>
    <row r="105" s="10" customFormat="1" ht="19.92" customHeight="1">
      <c r="A105" s="10"/>
      <c r="B105" s="184"/>
      <c r="C105" s="185"/>
      <c r="D105" s="186" t="s">
        <v>124</v>
      </c>
      <c r="E105" s="187"/>
      <c r="F105" s="187"/>
      <c r="G105" s="187"/>
      <c r="H105" s="187"/>
      <c r="I105" s="187"/>
      <c r="J105" s="188">
        <f>J330</f>
        <v>0</v>
      </c>
      <c r="K105" s="185"/>
      <c r="L105" s="189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</row>
    <row r="106" s="9" customFormat="1" ht="24.96" customHeight="1">
      <c r="A106" s="9"/>
      <c r="B106" s="178"/>
      <c r="C106" s="179"/>
      <c r="D106" s="180" t="s">
        <v>125</v>
      </c>
      <c r="E106" s="181"/>
      <c r="F106" s="181"/>
      <c r="G106" s="181"/>
      <c r="H106" s="181"/>
      <c r="I106" s="181"/>
      <c r="J106" s="182">
        <f>J332</f>
        <v>0</v>
      </c>
      <c r="K106" s="179"/>
      <c r="L106" s="183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s="10" customFormat="1" ht="19.92" customHeight="1">
      <c r="A107" s="10"/>
      <c r="B107" s="184"/>
      <c r="C107" s="185"/>
      <c r="D107" s="186" t="s">
        <v>126</v>
      </c>
      <c r="E107" s="187"/>
      <c r="F107" s="187"/>
      <c r="G107" s="187"/>
      <c r="H107" s="187"/>
      <c r="I107" s="187"/>
      <c r="J107" s="188">
        <f>J333</f>
        <v>0</v>
      </c>
      <c r="K107" s="185"/>
      <c r="L107" s="189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</row>
    <row r="108" s="10" customFormat="1" ht="19.92" customHeight="1">
      <c r="A108" s="10"/>
      <c r="B108" s="184"/>
      <c r="C108" s="185"/>
      <c r="D108" s="186" t="s">
        <v>127</v>
      </c>
      <c r="E108" s="187"/>
      <c r="F108" s="187"/>
      <c r="G108" s="187"/>
      <c r="H108" s="187"/>
      <c r="I108" s="187"/>
      <c r="J108" s="188">
        <f>J351</f>
        <v>0</v>
      </c>
      <c r="K108" s="185"/>
      <c r="L108" s="189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</row>
    <row r="109" s="10" customFormat="1" ht="19.92" customHeight="1">
      <c r="A109" s="10"/>
      <c r="B109" s="184"/>
      <c r="C109" s="185"/>
      <c r="D109" s="186" t="s">
        <v>128</v>
      </c>
      <c r="E109" s="187"/>
      <c r="F109" s="187"/>
      <c r="G109" s="187"/>
      <c r="H109" s="187"/>
      <c r="I109" s="187"/>
      <c r="J109" s="188">
        <f>J375</f>
        <v>0</v>
      </c>
      <c r="K109" s="185"/>
      <c r="L109" s="189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</row>
    <row r="110" s="10" customFormat="1" ht="19.92" customHeight="1">
      <c r="A110" s="10"/>
      <c r="B110" s="184"/>
      <c r="C110" s="185"/>
      <c r="D110" s="186" t="s">
        <v>132</v>
      </c>
      <c r="E110" s="187"/>
      <c r="F110" s="187"/>
      <c r="G110" s="187"/>
      <c r="H110" s="187"/>
      <c r="I110" s="187"/>
      <c r="J110" s="188">
        <f>J393</f>
        <v>0</v>
      </c>
      <c r="K110" s="185"/>
      <c r="L110" s="189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</row>
    <row r="111" s="10" customFormat="1" ht="19.92" customHeight="1">
      <c r="A111" s="10"/>
      <c r="B111" s="184"/>
      <c r="C111" s="185"/>
      <c r="D111" s="186" t="s">
        <v>133</v>
      </c>
      <c r="E111" s="187"/>
      <c r="F111" s="187"/>
      <c r="G111" s="187"/>
      <c r="H111" s="187"/>
      <c r="I111" s="187"/>
      <c r="J111" s="188">
        <f>J405</f>
        <v>0</v>
      </c>
      <c r="K111" s="185"/>
      <c r="L111" s="189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</row>
    <row r="112" s="10" customFormat="1" ht="19.92" customHeight="1">
      <c r="A112" s="10"/>
      <c r="B112" s="184"/>
      <c r="C112" s="185"/>
      <c r="D112" s="186" t="s">
        <v>138</v>
      </c>
      <c r="E112" s="187"/>
      <c r="F112" s="187"/>
      <c r="G112" s="187"/>
      <c r="H112" s="187"/>
      <c r="I112" s="187"/>
      <c r="J112" s="188">
        <f>J441</f>
        <v>0</v>
      </c>
      <c r="K112" s="185"/>
      <c r="L112" s="189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</row>
    <row r="113" s="2" customFormat="1" ht="21.84" customHeight="1">
      <c r="A113" s="37"/>
      <c r="B113" s="38"/>
      <c r="C113" s="39"/>
      <c r="D113" s="39"/>
      <c r="E113" s="39"/>
      <c r="F113" s="39"/>
      <c r="G113" s="39"/>
      <c r="H113" s="39"/>
      <c r="I113" s="39"/>
      <c r="J113" s="39"/>
      <c r="K113" s="39"/>
      <c r="L113" s="62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</row>
    <row r="114" s="2" customFormat="1" ht="6.96" customHeight="1">
      <c r="A114" s="37"/>
      <c r="B114" s="65"/>
      <c r="C114" s="66"/>
      <c r="D114" s="66"/>
      <c r="E114" s="66"/>
      <c r="F114" s="66"/>
      <c r="G114" s="66"/>
      <c r="H114" s="66"/>
      <c r="I114" s="66"/>
      <c r="J114" s="66"/>
      <c r="K114" s="66"/>
      <c r="L114" s="62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</row>
    <row r="118" s="2" customFormat="1" ht="6.96" customHeight="1">
      <c r="A118" s="37"/>
      <c r="B118" s="67"/>
      <c r="C118" s="68"/>
      <c r="D118" s="68"/>
      <c r="E118" s="68"/>
      <c r="F118" s="68"/>
      <c r="G118" s="68"/>
      <c r="H118" s="68"/>
      <c r="I118" s="68"/>
      <c r="J118" s="68"/>
      <c r="K118" s="68"/>
      <c r="L118" s="62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</row>
    <row r="119" s="2" customFormat="1" ht="24.96" customHeight="1">
      <c r="A119" s="37"/>
      <c r="B119" s="38"/>
      <c r="C119" s="22" t="s">
        <v>142</v>
      </c>
      <c r="D119" s="39"/>
      <c r="E119" s="39"/>
      <c r="F119" s="39"/>
      <c r="G119" s="39"/>
      <c r="H119" s="39"/>
      <c r="I119" s="39"/>
      <c r="J119" s="39"/>
      <c r="K119" s="39"/>
      <c r="L119" s="62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</row>
    <row r="120" s="2" customFormat="1" ht="6.96" customHeight="1">
      <c r="A120" s="37"/>
      <c r="B120" s="38"/>
      <c r="C120" s="39"/>
      <c r="D120" s="39"/>
      <c r="E120" s="39"/>
      <c r="F120" s="39"/>
      <c r="G120" s="39"/>
      <c r="H120" s="39"/>
      <c r="I120" s="39"/>
      <c r="J120" s="39"/>
      <c r="K120" s="39"/>
      <c r="L120" s="62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</row>
    <row r="121" s="2" customFormat="1" ht="12" customHeight="1">
      <c r="A121" s="37"/>
      <c r="B121" s="38"/>
      <c r="C121" s="31" t="s">
        <v>17</v>
      </c>
      <c r="D121" s="39"/>
      <c r="E121" s="39"/>
      <c r="F121" s="39"/>
      <c r="G121" s="39"/>
      <c r="H121" s="39"/>
      <c r="I121" s="39"/>
      <c r="J121" s="39"/>
      <c r="K121" s="39"/>
      <c r="L121" s="62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</row>
    <row r="122" s="2" customFormat="1" ht="16.5" customHeight="1">
      <c r="A122" s="37"/>
      <c r="B122" s="38"/>
      <c r="C122" s="39"/>
      <c r="D122" s="39"/>
      <c r="E122" s="173" t="str">
        <f>E7</f>
        <v>Areál společnosti FORESTINA s.r.o. Horažďovice, Blatenská 587</v>
      </c>
      <c r="F122" s="31"/>
      <c r="G122" s="31"/>
      <c r="H122" s="31"/>
      <c r="I122" s="39"/>
      <c r="J122" s="39"/>
      <c r="K122" s="39"/>
      <c r="L122" s="62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</row>
    <row r="123" s="2" customFormat="1" ht="12" customHeight="1">
      <c r="A123" s="37"/>
      <c r="B123" s="38"/>
      <c r="C123" s="31" t="s">
        <v>109</v>
      </c>
      <c r="D123" s="39"/>
      <c r="E123" s="39"/>
      <c r="F123" s="39"/>
      <c r="G123" s="39"/>
      <c r="H123" s="39"/>
      <c r="I123" s="39"/>
      <c r="J123" s="39"/>
      <c r="K123" s="39"/>
      <c r="L123" s="62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</row>
    <row r="124" s="2" customFormat="1" ht="16.5" customHeight="1">
      <c r="A124" s="37"/>
      <c r="B124" s="38"/>
      <c r="C124" s="39"/>
      <c r="D124" s="39"/>
      <c r="E124" s="75" t="str">
        <f>E9</f>
        <v>020 - Hala</v>
      </c>
      <c r="F124" s="39"/>
      <c r="G124" s="39"/>
      <c r="H124" s="39"/>
      <c r="I124" s="39"/>
      <c r="J124" s="39"/>
      <c r="K124" s="39"/>
      <c r="L124" s="62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</row>
    <row r="125" s="2" customFormat="1" ht="6.96" customHeight="1">
      <c r="A125" s="37"/>
      <c r="B125" s="38"/>
      <c r="C125" s="39"/>
      <c r="D125" s="39"/>
      <c r="E125" s="39"/>
      <c r="F125" s="39"/>
      <c r="G125" s="39"/>
      <c r="H125" s="39"/>
      <c r="I125" s="39"/>
      <c r="J125" s="39"/>
      <c r="K125" s="39"/>
      <c r="L125" s="62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</row>
    <row r="126" s="2" customFormat="1" ht="12" customHeight="1">
      <c r="A126" s="37"/>
      <c r="B126" s="38"/>
      <c r="C126" s="31" t="s">
        <v>21</v>
      </c>
      <c r="D126" s="39"/>
      <c r="E126" s="39"/>
      <c r="F126" s="26" t="str">
        <f>F12</f>
        <v>Horažďovice</v>
      </c>
      <c r="G126" s="39"/>
      <c r="H126" s="39"/>
      <c r="I126" s="31" t="s">
        <v>23</v>
      </c>
      <c r="J126" s="78" t="str">
        <f>IF(J12="","",J12)</f>
        <v>26. 11. 2025</v>
      </c>
      <c r="K126" s="39"/>
      <c r="L126" s="62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</row>
    <row r="127" s="2" customFormat="1" ht="6.96" customHeight="1">
      <c r="A127" s="37"/>
      <c r="B127" s="38"/>
      <c r="C127" s="39"/>
      <c r="D127" s="39"/>
      <c r="E127" s="39"/>
      <c r="F127" s="39"/>
      <c r="G127" s="39"/>
      <c r="H127" s="39"/>
      <c r="I127" s="39"/>
      <c r="J127" s="39"/>
      <c r="K127" s="39"/>
      <c r="L127" s="62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</row>
    <row r="128" s="2" customFormat="1" ht="25.65" customHeight="1">
      <c r="A128" s="37"/>
      <c r="B128" s="38"/>
      <c r="C128" s="31" t="s">
        <v>25</v>
      </c>
      <c r="D128" s="39"/>
      <c r="E128" s="39"/>
      <c r="F128" s="26" t="str">
        <f>E15</f>
        <v>FORESTINA s.r.o.</v>
      </c>
      <c r="G128" s="39"/>
      <c r="H128" s="39"/>
      <c r="I128" s="31" t="s">
        <v>31</v>
      </c>
      <c r="J128" s="35" t="str">
        <f>E21</f>
        <v>STA projektový ateliér, s.r.o.</v>
      </c>
      <c r="K128" s="39"/>
      <c r="L128" s="62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</row>
    <row r="129" s="2" customFormat="1" ht="15.15" customHeight="1">
      <c r="A129" s="37"/>
      <c r="B129" s="38"/>
      <c r="C129" s="31" t="s">
        <v>29</v>
      </c>
      <c r="D129" s="39"/>
      <c r="E129" s="39"/>
      <c r="F129" s="26" t="str">
        <f>IF(E18="","",E18)</f>
        <v>Vyplň údaj</v>
      </c>
      <c r="G129" s="39"/>
      <c r="H129" s="39"/>
      <c r="I129" s="31" t="s">
        <v>34</v>
      </c>
      <c r="J129" s="35" t="str">
        <f>E24</f>
        <v>Pavel Hrba</v>
      </c>
      <c r="K129" s="39"/>
      <c r="L129" s="62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</row>
    <row r="130" s="2" customFormat="1" ht="10.32" customHeight="1">
      <c r="A130" s="37"/>
      <c r="B130" s="38"/>
      <c r="C130" s="39"/>
      <c r="D130" s="39"/>
      <c r="E130" s="39"/>
      <c r="F130" s="39"/>
      <c r="G130" s="39"/>
      <c r="H130" s="39"/>
      <c r="I130" s="39"/>
      <c r="J130" s="39"/>
      <c r="K130" s="39"/>
      <c r="L130" s="62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</row>
    <row r="131" s="11" customFormat="1" ht="29.28" customHeight="1">
      <c r="A131" s="190"/>
      <c r="B131" s="191"/>
      <c r="C131" s="192" t="s">
        <v>143</v>
      </c>
      <c r="D131" s="193" t="s">
        <v>62</v>
      </c>
      <c r="E131" s="193" t="s">
        <v>58</v>
      </c>
      <c r="F131" s="193" t="s">
        <v>59</v>
      </c>
      <c r="G131" s="193" t="s">
        <v>144</v>
      </c>
      <c r="H131" s="193" t="s">
        <v>145</v>
      </c>
      <c r="I131" s="193" t="s">
        <v>146</v>
      </c>
      <c r="J131" s="194" t="s">
        <v>113</v>
      </c>
      <c r="K131" s="195" t="s">
        <v>147</v>
      </c>
      <c r="L131" s="196"/>
      <c r="M131" s="99" t="s">
        <v>1</v>
      </c>
      <c r="N131" s="100" t="s">
        <v>41</v>
      </c>
      <c r="O131" s="100" t="s">
        <v>148</v>
      </c>
      <c r="P131" s="100" t="s">
        <v>149</v>
      </c>
      <c r="Q131" s="100" t="s">
        <v>150</v>
      </c>
      <c r="R131" s="100" t="s">
        <v>151</v>
      </c>
      <c r="S131" s="100" t="s">
        <v>152</v>
      </c>
      <c r="T131" s="101" t="s">
        <v>153</v>
      </c>
      <c r="U131" s="190"/>
      <c r="V131" s="190"/>
      <c r="W131" s="190"/>
      <c r="X131" s="190"/>
      <c r="Y131" s="190"/>
      <c r="Z131" s="190"/>
      <c r="AA131" s="190"/>
      <c r="AB131" s="190"/>
      <c r="AC131" s="190"/>
      <c r="AD131" s="190"/>
      <c r="AE131" s="190"/>
    </row>
    <row r="132" s="2" customFormat="1" ht="22.8" customHeight="1">
      <c r="A132" s="37"/>
      <c r="B132" s="38"/>
      <c r="C132" s="106" t="s">
        <v>154</v>
      </c>
      <c r="D132" s="39"/>
      <c r="E132" s="39"/>
      <c r="F132" s="39"/>
      <c r="G132" s="39"/>
      <c r="H132" s="39"/>
      <c r="I132" s="39"/>
      <c r="J132" s="197">
        <f>BK132</f>
        <v>0</v>
      </c>
      <c r="K132" s="39"/>
      <c r="L132" s="43"/>
      <c r="M132" s="102"/>
      <c r="N132" s="198"/>
      <c r="O132" s="103"/>
      <c r="P132" s="199">
        <f>P133+P332</f>
        <v>0</v>
      </c>
      <c r="Q132" s="103"/>
      <c r="R132" s="199">
        <f>R133+R332</f>
        <v>14775.760336109999</v>
      </c>
      <c r="S132" s="103"/>
      <c r="T132" s="200">
        <f>T133+T332</f>
        <v>98.542000000000002</v>
      </c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T132" s="16" t="s">
        <v>76</v>
      </c>
      <c r="AU132" s="16" t="s">
        <v>115</v>
      </c>
      <c r="BK132" s="201">
        <f>BK133+BK332</f>
        <v>0</v>
      </c>
    </row>
    <row r="133" s="12" customFormat="1" ht="25.92" customHeight="1">
      <c r="A133" s="12"/>
      <c r="B133" s="202"/>
      <c r="C133" s="203"/>
      <c r="D133" s="204" t="s">
        <v>76</v>
      </c>
      <c r="E133" s="205" t="s">
        <v>155</v>
      </c>
      <c r="F133" s="205" t="s">
        <v>156</v>
      </c>
      <c r="G133" s="203"/>
      <c r="H133" s="203"/>
      <c r="I133" s="206"/>
      <c r="J133" s="207">
        <f>BK133</f>
        <v>0</v>
      </c>
      <c r="K133" s="203"/>
      <c r="L133" s="208"/>
      <c r="M133" s="209"/>
      <c r="N133" s="210"/>
      <c r="O133" s="210"/>
      <c r="P133" s="211">
        <f>P134+P159+P198+P239+P283+P286+P317+P330</f>
        <v>0</v>
      </c>
      <c r="Q133" s="210"/>
      <c r="R133" s="211">
        <f>R134+R159+R198+R239+R283+R286+R317+R330</f>
        <v>14414.574748359999</v>
      </c>
      <c r="S133" s="210"/>
      <c r="T133" s="212">
        <f>T134+T159+T198+T239+T283+T286+T317+T330</f>
        <v>98.542000000000002</v>
      </c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R133" s="213" t="s">
        <v>8</v>
      </c>
      <c r="AT133" s="214" t="s">
        <v>76</v>
      </c>
      <c r="AU133" s="214" t="s">
        <v>77</v>
      </c>
      <c r="AY133" s="213" t="s">
        <v>157</v>
      </c>
      <c r="BK133" s="215">
        <f>BK134+BK159+BK198+BK239+BK283+BK286+BK317+BK330</f>
        <v>0</v>
      </c>
    </row>
    <row r="134" s="12" customFormat="1" ht="22.8" customHeight="1">
      <c r="A134" s="12"/>
      <c r="B134" s="202"/>
      <c r="C134" s="203"/>
      <c r="D134" s="204" t="s">
        <v>76</v>
      </c>
      <c r="E134" s="216" t="s">
        <v>8</v>
      </c>
      <c r="F134" s="216" t="s">
        <v>158</v>
      </c>
      <c r="G134" s="203"/>
      <c r="H134" s="203"/>
      <c r="I134" s="206"/>
      <c r="J134" s="217">
        <f>BK134</f>
        <v>0</v>
      </c>
      <c r="K134" s="203"/>
      <c r="L134" s="208"/>
      <c r="M134" s="209"/>
      <c r="N134" s="210"/>
      <c r="O134" s="210"/>
      <c r="P134" s="211">
        <f>SUM(P135:P158)</f>
        <v>0</v>
      </c>
      <c r="Q134" s="210"/>
      <c r="R134" s="211">
        <f>SUM(R135:R158)</f>
        <v>0</v>
      </c>
      <c r="S134" s="210"/>
      <c r="T134" s="212">
        <f>SUM(T135:T158)</f>
        <v>0</v>
      </c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R134" s="213" t="s">
        <v>8</v>
      </c>
      <c r="AT134" s="214" t="s">
        <v>76</v>
      </c>
      <c r="AU134" s="214" t="s">
        <v>8</v>
      </c>
      <c r="AY134" s="213" t="s">
        <v>157</v>
      </c>
      <c r="BK134" s="215">
        <f>SUM(BK135:BK158)</f>
        <v>0</v>
      </c>
    </row>
    <row r="135" s="2" customFormat="1" ht="33" customHeight="1">
      <c r="A135" s="37"/>
      <c r="B135" s="38"/>
      <c r="C135" s="218" t="s">
        <v>8</v>
      </c>
      <c r="D135" s="218" t="s">
        <v>159</v>
      </c>
      <c r="E135" s="219" t="s">
        <v>160</v>
      </c>
      <c r="F135" s="220" t="s">
        <v>161</v>
      </c>
      <c r="G135" s="221" t="s">
        <v>162</v>
      </c>
      <c r="H135" s="222">
        <v>3849.1199999999999</v>
      </c>
      <c r="I135" s="223"/>
      <c r="J135" s="224">
        <f>ROUND(I135*H135,0)</f>
        <v>0</v>
      </c>
      <c r="K135" s="225"/>
      <c r="L135" s="43"/>
      <c r="M135" s="226" t="s">
        <v>1</v>
      </c>
      <c r="N135" s="227" t="s">
        <v>42</v>
      </c>
      <c r="O135" s="90"/>
      <c r="P135" s="228">
        <f>O135*H135</f>
        <v>0</v>
      </c>
      <c r="Q135" s="228">
        <v>0</v>
      </c>
      <c r="R135" s="228">
        <f>Q135*H135</f>
        <v>0</v>
      </c>
      <c r="S135" s="228">
        <v>0</v>
      </c>
      <c r="T135" s="229">
        <f>S135*H135</f>
        <v>0</v>
      </c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R135" s="230" t="s">
        <v>163</v>
      </c>
      <c r="AT135" s="230" t="s">
        <v>159</v>
      </c>
      <c r="AU135" s="230" t="s">
        <v>86</v>
      </c>
      <c r="AY135" s="16" t="s">
        <v>157</v>
      </c>
      <c r="BE135" s="231">
        <f>IF(N135="základní",J135,0)</f>
        <v>0</v>
      </c>
      <c r="BF135" s="231">
        <f>IF(N135="snížená",J135,0)</f>
        <v>0</v>
      </c>
      <c r="BG135" s="231">
        <f>IF(N135="zákl. přenesená",J135,0)</f>
        <v>0</v>
      </c>
      <c r="BH135" s="231">
        <f>IF(N135="sníž. přenesená",J135,0)</f>
        <v>0</v>
      </c>
      <c r="BI135" s="231">
        <f>IF(N135="nulová",J135,0)</f>
        <v>0</v>
      </c>
      <c r="BJ135" s="16" t="s">
        <v>8</v>
      </c>
      <c r="BK135" s="231">
        <f>ROUND(I135*H135,0)</f>
        <v>0</v>
      </c>
      <c r="BL135" s="16" t="s">
        <v>163</v>
      </c>
      <c r="BM135" s="230" t="s">
        <v>1660</v>
      </c>
    </row>
    <row r="136" s="13" customFormat="1">
      <c r="A136" s="13"/>
      <c r="B136" s="232"/>
      <c r="C136" s="233"/>
      <c r="D136" s="234" t="s">
        <v>165</v>
      </c>
      <c r="E136" s="235" t="s">
        <v>1</v>
      </c>
      <c r="F136" s="236" t="s">
        <v>1661</v>
      </c>
      <c r="G136" s="233"/>
      <c r="H136" s="237">
        <v>3849.1199999999999</v>
      </c>
      <c r="I136" s="238"/>
      <c r="J136" s="233"/>
      <c r="K136" s="233"/>
      <c r="L136" s="239"/>
      <c r="M136" s="240"/>
      <c r="N136" s="241"/>
      <c r="O136" s="241"/>
      <c r="P136" s="241"/>
      <c r="Q136" s="241"/>
      <c r="R136" s="241"/>
      <c r="S136" s="241"/>
      <c r="T136" s="242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T136" s="243" t="s">
        <v>165</v>
      </c>
      <c r="AU136" s="243" t="s">
        <v>86</v>
      </c>
      <c r="AV136" s="13" t="s">
        <v>86</v>
      </c>
      <c r="AW136" s="13" t="s">
        <v>32</v>
      </c>
      <c r="AX136" s="13" t="s">
        <v>77</v>
      </c>
      <c r="AY136" s="243" t="s">
        <v>157</v>
      </c>
    </row>
    <row r="137" s="2" customFormat="1" ht="37.8" customHeight="1">
      <c r="A137" s="37"/>
      <c r="B137" s="38"/>
      <c r="C137" s="218" t="s">
        <v>86</v>
      </c>
      <c r="D137" s="218" t="s">
        <v>159</v>
      </c>
      <c r="E137" s="219" t="s">
        <v>168</v>
      </c>
      <c r="F137" s="220" t="s">
        <v>169</v>
      </c>
      <c r="G137" s="221" t="s">
        <v>162</v>
      </c>
      <c r="H137" s="222">
        <v>5029.6959999999999</v>
      </c>
      <c r="I137" s="223"/>
      <c r="J137" s="224">
        <f>ROUND(I137*H137,0)</f>
        <v>0</v>
      </c>
      <c r="K137" s="225"/>
      <c r="L137" s="43"/>
      <c r="M137" s="226" t="s">
        <v>1</v>
      </c>
      <c r="N137" s="227" t="s">
        <v>42</v>
      </c>
      <c r="O137" s="90"/>
      <c r="P137" s="228">
        <f>O137*H137</f>
        <v>0</v>
      </c>
      <c r="Q137" s="228">
        <v>0</v>
      </c>
      <c r="R137" s="228">
        <f>Q137*H137</f>
        <v>0</v>
      </c>
      <c r="S137" s="228">
        <v>0</v>
      </c>
      <c r="T137" s="229">
        <f>S137*H137</f>
        <v>0</v>
      </c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R137" s="230" t="s">
        <v>163</v>
      </c>
      <c r="AT137" s="230" t="s">
        <v>159</v>
      </c>
      <c r="AU137" s="230" t="s">
        <v>86</v>
      </c>
      <c r="AY137" s="16" t="s">
        <v>157</v>
      </c>
      <c r="BE137" s="231">
        <f>IF(N137="základní",J137,0)</f>
        <v>0</v>
      </c>
      <c r="BF137" s="231">
        <f>IF(N137="snížená",J137,0)</f>
        <v>0</v>
      </c>
      <c r="BG137" s="231">
        <f>IF(N137="zákl. přenesená",J137,0)</f>
        <v>0</v>
      </c>
      <c r="BH137" s="231">
        <f>IF(N137="sníž. přenesená",J137,0)</f>
        <v>0</v>
      </c>
      <c r="BI137" s="231">
        <f>IF(N137="nulová",J137,0)</f>
        <v>0</v>
      </c>
      <c r="BJ137" s="16" t="s">
        <v>8</v>
      </c>
      <c r="BK137" s="231">
        <f>ROUND(I137*H137,0)</f>
        <v>0</v>
      </c>
      <c r="BL137" s="16" t="s">
        <v>163</v>
      </c>
      <c r="BM137" s="230" t="s">
        <v>1662</v>
      </c>
    </row>
    <row r="138" s="13" customFormat="1">
      <c r="A138" s="13"/>
      <c r="B138" s="232"/>
      <c r="C138" s="233"/>
      <c r="D138" s="234" t="s">
        <v>165</v>
      </c>
      <c r="E138" s="235" t="s">
        <v>1</v>
      </c>
      <c r="F138" s="236" t="s">
        <v>1663</v>
      </c>
      <c r="G138" s="233"/>
      <c r="H138" s="237">
        <v>911.06200000000001</v>
      </c>
      <c r="I138" s="238"/>
      <c r="J138" s="233"/>
      <c r="K138" s="233"/>
      <c r="L138" s="239"/>
      <c r="M138" s="240"/>
      <c r="N138" s="241"/>
      <c r="O138" s="241"/>
      <c r="P138" s="241"/>
      <c r="Q138" s="241"/>
      <c r="R138" s="241"/>
      <c r="S138" s="241"/>
      <c r="T138" s="242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T138" s="243" t="s">
        <v>165</v>
      </c>
      <c r="AU138" s="243" t="s">
        <v>86</v>
      </c>
      <c r="AV138" s="13" t="s">
        <v>86</v>
      </c>
      <c r="AW138" s="13" t="s">
        <v>32</v>
      </c>
      <c r="AX138" s="13" t="s">
        <v>77</v>
      </c>
      <c r="AY138" s="243" t="s">
        <v>157</v>
      </c>
    </row>
    <row r="139" s="13" customFormat="1">
      <c r="A139" s="13"/>
      <c r="B139" s="232"/>
      <c r="C139" s="233"/>
      <c r="D139" s="234" t="s">
        <v>165</v>
      </c>
      <c r="E139" s="235" t="s">
        <v>1</v>
      </c>
      <c r="F139" s="236" t="s">
        <v>1661</v>
      </c>
      <c r="G139" s="233"/>
      <c r="H139" s="237">
        <v>3849.1199999999999</v>
      </c>
      <c r="I139" s="238"/>
      <c r="J139" s="233"/>
      <c r="K139" s="233"/>
      <c r="L139" s="239"/>
      <c r="M139" s="240"/>
      <c r="N139" s="241"/>
      <c r="O139" s="241"/>
      <c r="P139" s="241"/>
      <c r="Q139" s="241"/>
      <c r="R139" s="241"/>
      <c r="S139" s="241"/>
      <c r="T139" s="242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T139" s="243" t="s">
        <v>165</v>
      </c>
      <c r="AU139" s="243" t="s">
        <v>86</v>
      </c>
      <c r="AV139" s="13" t="s">
        <v>86</v>
      </c>
      <c r="AW139" s="13" t="s">
        <v>32</v>
      </c>
      <c r="AX139" s="13" t="s">
        <v>77</v>
      </c>
      <c r="AY139" s="243" t="s">
        <v>157</v>
      </c>
    </row>
    <row r="140" s="13" customFormat="1">
      <c r="A140" s="13"/>
      <c r="B140" s="232"/>
      <c r="C140" s="233"/>
      <c r="D140" s="234" t="s">
        <v>165</v>
      </c>
      <c r="E140" s="235" t="s">
        <v>1</v>
      </c>
      <c r="F140" s="236" t="s">
        <v>1664</v>
      </c>
      <c r="G140" s="233"/>
      <c r="H140" s="237">
        <v>269.51400000000001</v>
      </c>
      <c r="I140" s="238"/>
      <c r="J140" s="233"/>
      <c r="K140" s="233"/>
      <c r="L140" s="239"/>
      <c r="M140" s="240"/>
      <c r="N140" s="241"/>
      <c r="O140" s="241"/>
      <c r="P140" s="241"/>
      <c r="Q140" s="241"/>
      <c r="R140" s="241"/>
      <c r="S140" s="241"/>
      <c r="T140" s="242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T140" s="243" t="s">
        <v>165</v>
      </c>
      <c r="AU140" s="243" t="s">
        <v>86</v>
      </c>
      <c r="AV140" s="13" t="s">
        <v>86</v>
      </c>
      <c r="AW140" s="13" t="s">
        <v>32</v>
      </c>
      <c r="AX140" s="13" t="s">
        <v>77</v>
      </c>
      <c r="AY140" s="243" t="s">
        <v>157</v>
      </c>
    </row>
    <row r="141" s="2" customFormat="1" ht="37.8" customHeight="1">
      <c r="A141" s="37"/>
      <c r="B141" s="38"/>
      <c r="C141" s="218" t="s">
        <v>176</v>
      </c>
      <c r="D141" s="218" t="s">
        <v>159</v>
      </c>
      <c r="E141" s="219" t="s">
        <v>177</v>
      </c>
      <c r="F141" s="220" t="s">
        <v>178</v>
      </c>
      <c r="G141" s="221" t="s">
        <v>162</v>
      </c>
      <c r="H141" s="222">
        <v>3579.6060000000002</v>
      </c>
      <c r="I141" s="223"/>
      <c r="J141" s="224">
        <f>ROUND(I141*H141,0)</f>
        <v>0</v>
      </c>
      <c r="K141" s="225"/>
      <c r="L141" s="43"/>
      <c r="M141" s="226" t="s">
        <v>1</v>
      </c>
      <c r="N141" s="227" t="s">
        <v>42</v>
      </c>
      <c r="O141" s="90"/>
      <c r="P141" s="228">
        <f>O141*H141</f>
        <v>0</v>
      </c>
      <c r="Q141" s="228">
        <v>0</v>
      </c>
      <c r="R141" s="228">
        <f>Q141*H141</f>
        <v>0</v>
      </c>
      <c r="S141" s="228">
        <v>0</v>
      </c>
      <c r="T141" s="229">
        <f>S141*H141</f>
        <v>0</v>
      </c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R141" s="230" t="s">
        <v>163</v>
      </c>
      <c r="AT141" s="230" t="s">
        <v>159</v>
      </c>
      <c r="AU141" s="230" t="s">
        <v>86</v>
      </c>
      <c r="AY141" s="16" t="s">
        <v>157</v>
      </c>
      <c r="BE141" s="231">
        <f>IF(N141="základní",J141,0)</f>
        <v>0</v>
      </c>
      <c r="BF141" s="231">
        <f>IF(N141="snížená",J141,0)</f>
        <v>0</v>
      </c>
      <c r="BG141" s="231">
        <f>IF(N141="zákl. přenesená",J141,0)</f>
        <v>0</v>
      </c>
      <c r="BH141" s="231">
        <f>IF(N141="sníž. přenesená",J141,0)</f>
        <v>0</v>
      </c>
      <c r="BI141" s="231">
        <f>IF(N141="nulová",J141,0)</f>
        <v>0</v>
      </c>
      <c r="BJ141" s="16" t="s">
        <v>8</v>
      </c>
      <c r="BK141" s="231">
        <f>ROUND(I141*H141,0)</f>
        <v>0</v>
      </c>
      <c r="BL141" s="16" t="s">
        <v>163</v>
      </c>
      <c r="BM141" s="230" t="s">
        <v>1665</v>
      </c>
    </row>
    <row r="142" s="13" customFormat="1">
      <c r="A142" s="13"/>
      <c r="B142" s="232"/>
      <c r="C142" s="233"/>
      <c r="D142" s="234" t="s">
        <v>165</v>
      </c>
      <c r="E142" s="235" t="s">
        <v>1</v>
      </c>
      <c r="F142" s="236" t="s">
        <v>1666</v>
      </c>
      <c r="G142" s="233"/>
      <c r="H142" s="237">
        <v>3579.6060000000002</v>
      </c>
      <c r="I142" s="238"/>
      <c r="J142" s="233"/>
      <c r="K142" s="233"/>
      <c r="L142" s="239"/>
      <c r="M142" s="240"/>
      <c r="N142" s="241"/>
      <c r="O142" s="241"/>
      <c r="P142" s="241"/>
      <c r="Q142" s="241"/>
      <c r="R142" s="241"/>
      <c r="S142" s="241"/>
      <c r="T142" s="242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T142" s="243" t="s">
        <v>165</v>
      </c>
      <c r="AU142" s="243" t="s">
        <v>86</v>
      </c>
      <c r="AV142" s="13" t="s">
        <v>86</v>
      </c>
      <c r="AW142" s="13" t="s">
        <v>32</v>
      </c>
      <c r="AX142" s="13" t="s">
        <v>77</v>
      </c>
      <c r="AY142" s="243" t="s">
        <v>157</v>
      </c>
    </row>
    <row r="143" s="2" customFormat="1" ht="37.8" customHeight="1">
      <c r="A143" s="37"/>
      <c r="B143" s="38"/>
      <c r="C143" s="218" t="s">
        <v>163</v>
      </c>
      <c r="D143" s="218" t="s">
        <v>159</v>
      </c>
      <c r="E143" s="219" t="s">
        <v>181</v>
      </c>
      <c r="F143" s="220" t="s">
        <v>182</v>
      </c>
      <c r="G143" s="221" t="s">
        <v>162</v>
      </c>
      <c r="H143" s="222">
        <v>60853.302000000003</v>
      </c>
      <c r="I143" s="223"/>
      <c r="J143" s="224">
        <f>ROUND(I143*H143,0)</f>
        <v>0</v>
      </c>
      <c r="K143" s="225"/>
      <c r="L143" s="43"/>
      <c r="M143" s="226" t="s">
        <v>1</v>
      </c>
      <c r="N143" s="227" t="s">
        <v>42</v>
      </c>
      <c r="O143" s="90"/>
      <c r="P143" s="228">
        <f>O143*H143</f>
        <v>0</v>
      </c>
      <c r="Q143" s="228">
        <v>0</v>
      </c>
      <c r="R143" s="228">
        <f>Q143*H143</f>
        <v>0</v>
      </c>
      <c r="S143" s="228">
        <v>0</v>
      </c>
      <c r="T143" s="229">
        <f>S143*H143</f>
        <v>0</v>
      </c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R143" s="230" t="s">
        <v>163</v>
      </c>
      <c r="AT143" s="230" t="s">
        <v>159</v>
      </c>
      <c r="AU143" s="230" t="s">
        <v>86</v>
      </c>
      <c r="AY143" s="16" t="s">
        <v>157</v>
      </c>
      <c r="BE143" s="231">
        <f>IF(N143="základní",J143,0)</f>
        <v>0</v>
      </c>
      <c r="BF143" s="231">
        <f>IF(N143="snížená",J143,0)</f>
        <v>0</v>
      </c>
      <c r="BG143" s="231">
        <f>IF(N143="zákl. přenesená",J143,0)</f>
        <v>0</v>
      </c>
      <c r="BH143" s="231">
        <f>IF(N143="sníž. přenesená",J143,0)</f>
        <v>0</v>
      </c>
      <c r="BI143" s="231">
        <f>IF(N143="nulová",J143,0)</f>
        <v>0</v>
      </c>
      <c r="BJ143" s="16" t="s">
        <v>8</v>
      </c>
      <c r="BK143" s="231">
        <f>ROUND(I143*H143,0)</f>
        <v>0</v>
      </c>
      <c r="BL143" s="16" t="s">
        <v>163</v>
      </c>
      <c r="BM143" s="230" t="s">
        <v>1667</v>
      </c>
    </row>
    <row r="144" s="13" customFormat="1">
      <c r="A144" s="13"/>
      <c r="B144" s="232"/>
      <c r="C144" s="233"/>
      <c r="D144" s="234" t="s">
        <v>165</v>
      </c>
      <c r="E144" s="235" t="s">
        <v>1</v>
      </c>
      <c r="F144" s="236" t="s">
        <v>1668</v>
      </c>
      <c r="G144" s="233"/>
      <c r="H144" s="237">
        <v>60853.302000000003</v>
      </c>
      <c r="I144" s="238"/>
      <c r="J144" s="233"/>
      <c r="K144" s="233"/>
      <c r="L144" s="239"/>
      <c r="M144" s="240"/>
      <c r="N144" s="241"/>
      <c r="O144" s="241"/>
      <c r="P144" s="241"/>
      <c r="Q144" s="241"/>
      <c r="R144" s="241"/>
      <c r="S144" s="241"/>
      <c r="T144" s="242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T144" s="243" t="s">
        <v>165</v>
      </c>
      <c r="AU144" s="243" t="s">
        <v>86</v>
      </c>
      <c r="AV144" s="13" t="s">
        <v>86</v>
      </c>
      <c r="AW144" s="13" t="s">
        <v>32</v>
      </c>
      <c r="AX144" s="13" t="s">
        <v>77</v>
      </c>
      <c r="AY144" s="243" t="s">
        <v>157</v>
      </c>
    </row>
    <row r="145" s="2" customFormat="1" ht="24.15" customHeight="1">
      <c r="A145" s="37"/>
      <c r="B145" s="38"/>
      <c r="C145" s="218" t="s">
        <v>185</v>
      </c>
      <c r="D145" s="218" t="s">
        <v>159</v>
      </c>
      <c r="E145" s="219" t="s">
        <v>186</v>
      </c>
      <c r="F145" s="220" t="s">
        <v>187</v>
      </c>
      <c r="G145" s="221" t="s">
        <v>162</v>
      </c>
      <c r="H145" s="222">
        <v>4760.1819999999998</v>
      </c>
      <c r="I145" s="223"/>
      <c r="J145" s="224">
        <f>ROUND(I145*H145,0)</f>
        <v>0</v>
      </c>
      <c r="K145" s="225"/>
      <c r="L145" s="43"/>
      <c r="M145" s="226" t="s">
        <v>1</v>
      </c>
      <c r="N145" s="227" t="s">
        <v>42</v>
      </c>
      <c r="O145" s="90"/>
      <c r="P145" s="228">
        <f>O145*H145</f>
        <v>0</v>
      </c>
      <c r="Q145" s="228">
        <v>0</v>
      </c>
      <c r="R145" s="228">
        <f>Q145*H145</f>
        <v>0</v>
      </c>
      <c r="S145" s="228">
        <v>0</v>
      </c>
      <c r="T145" s="229">
        <f>S145*H145</f>
        <v>0</v>
      </c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R145" s="230" t="s">
        <v>163</v>
      </c>
      <c r="AT145" s="230" t="s">
        <v>159</v>
      </c>
      <c r="AU145" s="230" t="s">
        <v>86</v>
      </c>
      <c r="AY145" s="16" t="s">
        <v>157</v>
      </c>
      <c r="BE145" s="231">
        <f>IF(N145="základní",J145,0)</f>
        <v>0</v>
      </c>
      <c r="BF145" s="231">
        <f>IF(N145="snížená",J145,0)</f>
        <v>0</v>
      </c>
      <c r="BG145" s="231">
        <f>IF(N145="zákl. přenesená",J145,0)</f>
        <v>0</v>
      </c>
      <c r="BH145" s="231">
        <f>IF(N145="sníž. přenesená",J145,0)</f>
        <v>0</v>
      </c>
      <c r="BI145" s="231">
        <f>IF(N145="nulová",J145,0)</f>
        <v>0</v>
      </c>
      <c r="BJ145" s="16" t="s">
        <v>8</v>
      </c>
      <c r="BK145" s="231">
        <f>ROUND(I145*H145,0)</f>
        <v>0</v>
      </c>
      <c r="BL145" s="16" t="s">
        <v>163</v>
      </c>
      <c r="BM145" s="230" t="s">
        <v>1669</v>
      </c>
    </row>
    <row r="146" s="13" customFormat="1">
      <c r="A146" s="13"/>
      <c r="B146" s="232"/>
      <c r="C146" s="233"/>
      <c r="D146" s="234" t="s">
        <v>165</v>
      </c>
      <c r="E146" s="235" t="s">
        <v>1</v>
      </c>
      <c r="F146" s="236" t="s">
        <v>1663</v>
      </c>
      <c r="G146" s="233"/>
      <c r="H146" s="237">
        <v>911.06200000000001</v>
      </c>
      <c r="I146" s="238"/>
      <c r="J146" s="233"/>
      <c r="K146" s="233"/>
      <c r="L146" s="239"/>
      <c r="M146" s="240"/>
      <c r="N146" s="241"/>
      <c r="O146" s="241"/>
      <c r="P146" s="241"/>
      <c r="Q146" s="241"/>
      <c r="R146" s="241"/>
      <c r="S146" s="241"/>
      <c r="T146" s="242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T146" s="243" t="s">
        <v>165</v>
      </c>
      <c r="AU146" s="243" t="s">
        <v>86</v>
      </c>
      <c r="AV146" s="13" t="s">
        <v>86</v>
      </c>
      <c r="AW146" s="13" t="s">
        <v>32</v>
      </c>
      <c r="AX146" s="13" t="s">
        <v>77</v>
      </c>
      <c r="AY146" s="243" t="s">
        <v>157</v>
      </c>
    </row>
    <row r="147" s="13" customFormat="1">
      <c r="A147" s="13"/>
      <c r="B147" s="232"/>
      <c r="C147" s="233"/>
      <c r="D147" s="234" t="s">
        <v>165</v>
      </c>
      <c r="E147" s="235" t="s">
        <v>1</v>
      </c>
      <c r="F147" s="236" t="s">
        <v>1664</v>
      </c>
      <c r="G147" s="233"/>
      <c r="H147" s="237">
        <v>269.51400000000001</v>
      </c>
      <c r="I147" s="238"/>
      <c r="J147" s="233"/>
      <c r="K147" s="233"/>
      <c r="L147" s="239"/>
      <c r="M147" s="240"/>
      <c r="N147" s="241"/>
      <c r="O147" s="241"/>
      <c r="P147" s="241"/>
      <c r="Q147" s="241"/>
      <c r="R147" s="241"/>
      <c r="S147" s="241"/>
      <c r="T147" s="242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T147" s="243" t="s">
        <v>165</v>
      </c>
      <c r="AU147" s="243" t="s">
        <v>86</v>
      </c>
      <c r="AV147" s="13" t="s">
        <v>86</v>
      </c>
      <c r="AW147" s="13" t="s">
        <v>32</v>
      </c>
      <c r="AX147" s="13" t="s">
        <v>77</v>
      </c>
      <c r="AY147" s="243" t="s">
        <v>157</v>
      </c>
    </row>
    <row r="148" s="13" customFormat="1">
      <c r="A148" s="13"/>
      <c r="B148" s="232"/>
      <c r="C148" s="233"/>
      <c r="D148" s="234" t="s">
        <v>165</v>
      </c>
      <c r="E148" s="235" t="s">
        <v>1</v>
      </c>
      <c r="F148" s="236" t="s">
        <v>1666</v>
      </c>
      <c r="G148" s="233"/>
      <c r="H148" s="237">
        <v>3579.6060000000002</v>
      </c>
      <c r="I148" s="238"/>
      <c r="J148" s="233"/>
      <c r="K148" s="233"/>
      <c r="L148" s="239"/>
      <c r="M148" s="240"/>
      <c r="N148" s="241"/>
      <c r="O148" s="241"/>
      <c r="P148" s="241"/>
      <c r="Q148" s="241"/>
      <c r="R148" s="241"/>
      <c r="S148" s="241"/>
      <c r="T148" s="242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T148" s="243" t="s">
        <v>165</v>
      </c>
      <c r="AU148" s="243" t="s">
        <v>86</v>
      </c>
      <c r="AV148" s="13" t="s">
        <v>86</v>
      </c>
      <c r="AW148" s="13" t="s">
        <v>32</v>
      </c>
      <c r="AX148" s="13" t="s">
        <v>77</v>
      </c>
      <c r="AY148" s="243" t="s">
        <v>157</v>
      </c>
    </row>
    <row r="149" s="2" customFormat="1" ht="33" customHeight="1">
      <c r="A149" s="37"/>
      <c r="B149" s="38"/>
      <c r="C149" s="218" t="s">
        <v>190</v>
      </c>
      <c r="D149" s="218" t="s">
        <v>159</v>
      </c>
      <c r="E149" s="219" t="s">
        <v>191</v>
      </c>
      <c r="F149" s="220" t="s">
        <v>192</v>
      </c>
      <c r="G149" s="221" t="s">
        <v>193</v>
      </c>
      <c r="H149" s="222">
        <v>6264.3109999999997</v>
      </c>
      <c r="I149" s="223"/>
      <c r="J149" s="224">
        <f>ROUND(I149*H149,0)</f>
        <v>0</v>
      </c>
      <c r="K149" s="225"/>
      <c r="L149" s="43"/>
      <c r="M149" s="226" t="s">
        <v>1</v>
      </c>
      <c r="N149" s="227" t="s">
        <v>42</v>
      </c>
      <c r="O149" s="90"/>
      <c r="P149" s="228">
        <f>O149*H149</f>
        <v>0</v>
      </c>
      <c r="Q149" s="228">
        <v>0</v>
      </c>
      <c r="R149" s="228">
        <f>Q149*H149</f>
        <v>0</v>
      </c>
      <c r="S149" s="228">
        <v>0</v>
      </c>
      <c r="T149" s="229">
        <f>S149*H149</f>
        <v>0</v>
      </c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R149" s="230" t="s">
        <v>163</v>
      </c>
      <c r="AT149" s="230" t="s">
        <v>159</v>
      </c>
      <c r="AU149" s="230" t="s">
        <v>86</v>
      </c>
      <c r="AY149" s="16" t="s">
        <v>157</v>
      </c>
      <c r="BE149" s="231">
        <f>IF(N149="základní",J149,0)</f>
        <v>0</v>
      </c>
      <c r="BF149" s="231">
        <f>IF(N149="snížená",J149,0)</f>
        <v>0</v>
      </c>
      <c r="BG149" s="231">
        <f>IF(N149="zákl. přenesená",J149,0)</f>
        <v>0</v>
      </c>
      <c r="BH149" s="231">
        <f>IF(N149="sníž. přenesená",J149,0)</f>
        <v>0</v>
      </c>
      <c r="BI149" s="231">
        <f>IF(N149="nulová",J149,0)</f>
        <v>0</v>
      </c>
      <c r="BJ149" s="16" t="s">
        <v>8</v>
      </c>
      <c r="BK149" s="231">
        <f>ROUND(I149*H149,0)</f>
        <v>0</v>
      </c>
      <c r="BL149" s="16" t="s">
        <v>163</v>
      </c>
      <c r="BM149" s="230" t="s">
        <v>1670</v>
      </c>
    </row>
    <row r="150" s="13" customFormat="1">
      <c r="A150" s="13"/>
      <c r="B150" s="232"/>
      <c r="C150" s="233"/>
      <c r="D150" s="234" t="s">
        <v>165</v>
      </c>
      <c r="E150" s="235" t="s">
        <v>1</v>
      </c>
      <c r="F150" s="236" t="s">
        <v>1671</v>
      </c>
      <c r="G150" s="233"/>
      <c r="H150" s="237">
        <v>6264.3109999999997</v>
      </c>
      <c r="I150" s="238"/>
      <c r="J150" s="233"/>
      <c r="K150" s="233"/>
      <c r="L150" s="239"/>
      <c r="M150" s="240"/>
      <c r="N150" s="241"/>
      <c r="O150" s="241"/>
      <c r="P150" s="241"/>
      <c r="Q150" s="241"/>
      <c r="R150" s="241"/>
      <c r="S150" s="241"/>
      <c r="T150" s="242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T150" s="243" t="s">
        <v>165</v>
      </c>
      <c r="AU150" s="243" t="s">
        <v>86</v>
      </c>
      <c r="AV150" s="13" t="s">
        <v>86</v>
      </c>
      <c r="AW150" s="13" t="s">
        <v>32</v>
      </c>
      <c r="AX150" s="13" t="s">
        <v>77</v>
      </c>
      <c r="AY150" s="243" t="s">
        <v>157</v>
      </c>
    </row>
    <row r="151" s="2" customFormat="1" ht="16.5" customHeight="1">
      <c r="A151" s="37"/>
      <c r="B151" s="38"/>
      <c r="C151" s="218" t="s">
        <v>196</v>
      </c>
      <c r="D151" s="218" t="s">
        <v>159</v>
      </c>
      <c r="E151" s="219" t="s">
        <v>197</v>
      </c>
      <c r="F151" s="220" t="s">
        <v>198</v>
      </c>
      <c r="G151" s="221" t="s">
        <v>162</v>
      </c>
      <c r="H151" s="222">
        <v>8339.7880000000005</v>
      </c>
      <c r="I151" s="223"/>
      <c r="J151" s="224">
        <f>ROUND(I151*H151,0)</f>
        <v>0</v>
      </c>
      <c r="K151" s="225"/>
      <c r="L151" s="43"/>
      <c r="M151" s="226" t="s">
        <v>1</v>
      </c>
      <c r="N151" s="227" t="s">
        <v>42</v>
      </c>
      <c r="O151" s="90"/>
      <c r="P151" s="228">
        <f>O151*H151</f>
        <v>0</v>
      </c>
      <c r="Q151" s="228">
        <v>0</v>
      </c>
      <c r="R151" s="228">
        <f>Q151*H151</f>
        <v>0</v>
      </c>
      <c r="S151" s="228">
        <v>0</v>
      </c>
      <c r="T151" s="229">
        <f>S151*H151</f>
        <v>0</v>
      </c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R151" s="230" t="s">
        <v>163</v>
      </c>
      <c r="AT151" s="230" t="s">
        <v>159</v>
      </c>
      <c r="AU151" s="230" t="s">
        <v>86</v>
      </c>
      <c r="AY151" s="16" t="s">
        <v>157</v>
      </c>
      <c r="BE151" s="231">
        <f>IF(N151="základní",J151,0)</f>
        <v>0</v>
      </c>
      <c r="BF151" s="231">
        <f>IF(N151="snížená",J151,0)</f>
        <v>0</v>
      </c>
      <c r="BG151" s="231">
        <f>IF(N151="zákl. přenesená",J151,0)</f>
        <v>0</v>
      </c>
      <c r="BH151" s="231">
        <f>IF(N151="sníž. přenesená",J151,0)</f>
        <v>0</v>
      </c>
      <c r="BI151" s="231">
        <f>IF(N151="nulová",J151,0)</f>
        <v>0</v>
      </c>
      <c r="BJ151" s="16" t="s">
        <v>8</v>
      </c>
      <c r="BK151" s="231">
        <f>ROUND(I151*H151,0)</f>
        <v>0</v>
      </c>
      <c r="BL151" s="16" t="s">
        <v>163</v>
      </c>
      <c r="BM151" s="230" t="s">
        <v>1672</v>
      </c>
    </row>
    <row r="152" s="13" customFormat="1">
      <c r="A152" s="13"/>
      <c r="B152" s="232"/>
      <c r="C152" s="233"/>
      <c r="D152" s="234" t="s">
        <v>165</v>
      </c>
      <c r="E152" s="235" t="s">
        <v>1</v>
      </c>
      <c r="F152" s="236" t="s">
        <v>1663</v>
      </c>
      <c r="G152" s="233"/>
      <c r="H152" s="237">
        <v>911.06200000000001</v>
      </c>
      <c r="I152" s="238"/>
      <c r="J152" s="233"/>
      <c r="K152" s="233"/>
      <c r="L152" s="239"/>
      <c r="M152" s="240"/>
      <c r="N152" s="241"/>
      <c r="O152" s="241"/>
      <c r="P152" s="241"/>
      <c r="Q152" s="241"/>
      <c r="R152" s="241"/>
      <c r="S152" s="241"/>
      <c r="T152" s="24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T152" s="243" t="s">
        <v>165</v>
      </c>
      <c r="AU152" s="243" t="s">
        <v>86</v>
      </c>
      <c r="AV152" s="13" t="s">
        <v>86</v>
      </c>
      <c r="AW152" s="13" t="s">
        <v>32</v>
      </c>
      <c r="AX152" s="13" t="s">
        <v>77</v>
      </c>
      <c r="AY152" s="243" t="s">
        <v>157</v>
      </c>
    </row>
    <row r="153" s="13" customFormat="1">
      <c r="A153" s="13"/>
      <c r="B153" s="232"/>
      <c r="C153" s="233"/>
      <c r="D153" s="234" t="s">
        <v>165</v>
      </c>
      <c r="E153" s="235" t="s">
        <v>1</v>
      </c>
      <c r="F153" s="236" t="s">
        <v>1661</v>
      </c>
      <c r="G153" s="233"/>
      <c r="H153" s="237">
        <v>3849.1199999999999</v>
      </c>
      <c r="I153" s="238"/>
      <c r="J153" s="233"/>
      <c r="K153" s="233"/>
      <c r="L153" s="239"/>
      <c r="M153" s="240"/>
      <c r="N153" s="241"/>
      <c r="O153" s="241"/>
      <c r="P153" s="241"/>
      <c r="Q153" s="241"/>
      <c r="R153" s="241"/>
      <c r="S153" s="241"/>
      <c r="T153" s="24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T153" s="243" t="s">
        <v>165</v>
      </c>
      <c r="AU153" s="243" t="s">
        <v>86</v>
      </c>
      <c r="AV153" s="13" t="s">
        <v>86</v>
      </c>
      <c r="AW153" s="13" t="s">
        <v>32</v>
      </c>
      <c r="AX153" s="13" t="s">
        <v>77</v>
      </c>
      <c r="AY153" s="243" t="s">
        <v>157</v>
      </c>
    </row>
    <row r="154" s="13" customFormat="1">
      <c r="A154" s="13"/>
      <c r="B154" s="232"/>
      <c r="C154" s="233"/>
      <c r="D154" s="234" t="s">
        <v>165</v>
      </c>
      <c r="E154" s="235" t="s">
        <v>1</v>
      </c>
      <c r="F154" s="236" t="s">
        <v>1666</v>
      </c>
      <c r="G154" s="233"/>
      <c r="H154" s="237">
        <v>3579.6060000000002</v>
      </c>
      <c r="I154" s="238"/>
      <c r="J154" s="233"/>
      <c r="K154" s="233"/>
      <c r="L154" s="239"/>
      <c r="M154" s="240"/>
      <c r="N154" s="241"/>
      <c r="O154" s="241"/>
      <c r="P154" s="241"/>
      <c r="Q154" s="241"/>
      <c r="R154" s="241"/>
      <c r="S154" s="241"/>
      <c r="T154" s="24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T154" s="243" t="s">
        <v>165</v>
      </c>
      <c r="AU154" s="243" t="s">
        <v>86</v>
      </c>
      <c r="AV154" s="13" t="s">
        <v>86</v>
      </c>
      <c r="AW154" s="13" t="s">
        <v>32</v>
      </c>
      <c r="AX154" s="13" t="s">
        <v>77</v>
      </c>
      <c r="AY154" s="243" t="s">
        <v>157</v>
      </c>
    </row>
    <row r="155" s="2" customFormat="1" ht="24.15" customHeight="1">
      <c r="A155" s="37"/>
      <c r="B155" s="38"/>
      <c r="C155" s="218" t="s">
        <v>200</v>
      </c>
      <c r="D155" s="218" t="s">
        <v>159</v>
      </c>
      <c r="E155" s="219" t="s">
        <v>201</v>
      </c>
      <c r="F155" s="220" t="s">
        <v>202</v>
      </c>
      <c r="G155" s="221" t="s">
        <v>162</v>
      </c>
      <c r="H155" s="222">
        <v>269.51400000000001</v>
      </c>
      <c r="I155" s="223"/>
      <c r="J155" s="224">
        <f>ROUND(I155*H155,0)</f>
        <v>0</v>
      </c>
      <c r="K155" s="225"/>
      <c r="L155" s="43"/>
      <c r="M155" s="226" t="s">
        <v>1</v>
      </c>
      <c r="N155" s="227" t="s">
        <v>42</v>
      </c>
      <c r="O155" s="90"/>
      <c r="P155" s="228">
        <f>O155*H155</f>
        <v>0</v>
      </c>
      <c r="Q155" s="228">
        <v>0</v>
      </c>
      <c r="R155" s="228">
        <f>Q155*H155</f>
        <v>0</v>
      </c>
      <c r="S155" s="228">
        <v>0</v>
      </c>
      <c r="T155" s="229">
        <f>S155*H155</f>
        <v>0</v>
      </c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R155" s="230" t="s">
        <v>163</v>
      </c>
      <c r="AT155" s="230" t="s">
        <v>159</v>
      </c>
      <c r="AU155" s="230" t="s">
        <v>86</v>
      </c>
      <c r="AY155" s="16" t="s">
        <v>157</v>
      </c>
      <c r="BE155" s="231">
        <f>IF(N155="základní",J155,0)</f>
        <v>0</v>
      </c>
      <c r="BF155" s="231">
        <f>IF(N155="snížená",J155,0)</f>
        <v>0</v>
      </c>
      <c r="BG155" s="231">
        <f>IF(N155="zákl. přenesená",J155,0)</f>
        <v>0</v>
      </c>
      <c r="BH155" s="231">
        <f>IF(N155="sníž. přenesená",J155,0)</f>
        <v>0</v>
      </c>
      <c r="BI155" s="231">
        <f>IF(N155="nulová",J155,0)</f>
        <v>0</v>
      </c>
      <c r="BJ155" s="16" t="s">
        <v>8</v>
      </c>
      <c r="BK155" s="231">
        <f>ROUND(I155*H155,0)</f>
        <v>0</v>
      </c>
      <c r="BL155" s="16" t="s">
        <v>163</v>
      </c>
      <c r="BM155" s="230" t="s">
        <v>1673</v>
      </c>
    </row>
    <row r="156" s="13" customFormat="1">
      <c r="A156" s="13"/>
      <c r="B156" s="232"/>
      <c r="C156" s="233"/>
      <c r="D156" s="234" t="s">
        <v>165</v>
      </c>
      <c r="E156" s="235" t="s">
        <v>1</v>
      </c>
      <c r="F156" s="236" t="s">
        <v>1674</v>
      </c>
      <c r="G156" s="233"/>
      <c r="H156" s="237">
        <v>269.51400000000001</v>
      </c>
      <c r="I156" s="238"/>
      <c r="J156" s="233"/>
      <c r="K156" s="233"/>
      <c r="L156" s="239"/>
      <c r="M156" s="240"/>
      <c r="N156" s="241"/>
      <c r="O156" s="241"/>
      <c r="P156" s="241"/>
      <c r="Q156" s="241"/>
      <c r="R156" s="241"/>
      <c r="S156" s="241"/>
      <c r="T156" s="24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T156" s="243" t="s">
        <v>165</v>
      </c>
      <c r="AU156" s="243" t="s">
        <v>86</v>
      </c>
      <c r="AV156" s="13" t="s">
        <v>86</v>
      </c>
      <c r="AW156" s="13" t="s">
        <v>32</v>
      </c>
      <c r="AX156" s="13" t="s">
        <v>77</v>
      </c>
      <c r="AY156" s="243" t="s">
        <v>157</v>
      </c>
    </row>
    <row r="157" s="2" customFormat="1" ht="24.15" customHeight="1">
      <c r="A157" s="37"/>
      <c r="B157" s="38"/>
      <c r="C157" s="218" t="s">
        <v>206</v>
      </c>
      <c r="D157" s="218" t="s">
        <v>159</v>
      </c>
      <c r="E157" s="219" t="s">
        <v>207</v>
      </c>
      <c r="F157" s="220" t="s">
        <v>208</v>
      </c>
      <c r="G157" s="221" t="s">
        <v>209</v>
      </c>
      <c r="H157" s="222">
        <v>7128</v>
      </c>
      <c r="I157" s="223"/>
      <c r="J157" s="224">
        <f>ROUND(I157*H157,0)</f>
        <v>0</v>
      </c>
      <c r="K157" s="225"/>
      <c r="L157" s="43"/>
      <c r="M157" s="226" t="s">
        <v>1</v>
      </c>
      <c r="N157" s="227" t="s">
        <v>42</v>
      </c>
      <c r="O157" s="90"/>
      <c r="P157" s="228">
        <f>O157*H157</f>
        <v>0</v>
      </c>
      <c r="Q157" s="228">
        <v>0</v>
      </c>
      <c r="R157" s="228">
        <f>Q157*H157</f>
        <v>0</v>
      </c>
      <c r="S157" s="228">
        <v>0</v>
      </c>
      <c r="T157" s="229">
        <f>S157*H157</f>
        <v>0</v>
      </c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R157" s="230" t="s">
        <v>163</v>
      </c>
      <c r="AT157" s="230" t="s">
        <v>159</v>
      </c>
      <c r="AU157" s="230" t="s">
        <v>86</v>
      </c>
      <c r="AY157" s="16" t="s">
        <v>157</v>
      </c>
      <c r="BE157" s="231">
        <f>IF(N157="základní",J157,0)</f>
        <v>0</v>
      </c>
      <c r="BF157" s="231">
        <f>IF(N157="snížená",J157,0)</f>
        <v>0</v>
      </c>
      <c r="BG157" s="231">
        <f>IF(N157="zákl. přenesená",J157,0)</f>
        <v>0</v>
      </c>
      <c r="BH157" s="231">
        <f>IF(N157="sníž. přenesená",J157,0)</f>
        <v>0</v>
      </c>
      <c r="BI157" s="231">
        <f>IF(N157="nulová",J157,0)</f>
        <v>0</v>
      </c>
      <c r="BJ157" s="16" t="s">
        <v>8</v>
      </c>
      <c r="BK157" s="231">
        <f>ROUND(I157*H157,0)</f>
        <v>0</v>
      </c>
      <c r="BL157" s="16" t="s">
        <v>163</v>
      </c>
      <c r="BM157" s="230" t="s">
        <v>1675</v>
      </c>
    </row>
    <row r="158" s="13" customFormat="1">
      <c r="A158" s="13"/>
      <c r="B158" s="232"/>
      <c r="C158" s="233"/>
      <c r="D158" s="234" t="s">
        <v>165</v>
      </c>
      <c r="E158" s="235" t="s">
        <v>1</v>
      </c>
      <c r="F158" s="236" t="s">
        <v>1676</v>
      </c>
      <c r="G158" s="233"/>
      <c r="H158" s="237">
        <v>7128</v>
      </c>
      <c r="I158" s="238"/>
      <c r="J158" s="233"/>
      <c r="K158" s="233"/>
      <c r="L158" s="239"/>
      <c r="M158" s="240"/>
      <c r="N158" s="241"/>
      <c r="O158" s="241"/>
      <c r="P158" s="241"/>
      <c r="Q158" s="241"/>
      <c r="R158" s="241"/>
      <c r="S158" s="241"/>
      <c r="T158" s="24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T158" s="243" t="s">
        <v>165</v>
      </c>
      <c r="AU158" s="243" t="s">
        <v>86</v>
      </c>
      <c r="AV158" s="13" t="s">
        <v>86</v>
      </c>
      <c r="AW158" s="13" t="s">
        <v>32</v>
      </c>
      <c r="AX158" s="13" t="s">
        <v>77</v>
      </c>
      <c r="AY158" s="243" t="s">
        <v>157</v>
      </c>
    </row>
    <row r="159" s="12" customFormat="1" ht="22.8" customHeight="1">
      <c r="A159" s="12"/>
      <c r="B159" s="202"/>
      <c r="C159" s="203"/>
      <c r="D159" s="204" t="s">
        <v>76</v>
      </c>
      <c r="E159" s="216" t="s">
        <v>86</v>
      </c>
      <c r="F159" s="216" t="s">
        <v>212</v>
      </c>
      <c r="G159" s="203"/>
      <c r="H159" s="203"/>
      <c r="I159" s="206"/>
      <c r="J159" s="217">
        <f>BK159</f>
        <v>0</v>
      </c>
      <c r="K159" s="203"/>
      <c r="L159" s="208"/>
      <c r="M159" s="209"/>
      <c r="N159" s="210"/>
      <c r="O159" s="210"/>
      <c r="P159" s="211">
        <f>SUM(P160:P197)</f>
        <v>0</v>
      </c>
      <c r="Q159" s="210"/>
      <c r="R159" s="211">
        <f>SUM(R160:R197)</f>
        <v>4555.811703039999</v>
      </c>
      <c r="S159" s="210"/>
      <c r="T159" s="212">
        <f>SUM(T160:T197)</f>
        <v>98.542000000000002</v>
      </c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R159" s="213" t="s">
        <v>8</v>
      </c>
      <c r="AT159" s="214" t="s">
        <v>76</v>
      </c>
      <c r="AU159" s="214" t="s">
        <v>8</v>
      </c>
      <c r="AY159" s="213" t="s">
        <v>157</v>
      </c>
      <c r="BK159" s="215">
        <f>SUM(BK160:BK197)</f>
        <v>0</v>
      </c>
    </row>
    <row r="160" s="2" customFormat="1" ht="24.15" customHeight="1">
      <c r="A160" s="37"/>
      <c r="B160" s="38"/>
      <c r="C160" s="218" t="s">
        <v>213</v>
      </c>
      <c r="D160" s="218" t="s">
        <v>159</v>
      </c>
      <c r="E160" s="219" t="s">
        <v>1677</v>
      </c>
      <c r="F160" s="220" t="s">
        <v>1678</v>
      </c>
      <c r="G160" s="221" t="s">
        <v>216</v>
      </c>
      <c r="H160" s="222">
        <v>968</v>
      </c>
      <c r="I160" s="223"/>
      <c r="J160" s="224">
        <f>ROUND(I160*H160,0)</f>
        <v>0</v>
      </c>
      <c r="K160" s="225"/>
      <c r="L160" s="43"/>
      <c r="M160" s="226" t="s">
        <v>1</v>
      </c>
      <c r="N160" s="227" t="s">
        <v>42</v>
      </c>
      <c r="O160" s="90"/>
      <c r="P160" s="228">
        <f>O160*H160</f>
        <v>0</v>
      </c>
      <c r="Q160" s="228">
        <v>0.00014999999999999999</v>
      </c>
      <c r="R160" s="228">
        <f>Q160*H160</f>
        <v>0.1452</v>
      </c>
      <c r="S160" s="228">
        <v>0</v>
      </c>
      <c r="T160" s="229">
        <f>S160*H160</f>
        <v>0</v>
      </c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R160" s="230" t="s">
        <v>163</v>
      </c>
      <c r="AT160" s="230" t="s">
        <v>159</v>
      </c>
      <c r="AU160" s="230" t="s">
        <v>86</v>
      </c>
      <c r="AY160" s="16" t="s">
        <v>157</v>
      </c>
      <c r="BE160" s="231">
        <f>IF(N160="základní",J160,0)</f>
        <v>0</v>
      </c>
      <c r="BF160" s="231">
        <f>IF(N160="snížená",J160,0)</f>
        <v>0</v>
      </c>
      <c r="BG160" s="231">
        <f>IF(N160="zákl. přenesená",J160,0)</f>
        <v>0</v>
      </c>
      <c r="BH160" s="231">
        <f>IF(N160="sníž. přenesená",J160,0)</f>
        <v>0</v>
      </c>
      <c r="BI160" s="231">
        <f>IF(N160="nulová",J160,0)</f>
        <v>0</v>
      </c>
      <c r="BJ160" s="16" t="s">
        <v>8</v>
      </c>
      <c r="BK160" s="231">
        <f>ROUND(I160*H160,0)</f>
        <v>0</v>
      </c>
      <c r="BL160" s="16" t="s">
        <v>163</v>
      </c>
      <c r="BM160" s="230" t="s">
        <v>1679</v>
      </c>
    </row>
    <row r="161" s="13" customFormat="1">
      <c r="A161" s="13"/>
      <c r="B161" s="232"/>
      <c r="C161" s="233"/>
      <c r="D161" s="234" t="s">
        <v>165</v>
      </c>
      <c r="E161" s="235" t="s">
        <v>1</v>
      </c>
      <c r="F161" s="236" t="s">
        <v>1680</v>
      </c>
      <c r="G161" s="233"/>
      <c r="H161" s="237">
        <v>968</v>
      </c>
      <c r="I161" s="238"/>
      <c r="J161" s="233"/>
      <c r="K161" s="233"/>
      <c r="L161" s="239"/>
      <c r="M161" s="240"/>
      <c r="N161" s="241"/>
      <c r="O161" s="241"/>
      <c r="P161" s="241"/>
      <c r="Q161" s="241"/>
      <c r="R161" s="241"/>
      <c r="S161" s="241"/>
      <c r="T161" s="24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T161" s="243" t="s">
        <v>165</v>
      </c>
      <c r="AU161" s="243" t="s">
        <v>86</v>
      </c>
      <c r="AV161" s="13" t="s">
        <v>86</v>
      </c>
      <c r="AW161" s="13" t="s">
        <v>32</v>
      </c>
      <c r="AX161" s="13" t="s">
        <v>77</v>
      </c>
      <c r="AY161" s="243" t="s">
        <v>157</v>
      </c>
    </row>
    <row r="162" s="2" customFormat="1" ht="24.15" customHeight="1">
      <c r="A162" s="37"/>
      <c r="B162" s="38"/>
      <c r="C162" s="218" t="s">
        <v>219</v>
      </c>
      <c r="D162" s="218" t="s">
        <v>159</v>
      </c>
      <c r="E162" s="219" t="s">
        <v>1681</v>
      </c>
      <c r="F162" s="220" t="s">
        <v>1682</v>
      </c>
      <c r="G162" s="221" t="s">
        <v>216</v>
      </c>
      <c r="H162" s="222">
        <v>192</v>
      </c>
      <c r="I162" s="223"/>
      <c r="J162" s="224">
        <f>ROUND(I162*H162,0)</f>
        <v>0</v>
      </c>
      <c r="K162" s="225"/>
      <c r="L162" s="43"/>
      <c r="M162" s="226" t="s">
        <v>1</v>
      </c>
      <c r="N162" s="227" t="s">
        <v>42</v>
      </c>
      <c r="O162" s="90"/>
      <c r="P162" s="228">
        <f>O162*H162</f>
        <v>0</v>
      </c>
      <c r="Q162" s="228">
        <v>0.00017000000000000001</v>
      </c>
      <c r="R162" s="228">
        <f>Q162*H162</f>
        <v>0.032640000000000002</v>
      </c>
      <c r="S162" s="228">
        <v>0</v>
      </c>
      <c r="T162" s="229">
        <f>S162*H162</f>
        <v>0</v>
      </c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R162" s="230" t="s">
        <v>163</v>
      </c>
      <c r="AT162" s="230" t="s">
        <v>159</v>
      </c>
      <c r="AU162" s="230" t="s">
        <v>86</v>
      </c>
      <c r="AY162" s="16" t="s">
        <v>157</v>
      </c>
      <c r="BE162" s="231">
        <f>IF(N162="základní",J162,0)</f>
        <v>0</v>
      </c>
      <c r="BF162" s="231">
        <f>IF(N162="snížená",J162,0)</f>
        <v>0</v>
      </c>
      <c r="BG162" s="231">
        <f>IF(N162="zákl. přenesená",J162,0)</f>
        <v>0</v>
      </c>
      <c r="BH162" s="231">
        <f>IF(N162="sníž. přenesená",J162,0)</f>
        <v>0</v>
      </c>
      <c r="BI162" s="231">
        <f>IF(N162="nulová",J162,0)</f>
        <v>0</v>
      </c>
      <c r="BJ162" s="16" t="s">
        <v>8</v>
      </c>
      <c r="BK162" s="231">
        <f>ROUND(I162*H162,0)</f>
        <v>0</v>
      </c>
      <c r="BL162" s="16" t="s">
        <v>163</v>
      </c>
      <c r="BM162" s="230" t="s">
        <v>1683</v>
      </c>
    </row>
    <row r="163" s="13" customFormat="1">
      <c r="A163" s="13"/>
      <c r="B163" s="232"/>
      <c r="C163" s="233"/>
      <c r="D163" s="234" t="s">
        <v>165</v>
      </c>
      <c r="E163" s="235" t="s">
        <v>1</v>
      </c>
      <c r="F163" s="236" t="s">
        <v>1684</v>
      </c>
      <c r="G163" s="233"/>
      <c r="H163" s="237">
        <v>192</v>
      </c>
      <c r="I163" s="238"/>
      <c r="J163" s="233"/>
      <c r="K163" s="233"/>
      <c r="L163" s="239"/>
      <c r="M163" s="240"/>
      <c r="N163" s="241"/>
      <c r="O163" s="241"/>
      <c r="P163" s="241"/>
      <c r="Q163" s="241"/>
      <c r="R163" s="241"/>
      <c r="S163" s="241"/>
      <c r="T163" s="242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T163" s="243" t="s">
        <v>165</v>
      </c>
      <c r="AU163" s="243" t="s">
        <v>86</v>
      </c>
      <c r="AV163" s="13" t="s">
        <v>86</v>
      </c>
      <c r="AW163" s="13" t="s">
        <v>32</v>
      </c>
      <c r="AX163" s="13" t="s">
        <v>77</v>
      </c>
      <c r="AY163" s="243" t="s">
        <v>157</v>
      </c>
    </row>
    <row r="164" s="2" customFormat="1" ht="37.8" customHeight="1">
      <c r="A164" s="37"/>
      <c r="B164" s="38"/>
      <c r="C164" s="218" t="s">
        <v>9</v>
      </c>
      <c r="D164" s="218" t="s">
        <v>159</v>
      </c>
      <c r="E164" s="219" t="s">
        <v>1685</v>
      </c>
      <c r="F164" s="220" t="s">
        <v>1686</v>
      </c>
      <c r="G164" s="221" t="s">
        <v>216</v>
      </c>
      <c r="H164" s="222">
        <v>968</v>
      </c>
      <c r="I164" s="223"/>
      <c r="J164" s="224">
        <f>ROUND(I164*H164,0)</f>
        <v>0</v>
      </c>
      <c r="K164" s="225"/>
      <c r="L164" s="43"/>
      <c r="M164" s="226" t="s">
        <v>1</v>
      </c>
      <c r="N164" s="227" t="s">
        <v>42</v>
      </c>
      <c r="O164" s="90"/>
      <c r="P164" s="228">
        <f>O164*H164</f>
        <v>0</v>
      </c>
      <c r="Q164" s="228">
        <v>0</v>
      </c>
      <c r="R164" s="228">
        <f>Q164*H164</f>
        <v>0</v>
      </c>
      <c r="S164" s="228">
        <v>0</v>
      </c>
      <c r="T164" s="229">
        <f>S164*H164</f>
        <v>0</v>
      </c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R164" s="230" t="s">
        <v>163</v>
      </c>
      <c r="AT164" s="230" t="s">
        <v>159</v>
      </c>
      <c r="AU164" s="230" t="s">
        <v>86</v>
      </c>
      <c r="AY164" s="16" t="s">
        <v>157</v>
      </c>
      <c r="BE164" s="231">
        <f>IF(N164="základní",J164,0)</f>
        <v>0</v>
      </c>
      <c r="BF164" s="231">
        <f>IF(N164="snížená",J164,0)</f>
        <v>0</v>
      </c>
      <c r="BG164" s="231">
        <f>IF(N164="zákl. přenesená",J164,0)</f>
        <v>0</v>
      </c>
      <c r="BH164" s="231">
        <f>IF(N164="sníž. přenesená",J164,0)</f>
        <v>0</v>
      </c>
      <c r="BI164" s="231">
        <f>IF(N164="nulová",J164,0)</f>
        <v>0</v>
      </c>
      <c r="BJ164" s="16" t="s">
        <v>8</v>
      </c>
      <c r="BK164" s="231">
        <f>ROUND(I164*H164,0)</f>
        <v>0</v>
      </c>
      <c r="BL164" s="16" t="s">
        <v>163</v>
      </c>
      <c r="BM164" s="230" t="s">
        <v>1687</v>
      </c>
    </row>
    <row r="165" s="13" customFormat="1">
      <c r="A165" s="13"/>
      <c r="B165" s="232"/>
      <c r="C165" s="233"/>
      <c r="D165" s="234" t="s">
        <v>165</v>
      </c>
      <c r="E165" s="235" t="s">
        <v>1</v>
      </c>
      <c r="F165" s="236" t="s">
        <v>1680</v>
      </c>
      <c r="G165" s="233"/>
      <c r="H165" s="237">
        <v>968</v>
      </c>
      <c r="I165" s="238"/>
      <c r="J165" s="233"/>
      <c r="K165" s="233"/>
      <c r="L165" s="239"/>
      <c r="M165" s="240"/>
      <c r="N165" s="241"/>
      <c r="O165" s="241"/>
      <c r="P165" s="241"/>
      <c r="Q165" s="241"/>
      <c r="R165" s="241"/>
      <c r="S165" s="241"/>
      <c r="T165" s="24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T165" s="243" t="s">
        <v>165</v>
      </c>
      <c r="AU165" s="243" t="s">
        <v>86</v>
      </c>
      <c r="AV165" s="13" t="s">
        <v>86</v>
      </c>
      <c r="AW165" s="13" t="s">
        <v>32</v>
      </c>
      <c r="AX165" s="13" t="s">
        <v>77</v>
      </c>
      <c r="AY165" s="243" t="s">
        <v>157</v>
      </c>
    </row>
    <row r="166" s="2" customFormat="1" ht="37.8" customHeight="1">
      <c r="A166" s="37"/>
      <c r="B166" s="38"/>
      <c r="C166" s="218" t="s">
        <v>228</v>
      </c>
      <c r="D166" s="218" t="s">
        <v>159</v>
      </c>
      <c r="E166" s="219" t="s">
        <v>1688</v>
      </c>
      <c r="F166" s="220" t="s">
        <v>1689</v>
      </c>
      <c r="G166" s="221" t="s">
        <v>216</v>
      </c>
      <c r="H166" s="222">
        <v>192</v>
      </c>
      <c r="I166" s="223"/>
      <c r="J166" s="224">
        <f>ROUND(I166*H166,0)</f>
        <v>0</v>
      </c>
      <c r="K166" s="225"/>
      <c r="L166" s="43"/>
      <c r="M166" s="226" t="s">
        <v>1</v>
      </c>
      <c r="N166" s="227" t="s">
        <v>42</v>
      </c>
      <c r="O166" s="90"/>
      <c r="P166" s="228">
        <f>O166*H166</f>
        <v>0</v>
      </c>
      <c r="Q166" s="228">
        <v>0</v>
      </c>
      <c r="R166" s="228">
        <f>Q166*H166</f>
        <v>0</v>
      </c>
      <c r="S166" s="228">
        <v>0</v>
      </c>
      <c r="T166" s="229">
        <f>S166*H166</f>
        <v>0</v>
      </c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R166" s="230" t="s">
        <v>163</v>
      </c>
      <c r="AT166" s="230" t="s">
        <v>159</v>
      </c>
      <c r="AU166" s="230" t="s">
        <v>86</v>
      </c>
      <c r="AY166" s="16" t="s">
        <v>157</v>
      </c>
      <c r="BE166" s="231">
        <f>IF(N166="základní",J166,0)</f>
        <v>0</v>
      </c>
      <c r="BF166" s="231">
        <f>IF(N166="snížená",J166,0)</f>
        <v>0</v>
      </c>
      <c r="BG166" s="231">
        <f>IF(N166="zákl. přenesená",J166,0)</f>
        <v>0</v>
      </c>
      <c r="BH166" s="231">
        <f>IF(N166="sníž. přenesená",J166,0)</f>
        <v>0</v>
      </c>
      <c r="BI166" s="231">
        <f>IF(N166="nulová",J166,0)</f>
        <v>0</v>
      </c>
      <c r="BJ166" s="16" t="s">
        <v>8</v>
      </c>
      <c r="BK166" s="231">
        <f>ROUND(I166*H166,0)</f>
        <v>0</v>
      </c>
      <c r="BL166" s="16" t="s">
        <v>163</v>
      </c>
      <c r="BM166" s="230" t="s">
        <v>1690</v>
      </c>
    </row>
    <row r="167" s="13" customFormat="1">
      <c r="A167" s="13"/>
      <c r="B167" s="232"/>
      <c r="C167" s="233"/>
      <c r="D167" s="234" t="s">
        <v>165</v>
      </c>
      <c r="E167" s="235" t="s">
        <v>1</v>
      </c>
      <c r="F167" s="236" t="s">
        <v>1684</v>
      </c>
      <c r="G167" s="233"/>
      <c r="H167" s="237">
        <v>192</v>
      </c>
      <c r="I167" s="238"/>
      <c r="J167" s="233"/>
      <c r="K167" s="233"/>
      <c r="L167" s="239"/>
      <c r="M167" s="240"/>
      <c r="N167" s="241"/>
      <c r="O167" s="241"/>
      <c r="P167" s="241"/>
      <c r="Q167" s="241"/>
      <c r="R167" s="241"/>
      <c r="S167" s="241"/>
      <c r="T167" s="242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T167" s="243" t="s">
        <v>165</v>
      </c>
      <c r="AU167" s="243" t="s">
        <v>86</v>
      </c>
      <c r="AV167" s="13" t="s">
        <v>86</v>
      </c>
      <c r="AW167" s="13" t="s">
        <v>32</v>
      </c>
      <c r="AX167" s="13" t="s">
        <v>77</v>
      </c>
      <c r="AY167" s="243" t="s">
        <v>157</v>
      </c>
    </row>
    <row r="168" s="2" customFormat="1" ht="24.15" customHeight="1">
      <c r="A168" s="37"/>
      <c r="B168" s="38"/>
      <c r="C168" s="254" t="s">
        <v>235</v>
      </c>
      <c r="D168" s="254" t="s">
        <v>229</v>
      </c>
      <c r="E168" s="255" t="s">
        <v>230</v>
      </c>
      <c r="F168" s="256" t="s">
        <v>231</v>
      </c>
      <c r="G168" s="257" t="s">
        <v>162</v>
      </c>
      <c r="H168" s="258">
        <v>956.61500000000001</v>
      </c>
      <c r="I168" s="259"/>
      <c r="J168" s="260">
        <f>ROUND(I168*H168,0)</f>
        <v>0</v>
      </c>
      <c r="K168" s="261"/>
      <c r="L168" s="262"/>
      <c r="M168" s="263" t="s">
        <v>1</v>
      </c>
      <c r="N168" s="264" t="s">
        <v>42</v>
      </c>
      <c r="O168" s="90"/>
      <c r="P168" s="228">
        <f>O168*H168</f>
        <v>0</v>
      </c>
      <c r="Q168" s="228">
        <v>2.4289999999999998</v>
      </c>
      <c r="R168" s="228">
        <f>Q168*H168</f>
        <v>2323.617835</v>
      </c>
      <c r="S168" s="228">
        <v>0</v>
      </c>
      <c r="T168" s="229">
        <f>S168*H168</f>
        <v>0</v>
      </c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R168" s="230" t="s">
        <v>200</v>
      </c>
      <c r="AT168" s="230" t="s">
        <v>229</v>
      </c>
      <c r="AU168" s="230" t="s">
        <v>86</v>
      </c>
      <c r="AY168" s="16" t="s">
        <v>157</v>
      </c>
      <c r="BE168" s="231">
        <f>IF(N168="základní",J168,0)</f>
        <v>0</v>
      </c>
      <c r="BF168" s="231">
        <f>IF(N168="snížená",J168,0)</f>
        <v>0</v>
      </c>
      <c r="BG168" s="231">
        <f>IF(N168="zákl. přenesená",J168,0)</f>
        <v>0</v>
      </c>
      <c r="BH168" s="231">
        <f>IF(N168="sníž. přenesená",J168,0)</f>
        <v>0</v>
      </c>
      <c r="BI168" s="231">
        <f>IF(N168="nulová",J168,0)</f>
        <v>0</v>
      </c>
      <c r="BJ168" s="16" t="s">
        <v>8</v>
      </c>
      <c r="BK168" s="231">
        <f>ROUND(I168*H168,0)</f>
        <v>0</v>
      </c>
      <c r="BL168" s="16" t="s">
        <v>163</v>
      </c>
      <c r="BM168" s="230" t="s">
        <v>1691</v>
      </c>
    </row>
    <row r="169" s="13" customFormat="1">
      <c r="A169" s="13"/>
      <c r="B169" s="232"/>
      <c r="C169" s="233"/>
      <c r="D169" s="234" t="s">
        <v>165</v>
      </c>
      <c r="E169" s="235" t="s">
        <v>1</v>
      </c>
      <c r="F169" s="236" t="s">
        <v>1692</v>
      </c>
      <c r="G169" s="233"/>
      <c r="H169" s="237">
        <v>911.06200000000001</v>
      </c>
      <c r="I169" s="238"/>
      <c r="J169" s="233"/>
      <c r="K169" s="233"/>
      <c r="L169" s="239"/>
      <c r="M169" s="240"/>
      <c r="N169" s="241"/>
      <c r="O169" s="241"/>
      <c r="P169" s="241"/>
      <c r="Q169" s="241"/>
      <c r="R169" s="241"/>
      <c r="S169" s="241"/>
      <c r="T169" s="242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T169" s="243" t="s">
        <v>165</v>
      </c>
      <c r="AU169" s="243" t="s">
        <v>86</v>
      </c>
      <c r="AV169" s="13" t="s">
        <v>86</v>
      </c>
      <c r="AW169" s="13" t="s">
        <v>32</v>
      </c>
      <c r="AX169" s="13" t="s">
        <v>8</v>
      </c>
      <c r="AY169" s="243" t="s">
        <v>157</v>
      </c>
    </row>
    <row r="170" s="13" customFormat="1">
      <c r="A170" s="13"/>
      <c r="B170" s="232"/>
      <c r="C170" s="233"/>
      <c r="D170" s="234" t="s">
        <v>165</v>
      </c>
      <c r="E170" s="233"/>
      <c r="F170" s="236" t="s">
        <v>1693</v>
      </c>
      <c r="G170" s="233"/>
      <c r="H170" s="237">
        <v>956.61500000000001</v>
      </c>
      <c r="I170" s="238"/>
      <c r="J170" s="233"/>
      <c r="K170" s="233"/>
      <c r="L170" s="239"/>
      <c r="M170" s="240"/>
      <c r="N170" s="241"/>
      <c r="O170" s="241"/>
      <c r="P170" s="241"/>
      <c r="Q170" s="241"/>
      <c r="R170" s="241"/>
      <c r="S170" s="241"/>
      <c r="T170" s="242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T170" s="243" t="s">
        <v>165</v>
      </c>
      <c r="AU170" s="243" t="s">
        <v>86</v>
      </c>
      <c r="AV170" s="13" t="s">
        <v>86</v>
      </c>
      <c r="AW170" s="13" t="s">
        <v>4</v>
      </c>
      <c r="AX170" s="13" t="s">
        <v>8</v>
      </c>
      <c r="AY170" s="243" t="s">
        <v>157</v>
      </c>
    </row>
    <row r="171" s="2" customFormat="1" ht="24.15" customHeight="1">
      <c r="A171" s="37"/>
      <c r="B171" s="38"/>
      <c r="C171" s="218" t="s">
        <v>241</v>
      </c>
      <c r="D171" s="218" t="s">
        <v>159</v>
      </c>
      <c r="E171" s="219" t="s">
        <v>236</v>
      </c>
      <c r="F171" s="220" t="s">
        <v>237</v>
      </c>
      <c r="G171" s="221" t="s">
        <v>193</v>
      </c>
      <c r="H171" s="222">
        <v>41.396999999999998</v>
      </c>
      <c r="I171" s="223"/>
      <c r="J171" s="224">
        <f>ROUND(I171*H171,0)</f>
        <v>0</v>
      </c>
      <c r="K171" s="225"/>
      <c r="L171" s="43"/>
      <c r="M171" s="226" t="s">
        <v>1</v>
      </c>
      <c r="N171" s="227" t="s">
        <v>42</v>
      </c>
      <c r="O171" s="90"/>
      <c r="P171" s="228">
        <f>O171*H171</f>
        <v>0</v>
      </c>
      <c r="Q171" s="228">
        <v>1.11381</v>
      </c>
      <c r="R171" s="228">
        <f>Q171*H171</f>
        <v>46.108392569999999</v>
      </c>
      <c r="S171" s="228">
        <v>0</v>
      </c>
      <c r="T171" s="229">
        <f>S171*H171</f>
        <v>0</v>
      </c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R171" s="230" t="s">
        <v>163</v>
      </c>
      <c r="AT171" s="230" t="s">
        <v>159</v>
      </c>
      <c r="AU171" s="230" t="s">
        <v>86</v>
      </c>
      <c r="AY171" s="16" t="s">
        <v>157</v>
      </c>
      <c r="BE171" s="231">
        <f>IF(N171="základní",J171,0)</f>
        <v>0</v>
      </c>
      <c r="BF171" s="231">
        <f>IF(N171="snížená",J171,0)</f>
        <v>0</v>
      </c>
      <c r="BG171" s="231">
        <f>IF(N171="zákl. přenesená",J171,0)</f>
        <v>0</v>
      </c>
      <c r="BH171" s="231">
        <f>IF(N171="sníž. přenesená",J171,0)</f>
        <v>0</v>
      </c>
      <c r="BI171" s="231">
        <f>IF(N171="nulová",J171,0)</f>
        <v>0</v>
      </c>
      <c r="BJ171" s="16" t="s">
        <v>8</v>
      </c>
      <c r="BK171" s="231">
        <f>ROUND(I171*H171,0)</f>
        <v>0</v>
      </c>
      <c r="BL171" s="16" t="s">
        <v>163</v>
      </c>
      <c r="BM171" s="230" t="s">
        <v>1694</v>
      </c>
    </row>
    <row r="172" s="13" customFormat="1">
      <c r="A172" s="13"/>
      <c r="B172" s="232"/>
      <c r="C172" s="233"/>
      <c r="D172" s="234" t="s">
        <v>165</v>
      </c>
      <c r="E172" s="235" t="s">
        <v>1</v>
      </c>
      <c r="F172" s="236" t="s">
        <v>1695</v>
      </c>
      <c r="G172" s="233"/>
      <c r="H172" s="237">
        <v>34.381999999999998</v>
      </c>
      <c r="I172" s="238"/>
      <c r="J172" s="233"/>
      <c r="K172" s="233"/>
      <c r="L172" s="239"/>
      <c r="M172" s="240"/>
      <c r="N172" s="241"/>
      <c r="O172" s="241"/>
      <c r="P172" s="241"/>
      <c r="Q172" s="241"/>
      <c r="R172" s="241"/>
      <c r="S172" s="241"/>
      <c r="T172" s="24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T172" s="243" t="s">
        <v>165</v>
      </c>
      <c r="AU172" s="243" t="s">
        <v>86</v>
      </c>
      <c r="AV172" s="13" t="s">
        <v>86</v>
      </c>
      <c r="AW172" s="13" t="s">
        <v>32</v>
      </c>
      <c r="AX172" s="13" t="s">
        <v>77</v>
      </c>
      <c r="AY172" s="243" t="s">
        <v>157</v>
      </c>
    </row>
    <row r="173" s="13" customFormat="1">
      <c r="A173" s="13"/>
      <c r="B173" s="232"/>
      <c r="C173" s="233"/>
      <c r="D173" s="234" t="s">
        <v>165</v>
      </c>
      <c r="E173" s="235" t="s">
        <v>1</v>
      </c>
      <c r="F173" s="236" t="s">
        <v>1696</v>
      </c>
      <c r="G173" s="233"/>
      <c r="H173" s="237">
        <v>7.0149999999999997</v>
      </c>
      <c r="I173" s="238"/>
      <c r="J173" s="233"/>
      <c r="K173" s="233"/>
      <c r="L173" s="239"/>
      <c r="M173" s="240"/>
      <c r="N173" s="241"/>
      <c r="O173" s="241"/>
      <c r="P173" s="241"/>
      <c r="Q173" s="241"/>
      <c r="R173" s="241"/>
      <c r="S173" s="241"/>
      <c r="T173" s="24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T173" s="243" t="s">
        <v>165</v>
      </c>
      <c r="AU173" s="243" t="s">
        <v>86</v>
      </c>
      <c r="AV173" s="13" t="s">
        <v>86</v>
      </c>
      <c r="AW173" s="13" t="s">
        <v>32</v>
      </c>
      <c r="AX173" s="13" t="s">
        <v>77</v>
      </c>
      <c r="AY173" s="243" t="s">
        <v>157</v>
      </c>
    </row>
    <row r="174" s="2" customFormat="1" ht="24.15" customHeight="1">
      <c r="A174" s="37"/>
      <c r="B174" s="38"/>
      <c r="C174" s="218" t="s">
        <v>246</v>
      </c>
      <c r="D174" s="218" t="s">
        <v>159</v>
      </c>
      <c r="E174" s="219" t="s">
        <v>1697</v>
      </c>
      <c r="F174" s="220" t="s">
        <v>1698</v>
      </c>
      <c r="G174" s="221" t="s">
        <v>216</v>
      </c>
      <c r="H174" s="222">
        <v>58</v>
      </c>
      <c r="I174" s="223"/>
      <c r="J174" s="224">
        <f>ROUND(I174*H174,0)</f>
        <v>0</v>
      </c>
      <c r="K174" s="225"/>
      <c r="L174" s="43"/>
      <c r="M174" s="226" t="s">
        <v>1</v>
      </c>
      <c r="N174" s="227" t="s">
        <v>42</v>
      </c>
      <c r="O174" s="90"/>
      <c r="P174" s="228">
        <f>O174*H174</f>
        <v>0</v>
      </c>
      <c r="Q174" s="228">
        <v>0</v>
      </c>
      <c r="R174" s="228">
        <f>Q174*H174</f>
        <v>0</v>
      </c>
      <c r="S174" s="228">
        <v>1.6990000000000001</v>
      </c>
      <c r="T174" s="229">
        <f>S174*H174</f>
        <v>98.542000000000002</v>
      </c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R174" s="230" t="s">
        <v>163</v>
      </c>
      <c r="AT174" s="230" t="s">
        <v>159</v>
      </c>
      <c r="AU174" s="230" t="s">
        <v>86</v>
      </c>
      <c r="AY174" s="16" t="s">
        <v>157</v>
      </c>
      <c r="BE174" s="231">
        <f>IF(N174="základní",J174,0)</f>
        <v>0</v>
      </c>
      <c r="BF174" s="231">
        <f>IF(N174="snížená",J174,0)</f>
        <v>0</v>
      </c>
      <c r="BG174" s="231">
        <f>IF(N174="zákl. přenesená",J174,0)</f>
        <v>0</v>
      </c>
      <c r="BH174" s="231">
        <f>IF(N174="sníž. přenesená",J174,0)</f>
        <v>0</v>
      </c>
      <c r="BI174" s="231">
        <f>IF(N174="nulová",J174,0)</f>
        <v>0</v>
      </c>
      <c r="BJ174" s="16" t="s">
        <v>8</v>
      </c>
      <c r="BK174" s="231">
        <f>ROUND(I174*H174,0)</f>
        <v>0</v>
      </c>
      <c r="BL174" s="16" t="s">
        <v>163</v>
      </c>
      <c r="BM174" s="230" t="s">
        <v>1699</v>
      </c>
    </row>
    <row r="175" s="13" customFormat="1">
      <c r="A175" s="13"/>
      <c r="B175" s="232"/>
      <c r="C175" s="233"/>
      <c r="D175" s="234" t="s">
        <v>165</v>
      </c>
      <c r="E175" s="235" t="s">
        <v>1</v>
      </c>
      <c r="F175" s="236" t="s">
        <v>1700</v>
      </c>
      <c r="G175" s="233"/>
      <c r="H175" s="237">
        <v>58</v>
      </c>
      <c r="I175" s="238"/>
      <c r="J175" s="233"/>
      <c r="K175" s="233"/>
      <c r="L175" s="239"/>
      <c r="M175" s="240"/>
      <c r="N175" s="241"/>
      <c r="O175" s="241"/>
      <c r="P175" s="241"/>
      <c r="Q175" s="241"/>
      <c r="R175" s="241"/>
      <c r="S175" s="241"/>
      <c r="T175" s="24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T175" s="243" t="s">
        <v>165</v>
      </c>
      <c r="AU175" s="243" t="s">
        <v>86</v>
      </c>
      <c r="AV175" s="13" t="s">
        <v>86</v>
      </c>
      <c r="AW175" s="13" t="s">
        <v>32</v>
      </c>
      <c r="AX175" s="13" t="s">
        <v>77</v>
      </c>
      <c r="AY175" s="243" t="s">
        <v>157</v>
      </c>
    </row>
    <row r="176" s="2" customFormat="1" ht="21.75" customHeight="1">
      <c r="A176" s="37"/>
      <c r="B176" s="38"/>
      <c r="C176" s="218" t="s">
        <v>251</v>
      </c>
      <c r="D176" s="218" t="s">
        <v>159</v>
      </c>
      <c r="E176" s="219" t="s">
        <v>1701</v>
      </c>
      <c r="F176" s="220" t="s">
        <v>1702</v>
      </c>
      <c r="G176" s="221" t="s">
        <v>565</v>
      </c>
      <c r="H176" s="222">
        <v>66</v>
      </c>
      <c r="I176" s="223"/>
      <c r="J176" s="224">
        <f>ROUND(I176*H176,0)</f>
        <v>0</v>
      </c>
      <c r="K176" s="225"/>
      <c r="L176" s="43"/>
      <c r="M176" s="226" t="s">
        <v>1</v>
      </c>
      <c r="N176" s="227" t="s">
        <v>42</v>
      </c>
      <c r="O176" s="90"/>
      <c r="P176" s="228">
        <f>O176*H176</f>
        <v>0</v>
      </c>
      <c r="Q176" s="228">
        <v>0.06019</v>
      </c>
      <c r="R176" s="228">
        <f>Q176*H176</f>
        <v>3.97254</v>
      </c>
      <c r="S176" s="228">
        <v>0</v>
      </c>
      <c r="T176" s="229">
        <f>S176*H176</f>
        <v>0</v>
      </c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R176" s="230" t="s">
        <v>163</v>
      </c>
      <c r="AT176" s="230" t="s">
        <v>159</v>
      </c>
      <c r="AU176" s="230" t="s">
        <v>86</v>
      </c>
      <c r="AY176" s="16" t="s">
        <v>157</v>
      </c>
      <c r="BE176" s="231">
        <f>IF(N176="základní",J176,0)</f>
        <v>0</v>
      </c>
      <c r="BF176" s="231">
        <f>IF(N176="snížená",J176,0)</f>
        <v>0</v>
      </c>
      <c r="BG176" s="231">
        <f>IF(N176="zákl. přenesená",J176,0)</f>
        <v>0</v>
      </c>
      <c r="BH176" s="231">
        <f>IF(N176="sníž. přenesená",J176,0)</f>
        <v>0</v>
      </c>
      <c r="BI176" s="231">
        <f>IF(N176="nulová",J176,0)</f>
        <v>0</v>
      </c>
      <c r="BJ176" s="16" t="s">
        <v>8</v>
      </c>
      <c r="BK176" s="231">
        <f>ROUND(I176*H176,0)</f>
        <v>0</v>
      </c>
      <c r="BL176" s="16" t="s">
        <v>163</v>
      </c>
      <c r="BM176" s="230" t="s">
        <v>1703</v>
      </c>
    </row>
    <row r="177" s="2" customFormat="1" ht="24.15" customHeight="1">
      <c r="A177" s="37"/>
      <c r="B177" s="38"/>
      <c r="C177" s="254" t="s">
        <v>256</v>
      </c>
      <c r="D177" s="254" t="s">
        <v>229</v>
      </c>
      <c r="E177" s="255" t="s">
        <v>1704</v>
      </c>
      <c r="F177" s="256" t="s">
        <v>1705</v>
      </c>
      <c r="G177" s="257" t="s">
        <v>162</v>
      </c>
      <c r="H177" s="258">
        <v>327.714</v>
      </c>
      <c r="I177" s="259"/>
      <c r="J177" s="260">
        <f>ROUND(I177*H177,0)</f>
        <v>0</v>
      </c>
      <c r="K177" s="261"/>
      <c r="L177" s="262"/>
      <c r="M177" s="263" t="s">
        <v>1</v>
      </c>
      <c r="N177" s="264" t="s">
        <v>42</v>
      </c>
      <c r="O177" s="90"/>
      <c r="P177" s="228">
        <f>O177*H177</f>
        <v>0</v>
      </c>
      <c r="Q177" s="228">
        <v>2.6200000000000001</v>
      </c>
      <c r="R177" s="228">
        <f>Q177*H177</f>
        <v>858.61068</v>
      </c>
      <c r="S177" s="228">
        <v>0</v>
      </c>
      <c r="T177" s="229">
        <f>S177*H177</f>
        <v>0</v>
      </c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R177" s="230" t="s">
        <v>200</v>
      </c>
      <c r="AT177" s="230" t="s">
        <v>229</v>
      </c>
      <c r="AU177" s="230" t="s">
        <v>86</v>
      </c>
      <c r="AY177" s="16" t="s">
        <v>157</v>
      </c>
      <c r="BE177" s="231">
        <f>IF(N177="základní",J177,0)</f>
        <v>0</v>
      </c>
      <c r="BF177" s="231">
        <f>IF(N177="snížená",J177,0)</f>
        <v>0</v>
      </c>
      <c r="BG177" s="231">
        <f>IF(N177="zákl. přenesená",J177,0)</f>
        <v>0</v>
      </c>
      <c r="BH177" s="231">
        <f>IF(N177="sníž. přenesená",J177,0)</f>
        <v>0</v>
      </c>
      <c r="BI177" s="231">
        <f>IF(N177="nulová",J177,0)</f>
        <v>0</v>
      </c>
      <c r="BJ177" s="16" t="s">
        <v>8</v>
      </c>
      <c r="BK177" s="231">
        <f>ROUND(I177*H177,0)</f>
        <v>0</v>
      </c>
      <c r="BL177" s="16" t="s">
        <v>163</v>
      </c>
      <c r="BM177" s="230" t="s">
        <v>1706</v>
      </c>
    </row>
    <row r="178" s="13" customFormat="1">
      <c r="A178" s="13"/>
      <c r="B178" s="232"/>
      <c r="C178" s="233"/>
      <c r="D178" s="234" t="s">
        <v>165</v>
      </c>
      <c r="E178" s="235" t="s">
        <v>1</v>
      </c>
      <c r="F178" s="236" t="s">
        <v>1707</v>
      </c>
      <c r="G178" s="233"/>
      <c r="H178" s="237">
        <v>207.16200000000001</v>
      </c>
      <c r="I178" s="238"/>
      <c r="J178" s="233"/>
      <c r="K178" s="233"/>
      <c r="L178" s="239"/>
      <c r="M178" s="240"/>
      <c r="N178" s="241"/>
      <c r="O178" s="241"/>
      <c r="P178" s="241"/>
      <c r="Q178" s="241"/>
      <c r="R178" s="241"/>
      <c r="S178" s="241"/>
      <c r="T178" s="24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T178" s="243" t="s">
        <v>165</v>
      </c>
      <c r="AU178" s="243" t="s">
        <v>86</v>
      </c>
      <c r="AV178" s="13" t="s">
        <v>86</v>
      </c>
      <c r="AW178" s="13" t="s">
        <v>32</v>
      </c>
      <c r="AX178" s="13" t="s">
        <v>77</v>
      </c>
      <c r="AY178" s="243" t="s">
        <v>157</v>
      </c>
    </row>
    <row r="179" s="13" customFormat="1">
      <c r="A179" s="13"/>
      <c r="B179" s="232"/>
      <c r="C179" s="233"/>
      <c r="D179" s="234" t="s">
        <v>165</v>
      </c>
      <c r="E179" s="235" t="s">
        <v>1</v>
      </c>
      <c r="F179" s="236" t="s">
        <v>1708</v>
      </c>
      <c r="G179" s="233"/>
      <c r="H179" s="237">
        <v>120.55200000000001</v>
      </c>
      <c r="I179" s="238"/>
      <c r="J179" s="233"/>
      <c r="K179" s="233"/>
      <c r="L179" s="239"/>
      <c r="M179" s="240"/>
      <c r="N179" s="241"/>
      <c r="O179" s="241"/>
      <c r="P179" s="241"/>
      <c r="Q179" s="241"/>
      <c r="R179" s="241"/>
      <c r="S179" s="241"/>
      <c r="T179" s="24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T179" s="243" t="s">
        <v>165</v>
      </c>
      <c r="AU179" s="243" t="s">
        <v>86</v>
      </c>
      <c r="AV179" s="13" t="s">
        <v>86</v>
      </c>
      <c r="AW179" s="13" t="s">
        <v>32</v>
      </c>
      <c r="AX179" s="13" t="s">
        <v>77</v>
      </c>
      <c r="AY179" s="243" t="s">
        <v>157</v>
      </c>
    </row>
    <row r="180" s="2" customFormat="1" ht="16.5" customHeight="1">
      <c r="A180" s="37"/>
      <c r="B180" s="38"/>
      <c r="C180" s="218" t="s">
        <v>260</v>
      </c>
      <c r="D180" s="218" t="s">
        <v>159</v>
      </c>
      <c r="E180" s="219" t="s">
        <v>1709</v>
      </c>
      <c r="F180" s="220" t="s">
        <v>1710</v>
      </c>
      <c r="G180" s="221" t="s">
        <v>162</v>
      </c>
      <c r="H180" s="222">
        <v>22.904</v>
      </c>
      <c r="I180" s="223"/>
      <c r="J180" s="224">
        <f>ROUND(I180*H180,0)</f>
        <v>0</v>
      </c>
      <c r="K180" s="225"/>
      <c r="L180" s="43"/>
      <c r="M180" s="226" t="s">
        <v>1</v>
      </c>
      <c r="N180" s="227" t="s">
        <v>42</v>
      </c>
      <c r="O180" s="90"/>
      <c r="P180" s="228">
        <f>O180*H180</f>
        <v>0</v>
      </c>
      <c r="Q180" s="228">
        <v>2.5018699999999998</v>
      </c>
      <c r="R180" s="228">
        <f>Q180*H180</f>
        <v>57.302830479999997</v>
      </c>
      <c r="S180" s="228">
        <v>0</v>
      </c>
      <c r="T180" s="229">
        <f>S180*H180</f>
        <v>0</v>
      </c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R180" s="230" t="s">
        <v>163</v>
      </c>
      <c r="AT180" s="230" t="s">
        <v>159</v>
      </c>
      <c r="AU180" s="230" t="s">
        <v>86</v>
      </c>
      <c r="AY180" s="16" t="s">
        <v>157</v>
      </c>
      <c r="BE180" s="231">
        <f>IF(N180="základní",J180,0)</f>
        <v>0</v>
      </c>
      <c r="BF180" s="231">
        <f>IF(N180="snížená",J180,0)</f>
        <v>0</v>
      </c>
      <c r="BG180" s="231">
        <f>IF(N180="zákl. přenesená",J180,0)</f>
        <v>0</v>
      </c>
      <c r="BH180" s="231">
        <f>IF(N180="sníž. přenesená",J180,0)</f>
        <v>0</v>
      </c>
      <c r="BI180" s="231">
        <f>IF(N180="nulová",J180,0)</f>
        <v>0</v>
      </c>
      <c r="BJ180" s="16" t="s">
        <v>8</v>
      </c>
      <c r="BK180" s="231">
        <f>ROUND(I180*H180,0)</f>
        <v>0</v>
      </c>
      <c r="BL180" s="16" t="s">
        <v>163</v>
      </c>
      <c r="BM180" s="230" t="s">
        <v>1711</v>
      </c>
    </row>
    <row r="181" s="13" customFormat="1">
      <c r="A181" s="13"/>
      <c r="B181" s="232"/>
      <c r="C181" s="233"/>
      <c r="D181" s="234" t="s">
        <v>165</v>
      </c>
      <c r="E181" s="235" t="s">
        <v>1</v>
      </c>
      <c r="F181" s="236" t="s">
        <v>1712</v>
      </c>
      <c r="G181" s="233"/>
      <c r="H181" s="237">
        <v>17.222999999999999</v>
      </c>
      <c r="I181" s="238"/>
      <c r="J181" s="233"/>
      <c r="K181" s="233"/>
      <c r="L181" s="239"/>
      <c r="M181" s="240"/>
      <c r="N181" s="241"/>
      <c r="O181" s="241"/>
      <c r="P181" s="241"/>
      <c r="Q181" s="241"/>
      <c r="R181" s="241"/>
      <c r="S181" s="241"/>
      <c r="T181" s="24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T181" s="243" t="s">
        <v>165</v>
      </c>
      <c r="AU181" s="243" t="s">
        <v>86</v>
      </c>
      <c r="AV181" s="13" t="s">
        <v>86</v>
      </c>
      <c r="AW181" s="13" t="s">
        <v>32</v>
      </c>
      <c r="AX181" s="13" t="s">
        <v>77</v>
      </c>
      <c r="AY181" s="243" t="s">
        <v>157</v>
      </c>
    </row>
    <row r="182" s="13" customFormat="1">
      <c r="A182" s="13"/>
      <c r="B182" s="232"/>
      <c r="C182" s="233"/>
      <c r="D182" s="234" t="s">
        <v>165</v>
      </c>
      <c r="E182" s="235" t="s">
        <v>1</v>
      </c>
      <c r="F182" s="236" t="s">
        <v>1713</v>
      </c>
      <c r="G182" s="233"/>
      <c r="H182" s="237">
        <v>5.681</v>
      </c>
      <c r="I182" s="238"/>
      <c r="J182" s="233"/>
      <c r="K182" s="233"/>
      <c r="L182" s="239"/>
      <c r="M182" s="240"/>
      <c r="N182" s="241"/>
      <c r="O182" s="241"/>
      <c r="P182" s="241"/>
      <c r="Q182" s="241"/>
      <c r="R182" s="241"/>
      <c r="S182" s="241"/>
      <c r="T182" s="24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T182" s="243" t="s">
        <v>165</v>
      </c>
      <c r="AU182" s="243" t="s">
        <v>86</v>
      </c>
      <c r="AV182" s="13" t="s">
        <v>86</v>
      </c>
      <c r="AW182" s="13" t="s">
        <v>32</v>
      </c>
      <c r="AX182" s="13" t="s">
        <v>77</v>
      </c>
      <c r="AY182" s="243" t="s">
        <v>157</v>
      </c>
    </row>
    <row r="183" s="2" customFormat="1" ht="16.5" customHeight="1">
      <c r="A183" s="37"/>
      <c r="B183" s="38"/>
      <c r="C183" s="218" t="s">
        <v>265</v>
      </c>
      <c r="D183" s="218" t="s">
        <v>159</v>
      </c>
      <c r="E183" s="219" t="s">
        <v>272</v>
      </c>
      <c r="F183" s="220" t="s">
        <v>273</v>
      </c>
      <c r="G183" s="221" t="s">
        <v>209</v>
      </c>
      <c r="H183" s="222">
        <v>65.441000000000002</v>
      </c>
      <c r="I183" s="223"/>
      <c r="J183" s="224">
        <f>ROUND(I183*H183,0)</f>
        <v>0</v>
      </c>
      <c r="K183" s="225"/>
      <c r="L183" s="43"/>
      <c r="M183" s="226" t="s">
        <v>1</v>
      </c>
      <c r="N183" s="227" t="s">
        <v>42</v>
      </c>
      <c r="O183" s="90"/>
      <c r="P183" s="228">
        <f>O183*H183</f>
        <v>0</v>
      </c>
      <c r="Q183" s="228">
        <v>0.0026900000000000001</v>
      </c>
      <c r="R183" s="228">
        <f>Q183*H183</f>
        <v>0.17603629000000001</v>
      </c>
      <c r="S183" s="228">
        <v>0</v>
      </c>
      <c r="T183" s="229">
        <f>S183*H183</f>
        <v>0</v>
      </c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R183" s="230" t="s">
        <v>163</v>
      </c>
      <c r="AT183" s="230" t="s">
        <v>159</v>
      </c>
      <c r="AU183" s="230" t="s">
        <v>86</v>
      </c>
      <c r="AY183" s="16" t="s">
        <v>157</v>
      </c>
      <c r="BE183" s="231">
        <f>IF(N183="základní",J183,0)</f>
        <v>0</v>
      </c>
      <c r="BF183" s="231">
        <f>IF(N183="snížená",J183,0)</f>
        <v>0</v>
      </c>
      <c r="BG183" s="231">
        <f>IF(N183="zákl. přenesená",J183,0)</f>
        <v>0</v>
      </c>
      <c r="BH183" s="231">
        <f>IF(N183="sníž. přenesená",J183,0)</f>
        <v>0</v>
      </c>
      <c r="BI183" s="231">
        <f>IF(N183="nulová",J183,0)</f>
        <v>0</v>
      </c>
      <c r="BJ183" s="16" t="s">
        <v>8</v>
      </c>
      <c r="BK183" s="231">
        <f>ROUND(I183*H183,0)</f>
        <v>0</v>
      </c>
      <c r="BL183" s="16" t="s">
        <v>163</v>
      </c>
      <c r="BM183" s="230" t="s">
        <v>1714</v>
      </c>
    </row>
    <row r="184" s="13" customFormat="1">
      <c r="A184" s="13"/>
      <c r="B184" s="232"/>
      <c r="C184" s="233"/>
      <c r="D184" s="234" t="s">
        <v>165</v>
      </c>
      <c r="E184" s="235" t="s">
        <v>1</v>
      </c>
      <c r="F184" s="236" t="s">
        <v>1715</v>
      </c>
      <c r="G184" s="233"/>
      <c r="H184" s="237">
        <v>49.209000000000003</v>
      </c>
      <c r="I184" s="238"/>
      <c r="J184" s="233"/>
      <c r="K184" s="233"/>
      <c r="L184" s="239"/>
      <c r="M184" s="240"/>
      <c r="N184" s="241"/>
      <c r="O184" s="241"/>
      <c r="P184" s="241"/>
      <c r="Q184" s="241"/>
      <c r="R184" s="241"/>
      <c r="S184" s="241"/>
      <c r="T184" s="242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T184" s="243" t="s">
        <v>165</v>
      </c>
      <c r="AU184" s="243" t="s">
        <v>86</v>
      </c>
      <c r="AV184" s="13" t="s">
        <v>86</v>
      </c>
      <c r="AW184" s="13" t="s">
        <v>32</v>
      </c>
      <c r="AX184" s="13" t="s">
        <v>77</v>
      </c>
      <c r="AY184" s="243" t="s">
        <v>157</v>
      </c>
    </row>
    <row r="185" s="13" customFormat="1">
      <c r="A185" s="13"/>
      <c r="B185" s="232"/>
      <c r="C185" s="233"/>
      <c r="D185" s="234" t="s">
        <v>165</v>
      </c>
      <c r="E185" s="235" t="s">
        <v>1</v>
      </c>
      <c r="F185" s="236" t="s">
        <v>1716</v>
      </c>
      <c r="G185" s="233"/>
      <c r="H185" s="237">
        <v>16.231999999999999</v>
      </c>
      <c r="I185" s="238"/>
      <c r="J185" s="233"/>
      <c r="K185" s="233"/>
      <c r="L185" s="239"/>
      <c r="M185" s="240"/>
      <c r="N185" s="241"/>
      <c r="O185" s="241"/>
      <c r="P185" s="241"/>
      <c r="Q185" s="241"/>
      <c r="R185" s="241"/>
      <c r="S185" s="241"/>
      <c r="T185" s="24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T185" s="243" t="s">
        <v>165</v>
      </c>
      <c r="AU185" s="243" t="s">
        <v>86</v>
      </c>
      <c r="AV185" s="13" t="s">
        <v>86</v>
      </c>
      <c r="AW185" s="13" t="s">
        <v>32</v>
      </c>
      <c r="AX185" s="13" t="s">
        <v>77</v>
      </c>
      <c r="AY185" s="243" t="s">
        <v>157</v>
      </c>
    </row>
    <row r="186" s="2" customFormat="1" ht="16.5" customHeight="1">
      <c r="A186" s="37"/>
      <c r="B186" s="38"/>
      <c r="C186" s="218" t="s">
        <v>7</v>
      </c>
      <c r="D186" s="218" t="s">
        <v>159</v>
      </c>
      <c r="E186" s="219" t="s">
        <v>279</v>
      </c>
      <c r="F186" s="220" t="s">
        <v>280</v>
      </c>
      <c r="G186" s="221" t="s">
        <v>209</v>
      </c>
      <c r="H186" s="222">
        <v>65.441000000000002</v>
      </c>
      <c r="I186" s="223"/>
      <c r="J186" s="224">
        <f>ROUND(I186*H186,0)</f>
        <v>0</v>
      </c>
      <c r="K186" s="225"/>
      <c r="L186" s="43"/>
      <c r="M186" s="226" t="s">
        <v>1</v>
      </c>
      <c r="N186" s="227" t="s">
        <v>42</v>
      </c>
      <c r="O186" s="90"/>
      <c r="P186" s="228">
        <f>O186*H186</f>
        <v>0</v>
      </c>
      <c r="Q186" s="228">
        <v>0</v>
      </c>
      <c r="R186" s="228">
        <f>Q186*H186</f>
        <v>0</v>
      </c>
      <c r="S186" s="228">
        <v>0</v>
      </c>
      <c r="T186" s="229">
        <f>S186*H186</f>
        <v>0</v>
      </c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R186" s="230" t="s">
        <v>163</v>
      </c>
      <c r="AT186" s="230" t="s">
        <v>159</v>
      </c>
      <c r="AU186" s="230" t="s">
        <v>86</v>
      </c>
      <c r="AY186" s="16" t="s">
        <v>157</v>
      </c>
      <c r="BE186" s="231">
        <f>IF(N186="základní",J186,0)</f>
        <v>0</v>
      </c>
      <c r="BF186" s="231">
        <f>IF(N186="snížená",J186,0)</f>
        <v>0</v>
      </c>
      <c r="BG186" s="231">
        <f>IF(N186="zákl. přenesená",J186,0)</f>
        <v>0</v>
      </c>
      <c r="BH186" s="231">
        <f>IF(N186="sníž. přenesená",J186,0)</f>
        <v>0</v>
      </c>
      <c r="BI186" s="231">
        <f>IF(N186="nulová",J186,0)</f>
        <v>0</v>
      </c>
      <c r="BJ186" s="16" t="s">
        <v>8</v>
      </c>
      <c r="BK186" s="231">
        <f>ROUND(I186*H186,0)</f>
        <v>0</v>
      </c>
      <c r="BL186" s="16" t="s">
        <v>163</v>
      </c>
      <c r="BM186" s="230" t="s">
        <v>1717</v>
      </c>
    </row>
    <row r="187" s="2" customFormat="1" ht="24.15" customHeight="1">
      <c r="A187" s="37"/>
      <c r="B187" s="38"/>
      <c r="C187" s="218" t="s">
        <v>278</v>
      </c>
      <c r="D187" s="218" t="s">
        <v>159</v>
      </c>
      <c r="E187" s="219" t="s">
        <v>1718</v>
      </c>
      <c r="F187" s="220" t="s">
        <v>1719</v>
      </c>
      <c r="G187" s="221" t="s">
        <v>162</v>
      </c>
      <c r="H187" s="222">
        <v>462.77600000000001</v>
      </c>
      <c r="I187" s="223"/>
      <c r="J187" s="224">
        <f>ROUND(I187*H187,0)</f>
        <v>0</v>
      </c>
      <c r="K187" s="225"/>
      <c r="L187" s="43"/>
      <c r="M187" s="226" t="s">
        <v>1</v>
      </c>
      <c r="N187" s="227" t="s">
        <v>42</v>
      </c>
      <c r="O187" s="90"/>
      <c r="P187" s="228">
        <f>O187*H187</f>
        <v>0</v>
      </c>
      <c r="Q187" s="228">
        <v>2.5018699999999998</v>
      </c>
      <c r="R187" s="228">
        <f>Q187*H187</f>
        <v>1157.80539112</v>
      </c>
      <c r="S187" s="228">
        <v>0</v>
      </c>
      <c r="T187" s="229">
        <f>S187*H187</f>
        <v>0</v>
      </c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R187" s="230" t="s">
        <v>163</v>
      </c>
      <c r="AT187" s="230" t="s">
        <v>159</v>
      </c>
      <c r="AU187" s="230" t="s">
        <v>86</v>
      </c>
      <c r="AY187" s="16" t="s">
        <v>157</v>
      </c>
      <c r="BE187" s="231">
        <f>IF(N187="základní",J187,0)</f>
        <v>0</v>
      </c>
      <c r="BF187" s="231">
        <f>IF(N187="snížená",J187,0)</f>
        <v>0</v>
      </c>
      <c r="BG187" s="231">
        <f>IF(N187="zákl. přenesená",J187,0)</f>
        <v>0</v>
      </c>
      <c r="BH187" s="231">
        <f>IF(N187="sníž. přenesená",J187,0)</f>
        <v>0</v>
      </c>
      <c r="BI187" s="231">
        <f>IF(N187="nulová",J187,0)</f>
        <v>0</v>
      </c>
      <c r="BJ187" s="16" t="s">
        <v>8</v>
      </c>
      <c r="BK187" s="231">
        <f>ROUND(I187*H187,0)</f>
        <v>0</v>
      </c>
      <c r="BL187" s="16" t="s">
        <v>163</v>
      </c>
      <c r="BM187" s="230" t="s">
        <v>1720</v>
      </c>
    </row>
    <row r="188" s="13" customFormat="1">
      <c r="A188" s="13"/>
      <c r="B188" s="232"/>
      <c r="C188" s="233"/>
      <c r="D188" s="234" t="s">
        <v>165</v>
      </c>
      <c r="E188" s="235" t="s">
        <v>1</v>
      </c>
      <c r="F188" s="236" t="s">
        <v>1721</v>
      </c>
      <c r="G188" s="233"/>
      <c r="H188" s="237">
        <v>518.66999999999996</v>
      </c>
      <c r="I188" s="238"/>
      <c r="J188" s="233"/>
      <c r="K188" s="233"/>
      <c r="L188" s="239"/>
      <c r="M188" s="240"/>
      <c r="N188" s="241"/>
      <c r="O188" s="241"/>
      <c r="P188" s="241"/>
      <c r="Q188" s="241"/>
      <c r="R188" s="241"/>
      <c r="S188" s="241"/>
      <c r="T188" s="24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T188" s="243" t="s">
        <v>165</v>
      </c>
      <c r="AU188" s="243" t="s">
        <v>86</v>
      </c>
      <c r="AV188" s="13" t="s">
        <v>86</v>
      </c>
      <c r="AW188" s="13" t="s">
        <v>32</v>
      </c>
      <c r="AX188" s="13" t="s">
        <v>77</v>
      </c>
      <c r="AY188" s="243" t="s">
        <v>157</v>
      </c>
    </row>
    <row r="189" s="13" customFormat="1">
      <c r="A189" s="13"/>
      <c r="B189" s="232"/>
      <c r="C189" s="233"/>
      <c r="D189" s="234" t="s">
        <v>165</v>
      </c>
      <c r="E189" s="235" t="s">
        <v>1</v>
      </c>
      <c r="F189" s="236" t="s">
        <v>1722</v>
      </c>
      <c r="G189" s="233"/>
      <c r="H189" s="237">
        <v>-55.893999999999998</v>
      </c>
      <c r="I189" s="238"/>
      <c r="J189" s="233"/>
      <c r="K189" s="233"/>
      <c r="L189" s="239"/>
      <c r="M189" s="240"/>
      <c r="N189" s="241"/>
      <c r="O189" s="241"/>
      <c r="P189" s="241"/>
      <c r="Q189" s="241"/>
      <c r="R189" s="241"/>
      <c r="S189" s="241"/>
      <c r="T189" s="24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T189" s="243" t="s">
        <v>165</v>
      </c>
      <c r="AU189" s="243" t="s">
        <v>86</v>
      </c>
      <c r="AV189" s="13" t="s">
        <v>86</v>
      </c>
      <c r="AW189" s="13" t="s">
        <v>32</v>
      </c>
      <c r="AX189" s="13" t="s">
        <v>77</v>
      </c>
      <c r="AY189" s="243" t="s">
        <v>157</v>
      </c>
    </row>
    <row r="190" s="2" customFormat="1" ht="16.5" customHeight="1">
      <c r="A190" s="37"/>
      <c r="B190" s="38"/>
      <c r="C190" s="218" t="s">
        <v>282</v>
      </c>
      <c r="D190" s="218" t="s">
        <v>159</v>
      </c>
      <c r="E190" s="219" t="s">
        <v>1723</v>
      </c>
      <c r="F190" s="220" t="s">
        <v>1724</v>
      </c>
      <c r="G190" s="221" t="s">
        <v>209</v>
      </c>
      <c r="H190" s="222">
        <v>1563.2829999999999</v>
      </c>
      <c r="I190" s="223"/>
      <c r="J190" s="224">
        <f>ROUND(I190*H190,0)</f>
        <v>0</v>
      </c>
      <c r="K190" s="225"/>
      <c r="L190" s="43"/>
      <c r="M190" s="226" t="s">
        <v>1</v>
      </c>
      <c r="N190" s="227" t="s">
        <v>42</v>
      </c>
      <c r="O190" s="90"/>
      <c r="P190" s="228">
        <f>O190*H190</f>
        <v>0</v>
      </c>
      <c r="Q190" s="228">
        <v>0.00264</v>
      </c>
      <c r="R190" s="228">
        <f>Q190*H190</f>
        <v>4.1270671199999995</v>
      </c>
      <c r="S190" s="228">
        <v>0</v>
      </c>
      <c r="T190" s="229">
        <f>S190*H190</f>
        <v>0</v>
      </c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R190" s="230" t="s">
        <v>163</v>
      </c>
      <c r="AT190" s="230" t="s">
        <v>159</v>
      </c>
      <c r="AU190" s="230" t="s">
        <v>86</v>
      </c>
      <c r="AY190" s="16" t="s">
        <v>157</v>
      </c>
      <c r="BE190" s="231">
        <f>IF(N190="základní",J190,0)</f>
        <v>0</v>
      </c>
      <c r="BF190" s="231">
        <f>IF(N190="snížená",J190,0)</f>
        <v>0</v>
      </c>
      <c r="BG190" s="231">
        <f>IF(N190="zákl. přenesená",J190,0)</f>
        <v>0</v>
      </c>
      <c r="BH190" s="231">
        <f>IF(N190="sníž. přenesená",J190,0)</f>
        <v>0</v>
      </c>
      <c r="BI190" s="231">
        <f>IF(N190="nulová",J190,0)</f>
        <v>0</v>
      </c>
      <c r="BJ190" s="16" t="s">
        <v>8</v>
      </c>
      <c r="BK190" s="231">
        <f>ROUND(I190*H190,0)</f>
        <v>0</v>
      </c>
      <c r="BL190" s="16" t="s">
        <v>163</v>
      </c>
      <c r="BM190" s="230" t="s">
        <v>1725</v>
      </c>
    </row>
    <row r="191" s="13" customFormat="1">
      <c r="A191" s="13"/>
      <c r="B191" s="232"/>
      <c r="C191" s="233"/>
      <c r="D191" s="234" t="s">
        <v>165</v>
      </c>
      <c r="E191" s="235" t="s">
        <v>1</v>
      </c>
      <c r="F191" s="236" t="s">
        <v>1726</v>
      </c>
      <c r="G191" s="233"/>
      <c r="H191" s="237">
        <v>1237.5</v>
      </c>
      <c r="I191" s="238"/>
      <c r="J191" s="233"/>
      <c r="K191" s="233"/>
      <c r="L191" s="239"/>
      <c r="M191" s="240"/>
      <c r="N191" s="241"/>
      <c r="O191" s="241"/>
      <c r="P191" s="241"/>
      <c r="Q191" s="241"/>
      <c r="R191" s="241"/>
      <c r="S191" s="241"/>
      <c r="T191" s="24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T191" s="243" t="s">
        <v>165</v>
      </c>
      <c r="AU191" s="243" t="s">
        <v>86</v>
      </c>
      <c r="AV191" s="13" t="s">
        <v>86</v>
      </c>
      <c r="AW191" s="13" t="s">
        <v>32</v>
      </c>
      <c r="AX191" s="13" t="s">
        <v>77</v>
      </c>
      <c r="AY191" s="243" t="s">
        <v>157</v>
      </c>
    </row>
    <row r="192" s="13" customFormat="1">
      <c r="A192" s="13"/>
      <c r="B192" s="232"/>
      <c r="C192" s="233"/>
      <c r="D192" s="234" t="s">
        <v>165</v>
      </c>
      <c r="E192" s="235" t="s">
        <v>1</v>
      </c>
      <c r="F192" s="236" t="s">
        <v>1727</v>
      </c>
      <c r="G192" s="233"/>
      <c r="H192" s="237">
        <v>325.78300000000002</v>
      </c>
      <c r="I192" s="238"/>
      <c r="J192" s="233"/>
      <c r="K192" s="233"/>
      <c r="L192" s="239"/>
      <c r="M192" s="240"/>
      <c r="N192" s="241"/>
      <c r="O192" s="241"/>
      <c r="P192" s="241"/>
      <c r="Q192" s="241"/>
      <c r="R192" s="241"/>
      <c r="S192" s="241"/>
      <c r="T192" s="24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T192" s="243" t="s">
        <v>165</v>
      </c>
      <c r="AU192" s="243" t="s">
        <v>86</v>
      </c>
      <c r="AV192" s="13" t="s">
        <v>86</v>
      </c>
      <c r="AW192" s="13" t="s">
        <v>32</v>
      </c>
      <c r="AX192" s="13" t="s">
        <v>77</v>
      </c>
      <c r="AY192" s="243" t="s">
        <v>157</v>
      </c>
    </row>
    <row r="193" s="2" customFormat="1" ht="16.5" customHeight="1">
      <c r="A193" s="37"/>
      <c r="B193" s="38"/>
      <c r="C193" s="218" t="s">
        <v>288</v>
      </c>
      <c r="D193" s="218" t="s">
        <v>159</v>
      </c>
      <c r="E193" s="219" t="s">
        <v>1728</v>
      </c>
      <c r="F193" s="220" t="s">
        <v>1729</v>
      </c>
      <c r="G193" s="221" t="s">
        <v>209</v>
      </c>
      <c r="H193" s="222">
        <v>1563.2829999999999</v>
      </c>
      <c r="I193" s="223"/>
      <c r="J193" s="224">
        <f>ROUND(I193*H193,0)</f>
        <v>0</v>
      </c>
      <c r="K193" s="225"/>
      <c r="L193" s="43"/>
      <c r="M193" s="226" t="s">
        <v>1</v>
      </c>
      <c r="N193" s="227" t="s">
        <v>42</v>
      </c>
      <c r="O193" s="90"/>
      <c r="P193" s="228">
        <f>O193*H193</f>
        <v>0</v>
      </c>
      <c r="Q193" s="228">
        <v>0</v>
      </c>
      <c r="R193" s="228">
        <f>Q193*H193</f>
        <v>0</v>
      </c>
      <c r="S193" s="228">
        <v>0</v>
      </c>
      <c r="T193" s="229">
        <f>S193*H193</f>
        <v>0</v>
      </c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R193" s="230" t="s">
        <v>163</v>
      </c>
      <c r="AT193" s="230" t="s">
        <v>159</v>
      </c>
      <c r="AU193" s="230" t="s">
        <v>86</v>
      </c>
      <c r="AY193" s="16" t="s">
        <v>157</v>
      </c>
      <c r="BE193" s="231">
        <f>IF(N193="základní",J193,0)</f>
        <v>0</v>
      </c>
      <c r="BF193" s="231">
        <f>IF(N193="snížená",J193,0)</f>
        <v>0</v>
      </c>
      <c r="BG193" s="231">
        <f>IF(N193="zákl. přenesená",J193,0)</f>
        <v>0</v>
      </c>
      <c r="BH193" s="231">
        <f>IF(N193="sníž. přenesená",J193,0)</f>
        <v>0</v>
      </c>
      <c r="BI193" s="231">
        <f>IF(N193="nulová",J193,0)</f>
        <v>0</v>
      </c>
      <c r="BJ193" s="16" t="s">
        <v>8</v>
      </c>
      <c r="BK193" s="231">
        <f>ROUND(I193*H193,0)</f>
        <v>0</v>
      </c>
      <c r="BL193" s="16" t="s">
        <v>163</v>
      </c>
      <c r="BM193" s="230" t="s">
        <v>1730</v>
      </c>
    </row>
    <row r="194" s="2" customFormat="1" ht="21.75" customHeight="1">
      <c r="A194" s="37"/>
      <c r="B194" s="38"/>
      <c r="C194" s="218" t="s">
        <v>293</v>
      </c>
      <c r="D194" s="218" t="s">
        <v>159</v>
      </c>
      <c r="E194" s="219" t="s">
        <v>1731</v>
      </c>
      <c r="F194" s="220" t="s">
        <v>1732</v>
      </c>
      <c r="G194" s="221" t="s">
        <v>193</v>
      </c>
      <c r="H194" s="222">
        <v>55.533000000000001</v>
      </c>
      <c r="I194" s="223"/>
      <c r="J194" s="224">
        <f>ROUND(I194*H194,0)</f>
        <v>0</v>
      </c>
      <c r="K194" s="225"/>
      <c r="L194" s="43"/>
      <c r="M194" s="226" t="s">
        <v>1</v>
      </c>
      <c r="N194" s="227" t="s">
        <v>42</v>
      </c>
      <c r="O194" s="90"/>
      <c r="P194" s="228">
        <f>O194*H194</f>
        <v>0</v>
      </c>
      <c r="Q194" s="228">
        <v>1.0606199999999999</v>
      </c>
      <c r="R194" s="228">
        <f>Q194*H194</f>
        <v>58.899410459999999</v>
      </c>
      <c r="S194" s="228">
        <v>0</v>
      </c>
      <c r="T194" s="229">
        <f>S194*H194</f>
        <v>0</v>
      </c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R194" s="230" t="s">
        <v>163</v>
      </c>
      <c r="AT194" s="230" t="s">
        <v>159</v>
      </c>
      <c r="AU194" s="230" t="s">
        <v>86</v>
      </c>
      <c r="AY194" s="16" t="s">
        <v>157</v>
      </c>
      <c r="BE194" s="231">
        <f>IF(N194="základní",J194,0)</f>
        <v>0</v>
      </c>
      <c r="BF194" s="231">
        <f>IF(N194="snížená",J194,0)</f>
        <v>0</v>
      </c>
      <c r="BG194" s="231">
        <f>IF(N194="zákl. přenesená",J194,0)</f>
        <v>0</v>
      </c>
      <c r="BH194" s="231">
        <f>IF(N194="sníž. přenesená",J194,0)</f>
        <v>0</v>
      </c>
      <c r="BI194" s="231">
        <f>IF(N194="nulová",J194,0)</f>
        <v>0</v>
      </c>
      <c r="BJ194" s="16" t="s">
        <v>8</v>
      </c>
      <c r="BK194" s="231">
        <f>ROUND(I194*H194,0)</f>
        <v>0</v>
      </c>
      <c r="BL194" s="16" t="s">
        <v>163</v>
      </c>
      <c r="BM194" s="230" t="s">
        <v>1733</v>
      </c>
    </row>
    <row r="195" s="13" customFormat="1">
      <c r="A195" s="13"/>
      <c r="B195" s="232"/>
      <c r="C195" s="233"/>
      <c r="D195" s="234" t="s">
        <v>165</v>
      </c>
      <c r="E195" s="235" t="s">
        <v>1</v>
      </c>
      <c r="F195" s="236" t="s">
        <v>1734</v>
      </c>
      <c r="G195" s="233"/>
      <c r="H195" s="237">
        <v>55.533000000000001</v>
      </c>
      <c r="I195" s="238"/>
      <c r="J195" s="233"/>
      <c r="K195" s="233"/>
      <c r="L195" s="239"/>
      <c r="M195" s="240"/>
      <c r="N195" s="241"/>
      <c r="O195" s="241"/>
      <c r="P195" s="241"/>
      <c r="Q195" s="241"/>
      <c r="R195" s="241"/>
      <c r="S195" s="241"/>
      <c r="T195" s="242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T195" s="243" t="s">
        <v>165</v>
      </c>
      <c r="AU195" s="243" t="s">
        <v>86</v>
      </c>
      <c r="AV195" s="13" t="s">
        <v>86</v>
      </c>
      <c r="AW195" s="13" t="s">
        <v>32</v>
      </c>
      <c r="AX195" s="13" t="s">
        <v>77</v>
      </c>
      <c r="AY195" s="243" t="s">
        <v>157</v>
      </c>
    </row>
    <row r="196" s="2" customFormat="1" ht="37.8" customHeight="1">
      <c r="A196" s="37"/>
      <c r="B196" s="38"/>
      <c r="C196" s="218" t="s">
        <v>298</v>
      </c>
      <c r="D196" s="218" t="s">
        <v>159</v>
      </c>
      <c r="E196" s="219" t="s">
        <v>1735</v>
      </c>
      <c r="F196" s="220" t="s">
        <v>1736</v>
      </c>
      <c r="G196" s="221" t="s">
        <v>162</v>
      </c>
      <c r="H196" s="222">
        <v>22.283999999999999</v>
      </c>
      <c r="I196" s="223"/>
      <c r="J196" s="224">
        <f>ROUND(I196*H196,0)</f>
        <v>0</v>
      </c>
      <c r="K196" s="225"/>
      <c r="L196" s="43"/>
      <c r="M196" s="226" t="s">
        <v>1</v>
      </c>
      <c r="N196" s="227" t="s">
        <v>42</v>
      </c>
      <c r="O196" s="90"/>
      <c r="P196" s="228">
        <f>O196*H196</f>
        <v>0</v>
      </c>
      <c r="Q196" s="228">
        <v>2.02</v>
      </c>
      <c r="R196" s="228">
        <f>Q196*H196</f>
        <v>45.013680000000001</v>
      </c>
      <c r="S196" s="228">
        <v>0</v>
      </c>
      <c r="T196" s="229">
        <f>S196*H196</f>
        <v>0</v>
      </c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R196" s="230" t="s">
        <v>163</v>
      </c>
      <c r="AT196" s="230" t="s">
        <v>159</v>
      </c>
      <c r="AU196" s="230" t="s">
        <v>86</v>
      </c>
      <c r="AY196" s="16" t="s">
        <v>157</v>
      </c>
      <c r="BE196" s="231">
        <f>IF(N196="základní",J196,0)</f>
        <v>0</v>
      </c>
      <c r="BF196" s="231">
        <f>IF(N196="snížená",J196,0)</f>
        <v>0</v>
      </c>
      <c r="BG196" s="231">
        <f>IF(N196="zákl. přenesená",J196,0)</f>
        <v>0</v>
      </c>
      <c r="BH196" s="231">
        <f>IF(N196="sníž. přenesená",J196,0)</f>
        <v>0</v>
      </c>
      <c r="BI196" s="231">
        <f>IF(N196="nulová",J196,0)</f>
        <v>0</v>
      </c>
      <c r="BJ196" s="16" t="s">
        <v>8</v>
      </c>
      <c r="BK196" s="231">
        <f>ROUND(I196*H196,0)</f>
        <v>0</v>
      </c>
      <c r="BL196" s="16" t="s">
        <v>163</v>
      </c>
      <c r="BM196" s="230" t="s">
        <v>1737</v>
      </c>
    </row>
    <row r="197" s="13" customFormat="1">
      <c r="A197" s="13"/>
      <c r="B197" s="232"/>
      <c r="C197" s="233"/>
      <c r="D197" s="234" t="s">
        <v>165</v>
      </c>
      <c r="E197" s="235" t="s">
        <v>1</v>
      </c>
      <c r="F197" s="236" t="s">
        <v>1738</v>
      </c>
      <c r="G197" s="233"/>
      <c r="H197" s="237">
        <v>22.283999999999999</v>
      </c>
      <c r="I197" s="238"/>
      <c r="J197" s="233"/>
      <c r="K197" s="233"/>
      <c r="L197" s="239"/>
      <c r="M197" s="240"/>
      <c r="N197" s="241"/>
      <c r="O197" s="241"/>
      <c r="P197" s="241"/>
      <c r="Q197" s="241"/>
      <c r="R197" s="241"/>
      <c r="S197" s="241"/>
      <c r="T197" s="242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T197" s="243" t="s">
        <v>165</v>
      </c>
      <c r="AU197" s="243" t="s">
        <v>86</v>
      </c>
      <c r="AV197" s="13" t="s">
        <v>86</v>
      </c>
      <c r="AW197" s="13" t="s">
        <v>32</v>
      </c>
      <c r="AX197" s="13" t="s">
        <v>77</v>
      </c>
      <c r="AY197" s="243" t="s">
        <v>157</v>
      </c>
    </row>
    <row r="198" s="12" customFormat="1" ht="22.8" customHeight="1">
      <c r="A198" s="12"/>
      <c r="B198" s="202"/>
      <c r="C198" s="203"/>
      <c r="D198" s="204" t="s">
        <v>76</v>
      </c>
      <c r="E198" s="216" t="s">
        <v>176</v>
      </c>
      <c r="F198" s="216" t="s">
        <v>287</v>
      </c>
      <c r="G198" s="203"/>
      <c r="H198" s="203"/>
      <c r="I198" s="206"/>
      <c r="J198" s="217">
        <f>BK198</f>
        <v>0</v>
      </c>
      <c r="K198" s="203"/>
      <c r="L198" s="208"/>
      <c r="M198" s="209"/>
      <c r="N198" s="210"/>
      <c r="O198" s="210"/>
      <c r="P198" s="211">
        <f>SUM(P199:P238)</f>
        <v>0</v>
      </c>
      <c r="Q198" s="210"/>
      <c r="R198" s="211">
        <f>SUM(R199:R238)</f>
        <v>2004.7346335900002</v>
      </c>
      <c r="S198" s="210"/>
      <c r="T198" s="212">
        <f>SUM(T199:T238)</f>
        <v>0</v>
      </c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R198" s="213" t="s">
        <v>8</v>
      </c>
      <c r="AT198" s="214" t="s">
        <v>76</v>
      </c>
      <c r="AU198" s="214" t="s">
        <v>8</v>
      </c>
      <c r="AY198" s="213" t="s">
        <v>157</v>
      </c>
      <c r="BK198" s="215">
        <f>SUM(BK199:BK238)</f>
        <v>0</v>
      </c>
    </row>
    <row r="199" s="2" customFormat="1" ht="37.8" customHeight="1">
      <c r="A199" s="37"/>
      <c r="B199" s="38"/>
      <c r="C199" s="218" t="s">
        <v>304</v>
      </c>
      <c r="D199" s="218" t="s">
        <v>159</v>
      </c>
      <c r="E199" s="219" t="s">
        <v>294</v>
      </c>
      <c r="F199" s="220" t="s">
        <v>295</v>
      </c>
      <c r="G199" s="221" t="s">
        <v>209</v>
      </c>
      <c r="H199" s="222">
        <v>200.60499999999999</v>
      </c>
      <c r="I199" s="223"/>
      <c r="J199" s="224">
        <f>ROUND(I199*H199,0)</f>
        <v>0</v>
      </c>
      <c r="K199" s="225"/>
      <c r="L199" s="43"/>
      <c r="M199" s="226" t="s">
        <v>1</v>
      </c>
      <c r="N199" s="227" t="s">
        <v>42</v>
      </c>
      <c r="O199" s="90"/>
      <c r="P199" s="228">
        <f>O199*H199</f>
        <v>0</v>
      </c>
      <c r="Q199" s="228">
        <v>0.50100999999999996</v>
      </c>
      <c r="R199" s="228">
        <f>Q199*H199</f>
        <v>100.50511104999998</v>
      </c>
      <c r="S199" s="228">
        <v>0</v>
      </c>
      <c r="T199" s="229">
        <f>S199*H199</f>
        <v>0</v>
      </c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R199" s="230" t="s">
        <v>163</v>
      </c>
      <c r="AT199" s="230" t="s">
        <v>159</v>
      </c>
      <c r="AU199" s="230" t="s">
        <v>86</v>
      </c>
      <c r="AY199" s="16" t="s">
        <v>157</v>
      </c>
      <c r="BE199" s="231">
        <f>IF(N199="základní",J199,0)</f>
        <v>0</v>
      </c>
      <c r="BF199" s="231">
        <f>IF(N199="snížená",J199,0)</f>
        <v>0</v>
      </c>
      <c r="BG199" s="231">
        <f>IF(N199="zákl. přenesená",J199,0)</f>
        <v>0</v>
      </c>
      <c r="BH199" s="231">
        <f>IF(N199="sníž. přenesená",J199,0)</f>
        <v>0</v>
      </c>
      <c r="BI199" s="231">
        <f>IF(N199="nulová",J199,0)</f>
        <v>0</v>
      </c>
      <c r="BJ199" s="16" t="s">
        <v>8</v>
      </c>
      <c r="BK199" s="231">
        <f>ROUND(I199*H199,0)</f>
        <v>0</v>
      </c>
      <c r="BL199" s="16" t="s">
        <v>163</v>
      </c>
      <c r="BM199" s="230" t="s">
        <v>1739</v>
      </c>
    </row>
    <row r="200" s="13" customFormat="1">
      <c r="A200" s="13"/>
      <c r="B200" s="232"/>
      <c r="C200" s="233"/>
      <c r="D200" s="234" t="s">
        <v>165</v>
      </c>
      <c r="E200" s="235" t="s">
        <v>1</v>
      </c>
      <c r="F200" s="236" t="s">
        <v>1740</v>
      </c>
      <c r="G200" s="233"/>
      <c r="H200" s="237">
        <v>57.991999999999997</v>
      </c>
      <c r="I200" s="238"/>
      <c r="J200" s="233"/>
      <c r="K200" s="233"/>
      <c r="L200" s="239"/>
      <c r="M200" s="240"/>
      <c r="N200" s="241"/>
      <c r="O200" s="241"/>
      <c r="P200" s="241"/>
      <c r="Q200" s="241"/>
      <c r="R200" s="241"/>
      <c r="S200" s="241"/>
      <c r="T200" s="242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T200" s="243" t="s">
        <v>165</v>
      </c>
      <c r="AU200" s="243" t="s">
        <v>86</v>
      </c>
      <c r="AV200" s="13" t="s">
        <v>86</v>
      </c>
      <c r="AW200" s="13" t="s">
        <v>32</v>
      </c>
      <c r="AX200" s="13" t="s">
        <v>77</v>
      </c>
      <c r="AY200" s="243" t="s">
        <v>157</v>
      </c>
    </row>
    <row r="201" s="13" customFormat="1">
      <c r="A201" s="13"/>
      <c r="B201" s="232"/>
      <c r="C201" s="233"/>
      <c r="D201" s="234" t="s">
        <v>165</v>
      </c>
      <c r="E201" s="235" t="s">
        <v>1</v>
      </c>
      <c r="F201" s="236" t="s">
        <v>1741</v>
      </c>
      <c r="G201" s="233"/>
      <c r="H201" s="237">
        <v>110.512</v>
      </c>
      <c r="I201" s="238"/>
      <c r="J201" s="233"/>
      <c r="K201" s="233"/>
      <c r="L201" s="239"/>
      <c r="M201" s="240"/>
      <c r="N201" s="241"/>
      <c r="O201" s="241"/>
      <c r="P201" s="241"/>
      <c r="Q201" s="241"/>
      <c r="R201" s="241"/>
      <c r="S201" s="241"/>
      <c r="T201" s="242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T201" s="243" t="s">
        <v>165</v>
      </c>
      <c r="AU201" s="243" t="s">
        <v>86</v>
      </c>
      <c r="AV201" s="13" t="s">
        <v>86</v>
      </c>
      <c r="AW201" s="13" t="s">
        <v>32</v>
      </c>
      <c r="AX201" s="13" t="s">
        <v>77</v>
      </c>
      <c r="AY201" s="243" t="s">
        <v>157</v>
      </c>
    </row>
    <row r="202" s="13" customFormat="1">
      <c r="A202" s="13"/>
      <c r="B202" s="232"/>
      <c r="C202" s="233"/>
      <c r="D202" s="234" t="s">
        <v>165</v>
      </c>
      <c r="E202" s="235" t="s">
        <v>1</v>
      </c>
      <c r="F202" s="236" t="s">
        <v>1742</v>
      </c>
      <c r="G202" s="233"/>
      <c r="H202" s="237">
        <v>32.100999999999999</v>
      </c>
      <c r="I202" s="238"/>
      <c r="J202" s="233"/>
      <c r="K202" s="233"/>
      <c r="L202" s="239"/>
      <c r="M202" s="240"/>
      <c r="N202" s="241"/>
      <c r="O202" s="241"/>
      <c r="P202" s="241"/>
      <c r="Q202" s="241"/>
      <c r="R202" s="241"/>
      <c r="S202" s="241"/>
      <c r="T202" s="242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T202" s="243" t="s">
        <v>165</v>
      </c>
      <c r="AU202" s="243" t="s">
        <v>86</v>
      </c>
      <c r="AV202" s="13" t="s">
        <v>86</v>
      </c>
      <c r="AW202" s="13" t="s">
        <v>32</v>
      </c>
      <c r="AX202" s="13" t="s">
        <v>77</v>
      </c>
      <c r="AY202" s="243" t="s">
        <v>157</v>
      </c>
    </row>
    <row r="203" s="2" customFormat="1" ht="16.5" customHeight="1">
      <c r="A203" s="37"/>
      <c r="B203" s="38"/>
      <c r="C203" s="218" t="s">
        <v>310</v>
      </c>
      <c r="D203" s="218" t="s">
        <v>159</v>
      </c>
      <c r="E203" s="219" t="s">
        <v>299</v>
      </c>
      <c r="F203" s="220" t="s">
        <v>300</v>
      </c>
      <c r="G203" s="221" t="s">
        <v>162</v>
      </c>
      <c r="H203" s="222">
        <v>14.199</v>
      </c>
      <c r="I203" s="223"/>
      <c r="J203" s="224">
        <f>ROUND(I203*H203,0)</f>
        <v>0</v>
      </c>
      <c r="K203" s="225"/>
      <c r="L203" s="43"/>
      <c r="M203" s="226" t="s">
        <v>1</v>
      </c>
      <c r="N203" s="227" t="s">
        <v>42</v>
      </c>
      <c r="O203" s="90"/>
      <c r="P203" s="228">
        <f>O203*H203</f>
        <v>0</v>
      </c>
      <c r="Q203" s="228">
        <v>2.5018699999999998</v>
      </c>
      <c r="R203" s="228">
        <f>Q203*H203</f>
        <v>35.524052129999994</v>
      </c>
      <c r="S203" s="228">
        <v>0</v>
      </c>
      <c r="T203" s="229">
        <f>S203*H203</f>
        <v>0</v>
      </c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R203" s="230" t="s">
        <v>163</v>
      </c>
      <c r="AT203" s="230" t="s">
        <v>159</v>
      </c>
      <c r="AU203" s="230" t="s">
        <v>86</v>
      </c>
      <c r="AY203" s="16" t="s">
        <v>157</v>
      </c>
      <c r="BE203" s="231">
        <f>IF(N203="základní",J203,0)</f>
        <v>0</v>
      </c>
      <c r="BF203" s="231">
        <f>IF(N203="snížená",J203,0)</f>
        <v>0</v>
      </c>
      <c r="BG203" s="231">
        <f>IF(N203="zákl. přenesená",J203,0)</f>
        <v>0</v>
      </c>
      <c r="BH203" s="231">
        <f>IF(N203="sníž. přenesená",J203,0)</f>
        <v>0</v>
      </c>
      <c r="BI203" s="231">
        <f>IF(N203="nulová",J203,0)</f>
        <v>0</v>
      </c>
      <c r="BJ203" s="16" t="s">
        <v>8</v>
      </c>
      <c r="BK203" s="231">
        <f>ROUND(I203*H203,0)</f>
        <v>0</v>
      </c>
      <c r="BL203" s="16" t="s">
        <v>163</v>
      </c>
      <c r="BM203" s="230" t="s">
        <v>1743</v>
      </c>
    </row>
    <row r="204" s="13" customFormat="1">
      <c r="A204" s="13"/>
      <c r="B204" s="232"/>
      <c r="C204" s="233"/>
      <c r="D204" s="234" t="s">
        <v>165</v>
      </c>
      <c r="E204" s="235" t="s">
        <v>1</v>
      </c>
      <c r="F204" s="236" t="s">
        <v>1744</v>
      </c>
      <c r="G204" s="233"/>
      <c r="H204" s="237">
        <v>11.433</v>
      </c>
      <c r="I204" s="238"/>
      <c r="J204" s="233"/>
      <c r="K204" s="233"/>
      <c r="L204" s="239"/>
      <c r="M204" s="240"/>
      <c r="N204" s="241"/>
      <c r="O204" s="241"/>
      <c r="P204" s="241"/>
      <c r="Q204" s="241"/>
      <c r="R204" s="241"/>
      <c r="S204" s="241"/>
      <c r="T204" s="242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T204" s="243" t="s">
        <v>165</v>
      </c>
      <c r="AU204" s="243" t="s">
        <v>86</v>
      </c>
      <c r="AV204" s="13" t="s">
        <v>86</v>
      </c>
      <c r="AW204" s="13" t="s">
        <v>32</v>
      </c>
      <c r="AX204" s="13" t="s">
        <v>77</v>
      </c>
      <c r="AY204" s="243" t="s">
        <v>157</v>
      </c>
    </row>
    <row r="205" s="13" customFormat="1">
      <c r="A205" s="13"/>
      <c r="B205" s="232"/>
      <c r="C205" s="233"/>
      <c r="D205" s="234" t="s">
        <v>165</v>
      </c>
      <c r="E205" s="235" t="s">
        <v>1</v>
      </c>
      <c r="F205" s="236" t="s">
        <v>1745</v>
      </c>
      <c r="G205" s="233"/>
      <c r="H205" s="237">
        <v>2.766</v>
      </c>
      <c r="I205" s="238"/>
      <c r="J205" s="233"/>
      <c r="K205" s="233"/>
      <c r="L205" s="239"/>
      <c r="M205" s="240"/>
      <c r="N205" s="241"/>
      <c r="O205" s="241"/>
      <c r="P205" s="241"/>
      <c r="Q205" s="241"/>
      <c r="R205" s="241"/>
      <c r="S205" s="241"/>
      <c r="T205" s="242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T205" s="243" t="s">
        <v>165</v>
      </c>
      <c r="AU205" s="243" t="s">
        <v>86</v>
      </c>
      <c r="AV205" s="13" t="s">
        <v>86</v>
      </c>
      <c r="AW205" s="13" t="s">
        <v>32</v>
      </c>
      <c r="AX205" s="13" t="s">
        <v>77</v>
      </c>
      <c r="AY205" s="243" t="s">
        <v>157</v>
      </c>
    </row>
    <row r="206" s="2" customFormat="1" ht="24.15" customHeight="1">
      <c r="A206" s="37"/>
      <c r="B206" s="38"/>
      <c r="C206" s="218" t="s">
        <v>314</v>
      </c>
      <c r="D206" s="218" t="s">
        <v>159</v>
      </c>
      <c r="E206" s="219" t="s">
        <v>305</v>
      </c>
      <c r="F206" s="220" t="s">
        <v>306</v>
      </c>
      <c r="G206" s="221" t="s">
        <v>209</v>
      </c>
      <c r="H206" s="222">
        <v>129.07900000000001</v>
      </c>
      <c r="I206" s="223"/>
      <c r="J206" s="224">
        <f>ROUND(I206*H206,0)</f>
        <v>0</v>
      </c>
      <c r="K206" s="225"/>
      <c r="L206" s="43"/>
      <c r="M206" s="226" t="s">
        <v>1</v>
      </c>
      <c r="N206" s="227" t="s">
        <v>42</v>
      </c>
      <c r="O206" s="90"/>
      <c r="P206" s="228">
        <f>O206*H206</f>
        <v>0</v>
      </c>
      <c r="Q206" s="228">
        <v>0.0027499999999999998</v>
      </c>
      <c r="R206" s="228">
        <f>Q206*H206</f>
        <v>0.35496725000000001</v>
      </c>
      <c r="S206" s="228">
        <v>0</v>
      </c>
      <c r="T206" s="229">
        <f>S206*H206</f>
        <v>0</v>
      </c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R206" s="230" t="s">
        <v>163</v>
      </c>
      <c r="AT206" s="230" t="s">
        <v>159</v>
      </c>
      <c r="AU206" s="230" t="s">
        <v>86</v>
      </c>
      <c r="AY206" s="16" t="s">
        <v>157</v>
      </c>
      <c r="BE206" s="231">
        <f>IF(N206="základní",J206,0)</f>
        <v>0</v>
      </c>
      <c r="BF206" s="231">
        <f>IF(N206="snížená",J206,0)</f>
        <v>0</v>
      </c>
      <c r="BG206" s="231">
        <f>IF(N206="zákl. přenesená",J206,0)</f>
        <v>0</v>
      </c>
      <c r="BH206" s="231">
        <f>IF(N206="sníž. přenesená",J206,0)</f>
        <v>0</v>
      </c>
      <c r="BI206" s="231">
        <f>IF(N206="nulová",J206,0)</f>
        <v>0</v>
      </c>
      <c r="BJ206" s="16" t="s">
        <v>8</v>
      </c>
      <c r="BK206" s="231">
        <f>ROUND(I206*H206,0)</f>
        <v>0</v>
      </c>
      <c r="BL206" s="16" t="s">
        <v>163</v>
      </c>
      <c r="BM206" s="230" t="s">
        <v>1746</v>
      </c>
    </row>
    <row r="207" s="13" customFormat="1">
      <c r="A207" s="13"/>
      <c r="B207" s="232"/>
      <c r="C207" s="233"/>
      <c r="D207" s="234" t="s">
        <v>165</v>
      </c>
      <c r="E207" s="235" t="s">
        <v>1</v>
      </c>
      <c r="F207" s="236" t="s">
        <v>1747</v>
      </c>
      <c r="G207" s="233"/>
      <c r="H207" s="237">
        <v>103.934</v>
      </c>
      <c r="I207" s="238"/>
      <c r="J207" s="233"/>
      <c r="K207" s="233"/>
      <c r="L207" s="239"/>
      <c r="M207" s="240"/>
      <c r="N207" s="241"/>
      <c r="O207" s="241"/>
      <c r="P207" s="241"/>
      <c r="Q207" s="241"/>
      <c r="R207" s="241"/>
      <c r="S207" s="241"/>
      <c r="T207" s="242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T207" s="243" t="s">
        <v>165</v>
      </c>
      <c r="AU207" s="243" t="s">
        <v>86</v>
      </c>
      <c r="AV207" s="13" t="s">
        <v>86</v>
      </c>
      <c r="AW207" s="13" t="s">
        <v>32</v>
      </c>
      <c r="AX207" s="13" t="s">
        <v>77</v>
      </c>
      <c r="AY207" s="243" t="s">
        <v>157</v>
      </c>
    </row>
    <row r="208" s="13" customFormat="1">
      <c r="A208" s="13"/>
      <c r="B208" s="232"/>
      <c r="C208" s="233"/>
      <c r="D208" s="234" t="s">
        <v>165</v>
      </c>
      <c r="E208" s="235" t="s">
        <v>1</v>
      </c>
      <c r="F208" s="236" t="s">
        <v>1748</v>
      </c>
      <c r="G208" s="233"/>
      <c r="H208" s="237">
        <v>25.145</v>
      </c>
      <c r="I208" s="238"/>
      <c r="J208" s="233"/>
      <c r="K208" s="233"/>
      <c r="L208" s="239"/>
      <c r="M208" s="240"/>
      <c r="N208" s="241"/>
      <c r="O208" s="241"/>
      <c r="P208" s="241"/>
      <c r="Q208" s="241"/>
      <c r="R208" s="241"/>
      <c r="S208" s="241"/>
      <c r="T208" s="242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T208" s="243" t="s">
        <v>165</v>
      </c>
      <c r="AU208" s="243" t="s">
        <v>86</v>
      </c>
      <c r="AV208" s="13" t="s">
        <v>86</v>
      </c>
      <c r="AW208" s="13" t="s">
        <v>32</v>
      </c>
      <c r="AX208" s="13" t="s">
        <v>77</v>
      </c>
      <c r="AY208" s="243" t="s">
        <v>157</v>
      </c>
    </row>
    <row r="209" s="2" customFormat="1" ht="24.15" customHeight="1">
      <c r="A209" s="37"/>
      <c r="B209" s="38"/>
      <c r="C209" s="218" t="s">
        <v>319</v>
      </c>
      <c r="D209" s="218" t="s">
        <v>159</v>
      </c>
      <c r="E209" s="219" t="s">
        <v>311</v>
      </c>
      <c r="F209" s="220" t="s">
        <v>312</v>
      </c>
      <c r="G209" s="221" t="s">
        <v>209</v>
      </c>
      <c r="H209" s="222">
        <v>129.07900000000001</v>
      </c>
      <c r="I209" s="223"/>
      <c r="J209" s="224">
        <f>ROUND(I209*H209,0)</f>
        <v>0</v>
      </c>
      <c r="K209" s="225"/>
      <c r="L209" s="43"/>
      <c r="M209" s="226" t="s">
        <v>1</v>
      </c>
      <c r="N209" s="227" t="s">
        <v>42</v>
      </c>
      <c r="O209" s="90"/>
      <c r="P209" s="228">
        <f>O209*H209</f>
        <v>0</v>
      </c>
      <c r="Q209" s="228">
        <v>0</v>
      </c>
      <c r="R209" s="228">
        <f>Q209*H209</f>
        <v>0</v>
      </c>
      <c r="S209" s="228">
        <v>0</v>
      </c>
      <c r="T209" s="229">
        <f>S209*H209</f>
        <v>0</v>
      </c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R209" s="230" t="s">
        <v>163</v>
      </c>
      <c r="AT209" s="230" t="s">
        <v>159</v>
      </c>
      <c r="AU209" s="230" t="s">
        <v>86</v>
      </c>
      <c r="AY209" s="16" t="s">
        <v>157</v>
      </c>
      <c r="BE209" s="231">
        <f>IF(N209="základní",J209,0)</f>
        <v>0</v>
      </c>
      <c r="BF209" s="231">
        <f>IF(N209="snížená",J209,0)</f>
        <v>0</v>
      </c>
      <c r="BG209" s="231">
        <f>IF(N209="zákl. přenesená",J209,0)</f>
        <v>0</v>
      </c>
      <c r="BH209" s="231">
        <f>IF(N209="sníž. přenesená",J209,0)</f>
        <v>0</v>
      </c>
      <c r="BI209" s="231">
        <f>IF(N209="nulová",J209,0)</f>
        <v>0</v>
      </c>
      <c r="BJ209" s="16" t="s">
        <v>8</v>
      </c>
      <c r="BK209" s="231">
        <f>ROUND(I209*H209,0)</f>
        <v>0</v>
      </c>
      <c r="BL209" s="16" t="s">
        <v>163</v>
      </c>
      <c r="BM209" s="230" t="s">
        <v>1749</v>
      </c>
    </row>
    <row r="210" s="2" customFormat="1" ht="24.15" customHeight="1">
      <c r="A210" s="37"/>
      <c r="B210" s="38"/>
      <c r="C210" s="218" t="s">
        <v>325</v>
      </c>
      <c r="D210" s="218" t="s">
        <v>159</v>
      </c>
      <c r="E210" s="219" t="s">
        <v>1750</v>
      </c>
      <c r="F210" s="220" t="s">
        <v>1751</v>
      </c>
      <c r="G210" s="221" t="s">
        <v>209</v>
      </c>
      <c r="H210" s="222">
        <v>64.540000000000006</v>
      </c>
      <c r="I210" s="223"/>
      <c r="J210" s="224">
        <f>ROUND(I210*H210,0)</f>
        <v>0</v>
      </c>
      <c r="K210" s="225"/>
      <c r="L210" s="43"/>
      <c r="M210" s="226" t="s">
        <v>1</v>
      </c>
      <c r="N210" s="227" t="s">
        <v>42</v>
      </c>
      <c r="O210" s="90"/>
      <c r="P210" s="228">
        <f>O210*H210</f>
        <v>0</v>
      </c>
      <c r="Q210" s="228">
        <v>0.0025000000000000001</v>
      </c>
      <c r="R210" s="228">
        <f>Q210*H210</f>
        <v>0.16135000000000002</v>
      </c>
      <c r="S210" s="228">
        <v>0</v>
      </c>
      <c r="T210" s="229">
        <f>S210*H210</f>
        <v>0</v>
      </c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R210" s="230" t="s">
        <v>163</v>
      </c>
      <c r="AT210" s="230" t="s">
        <v>159</v>
      </c>
      <c r="AU210" s="230" t="s">
        <v>86</v>
      </c>
      <c r="AY210" s="16" t="s">
        <v>157</v>
      </c>
      <c r="BE210" s="231">
        <f>IF(N210="základní",J210,0)</f>
        <v>0</v>
      </c>
      <c r="BF210" s="231">
        <f>IF(N210="snížená",J210,0)</f>
        <v>0</v>
      </c>
      <c r="BG210" s="231">
        <f>IF(N210="zákl. přenesená",J210,0)</f>
        <v>0</v>
      </c>
      <c r="BH210" s="231">
        <f>IF(N210="sníž. přenesená",J210,0)</f>
        <v>0</v>
      </c>
      <c r="BI210" s="231">
        <f>IF(N210="nulová",J210,0)</f>
        <v>0</v>
      </c>
      <c r="BJ210" s="16" t="s">
        <v>8</v>
      </c>
      <c r="BK210" s="231">
        <f>ROUND(I210*H210,0)</f>
        <v>0</v>
      </c>
      <c r="BL210" s="16" t="s">
        <v>163</v>
      </c>
      <c r="BM210" s="230" t="s">
        <v>1752</v>
      </c>
    </row>
    <row r="211" s="13" customFormat="1">
      <c r="A211" s="13"/>
      <c r="B211" s="232"/>
      <c r="C211" s="233"/>
      <c r="D211" s="234" t="s">
        <v>165</v>
      </c>
      <c r="E211" s="235" t="s">
        <v>1</v>
      </c>
      <c r="F211" s="236" t="s">
        <v>1753</v>
      </c>
      <c r="G211" s="233"/>
      <c r="H211" s="237">
        <v>51.966999999999999</v>
      </c>
      <c r="I211" s="238"/>
      <c r="J211" s="233"/>
      <c r="K211" s="233"/>
      <c r="L211" s="239"/>
      <c r="M211" s="240"/>
      <c r="N211" s="241"/>
      <c r="O211" s="241"/>
      <c r="P211" s="241"/>
      <c r="Q211" s="241"/>
      <c r="R211" s="241"/>
      <c r="S211" s="241"/>
      <c r="T211" s="242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T211" s="243" t="s">
        <v>165</v>
      </c>
      <c r="AU211" s="243" t="s">
        <v>86</v>
      </c>
      <c r="AV211" s="13" t="s">
        <v>86</v>
      </c>
      <c r="AW211" s="13" t="s">
        <v>32</v>
      </c>
      <c r="AX211" s="13" t="s">
        <v>77</v>
      </c>
      <c r="AY211" s="243" t="s">
        <v>157</v>
      </c>
    </row>
    <row r="212" s="13" customFormat="1">
      <c r="A212" s="13"/>
      <c r="B212" s="232"/>
      <c r="C212" s="233"/>
      <c r="D212" s="234" t="s">
        <v>165</v>
      </c>
      <c r="E212" s="235" t="s">
        <v>1</v>
      </c>
      <c r="F212" s="236" t="s">
        <v>1754</v>
      </c>
      <c r="G212" s="233"/>
      <c r="H212" s="237">
        <v>12.573</v>
      </c>
      <c r="I212" s="238"/>
      <c r="J212" s="233"/>
      <c r="K212" s="233"/>
      <c r="L212" s="239"/>
      <c r="M212" s="240"/>
      <c r="N212" s="241"/>
      <c r="O212" s="241"/>
      <c r="P212" s="241"/>
      <c r="Q212" s="241"/>
      <c r="R212" s="241"/>
      <c r="S212" s="241"/>
      <c r="T212" s="242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T212" s="243" t="s">
        <v>165</v>
      </c>
      <c r="AU212" s="243" t="s">
        <v>86</v>
      </c>
      <c r="AV212" s="13" t="s">
        <v>86</v>
      </c>
      <c r="AW212" s="13" t="s">
        <v>32</v>
      </c>
      <c r="AX212" s="13" t="s">
        <v>77</v>
      </c>
      <c r="AY212" s="243" t="s">
        <v>157</v>
      </c>
    </row>
    <row r="213" s="2" customFormat="1" ht="16.5" customHeight="1">
      <c r="A213" s="37"/>
      <c r="B213" s="38"/>
      <c r="C213" s="218" t="s">
        <v>329</v>
      </c>
      <c r="D213" s="218" t="s">
        <v>159</v>
      </c>
      <c r="E213" s="219" t="s">
        <v>315</v>
      </c>
      <c r="F213" s="220" t="s">
        <v>316</v>
      </c>
      <c r="G213" s="221" t="s">
        <v>193</v>
      </c>
      <c r="H213" s="222">
        <v>6.5179999999999998</v>
      </c>
      <c r="I213" s="223"/>
      <c r="J213" s="224">
        <f>ROUND(I213*H213,0)</f>
        <v>0</v>
      </c>
      <c r="K213" s="225"/>
      <c r="L213" s="43"/>
      <c r="M213" s="226" t="s">
        <v>1</v>
      </c>
      <c r="N213" s="227" t="s">
        <v>42</v>
      </c>
      <c r="O213" s="90"/>
      <c r="P213" s="228">
        <f>O213*H213</f>
        <v>0</v>
      </c>
      <c r="Q213" s="228">
        <v>1.04922</v>
      </c>
      <c r="R213" s="228">
        <f>Q213*H213</f>
        <v>6.8388159599999998</v>
      </c>
      <c r="S213" s="228">
        <v>0</v>
      </c>
      <c r="T213" s="229">
        <f>S213*H213</f>
        <v>0</v>
      </c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R213" s="230" t="s">
        <v>163</v>
      </c>
      <c r="AT213" s="230" t="s">
        <v>159</v>
      </c>
      <c r="AU213" s="230" t="s">
        <v>86</v>
      </c>
      <c r="AY213" s="16" t="s">
        <v>157</v>
      </c>
      <c r="BE213" s="231">
        <f>IF(N213="základní",J213,0)</f>
        <v>0</v>
      </c>
      <c r="BF213" s="231">
        <f>IF(N213="snížená",J213,0)</f>
        <v>0</v>
      </c>
      <c r="BG213" s="231">
        <f>IF(N213="zákl. přenesená",J213,0)</f>
        <v>0</v>
      </c>
      <c r="BH213" s="231">
        <f>IF(N213="sníž. přenesená",J213,0)</f>
        <v>0</v>
      </c>
      <c r="BI213" s="231">
        <f>IF(N213="nulová",J213,0)</f>
        <v>0</v>
      </c>
      <c r="BJ213" s="16" t="s">
        <v>8</v>
      </c>
      <c r="BK213" s="231">
        <f>ROUND(I213*H213,0)</f>
        <v>0</v>
      </c>
      <c r="BL213" s="16" t="s">
        <v>163</v>
      </c>
      <c r="BM213" s="230" t="s">
        <v>1755</v>
      </c>
    </row>
    <row r="214" s="13" customFormat="1">
      <c r="A214" s="13"/>
      <c r="B214" s="232"/>
      <c r="C214" s="233"/>
      <c r="D214" s="234" t="s">
        <v>165</v>
      </c>
      <c r="E214" s="235" t="s">
        <v>1</v>
      </c>
      <c r="F214" s="236" t="s">
        <v>1756</v>
      </c>
      <c r="G214" s="233"/>
      <c r="H214" s="237">
        <v>6.5179999999999998</v>
      </c>
      <c r="I214" s="238"/>
      <c r="J214" s="233"/>
      <c r="K214" s="233"/>
      <c r="L214" s="239"/>
      <c r="M214" s="240"/>
      <c r="N214" s="241"/>
      <c r="O214" s="241"/>
      <c r="P214" s="241"/>
      <c r="Q214" s="241"/>
      <c r="R214" s="241"/>
      <c r="S214" s="241"/>
      <c r="T214" s="242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T214" s="243" t="s">
        <v>165</v>
      </c>
      <c r="AU214" s="243" t="s">
        <v>86</v>
      </c>
      <c r="AV214" s="13" t="s">
        <v>86</v>
      </c>
      <c r="AW214" s="13" t="s">
        <v>32</v>
      </c>
      <c r="AX214" s="13" t="s">
        <v>77</v>
      </c>
      <c r="AY214" s="243" t="s">
        <v>157</v>
      </c>
    </row>
    <row r="215" s="2" customFormat="1" ht="21.75" customHeight="1">
      <c r="A215" s="37"/>
      <c r="B215" s="38"/>
      <c r="C215" s="218" t="s">
        <v>335</v>
      </c>
      <c r="D215" s="218" t="s">
        <v>159</v>
      </c>
      <c r="E215" s="219" t="s">
        <v>1757</v>
      </c>
      <c r="F215" s="220" t="s">
        <v>1758</v>
      </c>
      <c r="G215" s="221" t="s">
        <v>565</v>
      </c>
      <c r="H215" s="222">
        <v>116</v>
      </c>
      <c r="I215" s="223"/>
      <c r="J215" s="224">
        <f>ROUND(I215*H215,0)</f>
        <v>0</v>
      </c>
      <c r="K215" s="225"/>
      <c r="L215" s="43"/>
      <c r="M215" s="226" t="s">
        <v>1</v>
      </c>
      <c r="N215" s="227" t="s">
        <v>42</v>
      </c>
      <c r="O215" s="90"/>
      <c r="P215" s="228">
        <f>O215*H215</f>
        <v>0</v>
      </c>
      <c r="Q215" s="228">
        <v>0.035709999999999999</v>
      </c>
      <c r="R215" s="228">
        <f>Q215*H215</f>
        <v>4.14236</v>
      </c>
      <c r="S215" s="228">
        <v>0</v>
      </c>
      <c r="T215" s="229">
        <f>S215*H215</f>
        <v>0</v>
      </c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R215" s="230" t="s">
        <v>163</v>
      </c>
      <c r="AT215" s="230" t="s">
        <v>159</v>
      </c>
      <c r="AU215" s="230" t="s">
        <v>86</v>
      </c>
      <c r="AY215" s="16" t="s">
        <v>157</v>
      </c>
      <c r="BE215" s="231">
        <f>IF(N215="základní",J215,0)</f>
        <v>0</v>
      </c>
      <c r="BF215" s="231">
        <f>IF(N215="snížená",J215,0)</f>
        <v>0</v>
      </c>
      <c r="BG215" s="231">
        <f>IF(N215="zákl. přenesená",J215,0)</f>
        <v>0</v>
      </c>
      <c r="BH215" s="231">
        <f>IF(N215="sníž. přenesená",J215,0)</f>
        <v>0</v>
      </c>
      <c r="BI215" s="231">
        <f>IF(N215="nulová",J215,0)</f>
        <v>0</v>
      </c>
      <c r="BJ215" s="16" t="s">
        <v>8</v>
      </c>
      <c r="BK215" s="231">
        <f>ROUND(I215*H215,0)</f>
        <v>0</v>
      </c>
      <c r="BL215" s="16" t="s">
        <v>163</v>
      </c>
      <c r="BM215" s="230" t="s">
        <v>1759</v>
      </c>
    </row>
    <row r="216" s="13" customFormat="1">
      <c r="A216" s="13"/>
      <c r="B216" s="232"/>
      <c r="C216" s="233"/>
      <c r="D216" s="234" t="s">
        <v>165</v>
      </c>
      <c r="E216" s="235" t="s">
        <v>1</v>
      </c>
      <c r="F216" s="236" t="s">
        <v>1760</v>
      </c>
      <c r="G216" s="233"/>
      <c r="H216" s="237">
        <v>116</v>
      </c>
      <c r="I216" s="238"/>
      <c r="J216" s="233"/>
      <c r="K216" s="233"/>
      <c r="L216" s="239"/>
      <c r="M216" s="240"/>
      <c r="N216" s="241"/>
      <c r="O216" s="241"/>
      <c r="P216" s="241"/>
      <c r="Q216" s="241"/>
      <c r="R216" s="241"/>
      <c r="S216" s="241"/>
      <c r="T216" s="242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T216" s="243" t="s">
        <v>165</v>
      </c>
      <c r="AU216" s="243" t="s">
        <v>86</v>
      </c>
      <c r="AV216" s="13" t="s">
        <v>86</v>
      </c>
      <c r="AW216" s="13" t="s">
        <v>32</v>
      </c>
      <c r="AX216" s="13" t="s">
        <v>77</v>
      </c>
      <c r="AY216" s="243" t="s">
        <v>157</v>
      </c>
    </row>
    <row r="217" s="2" customFormat="1" ht="24.15" customHeight="1">
      <c r="A217" s="37"/>
      <c r="B217" s="38"/>
      <c r="C217" s="254" t="s">
        <v>341</v>
      </c>
      <c r="D217" s="254" t="s">
        <v>229</v>
      </c>
      <c r="E217" s="255" t="s">
        <v>1761</v>
      </c>
      <c r="F217" s="256" t="s">
        <v>1762</v>
      </c>
      <c r="G217" s="257" t="s">
        <v>162</v>
      </c>
      <c r="H217" s="258">
        <v>437.358</v>
      </c>
      <c r="I217" s="259"/>
      <c r="J217" s="260">
        <f>ROUND(I217*H217,0)</f>
        <v>0</v>
      </c>
      <c r="K217" s="261"/>
      <c r="L217" s="262"/>
      <c r="M217" s="263" t="s">
        <v>1</v>
      </c>
      <c r="N217" s="264" t="s">
        <v>42</v>
      </c>
      <c r="O217" s="90"/>
      <c r="P217" s="228">
        <f>O217*H217</f>
        <v>0</v>
      </c>
      <c r="Q217" s="228">
        <v>2.6800000000000002</v>
      </c>
      <c r="R217" s="228">
        <f>Q217*H217</f>
        <v>1172.1194400000002</v>
      </c>
      <c r="S217" s="228">
        <v>0</v>
      </c>
      <c r="T217" s="229">
        <f>S217*H217</f>
        <v>0</v>
      </c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R217" s="230" t="s">
        <v>200</v>
      </c>
      <c r="AT217" s="230" t="s">
        <v>229</v>
      </c>
      <c r="AU217" s="230" t="s">
        <v>86</v>
      </c>
      <c r="AY217" s="16" t="s">
        <v>157</v>
      </c>
      <c r="BE217" s="231">
        <f>IF(N217="základní",J217,0)</f>
        <v>0</v>
      </c>
      <c r="BF217" s="231">
        <f>IF(N217="snížená",J217,0)</f>
        <v>0</v>
      </c>
      <c r="BG217" s="231">
        <f>IF(N217="zákl. přenesená",J217,0)</f>
        <v>0</v>
      </c>
      <c r="BH217" s="231">
        <f>IF(N217="sníž. přenesená",J217,0)</f>
        <v>0</v>
      </c>
      <c r="BI217" s="231">
        <f>IF(N217="nulová",J217,0)</f>
        <v>0</v>
      </c>
      <c r="BJ217" s="16" t="s">
        <v>8</v>
      </c>
      <c r="BK217" s="231">
        <f>ROUND(I217*H217,0)</f>
        <v>0</v>
      </c>
      <c r="BL217" s="16" t="s">
        <v>163</v>
      </c>
      <c r="BM217" s="230" t="s">
        <v>1763</v>
      </c>
    </row>
    <row r="218" s="13" customFormat="1">
      <c r="A218" s="13"/>
      <c r="B218" s="232"/>
      <c r="C218" s="233"/>
      <c r="D218" s="234" t="s">
        <v>165</v>
      </c>
      <c r="E218" s="235" t="s">
        <v>1</v>
      </c>
      <c r="F218" s="236" t="s">
        <v>1764</v>
      </c>
      <c r="G218" s="233"/>
      <c r="H218" s="237">
        <v>327.31700000000001</v>
      </c>
      <c r="I218" s="238"/>
      <c r="J218" s="233"/>
      <c r="K218" s="233"/>
      <c r="L218" s="239"/>
      <c r="M218" s="240"/>
      <c r="N218" s="241"/>
      <c r="O218" s="241"/>
      <c r="P218" s="241"/>
      <c r="Q218" s="241"/>
      <c r="R218" s="241"/>
      <c r="S218" s="241"/>
      <c r="T218" s="242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T218" s="243" t="s">
        <v>165</v>
      </c>
      <c r="AU218" s="243" t="s">
        <v>86</v>
      </c>
      <c r="AV218" s="13" t="s">
        <v>86</v>
      </c>
      <c r="AW218" s="13" t="s">
        <v>32</v>
      </c>
      <c r="AX218" s="13" t="s">
        <v>77</v>
      </c>
      <c r="AY218" s="243" t="s">
        <v>157</v>
      </c>
    </row>
    <row r="219" s="13" customFormat="1">
      <c r="A219" s="13"/>
      <c r="B219" s="232"/>
      <c r="C219" s="233"/>
      <c r="D219" s="234" t="s">
        <v>165</v>
      </c>
      <c r="E219" s="235" t="s">
        <v>1</v>
      </c>
      <c r="F219" s="236" t="s">
        <v>1765</v>
      </c>
      <c r="G219" s="233"/>
      <c r="H219" s="237">
        <v>110.041</v>
      </c>
      <c r="I219" s="238"/>
      <c r="J219" s="233"/>
      <c r="K219" s="233"/>
      <c r="L219" s="239"/>
      <c r="M219" s="240"/>
      <c r="N219" s="241"/>
      <c r="O219" s="241"/>
      <c r="P219" s="241"/>
      <c r="Q219" s="241"/>
      <c r="R219" s="241"/>
      <c r="S219" s="241"/>
      <c r="T219" s="242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T219" s="243" t="s">
        <v>165</v>
      </c>
      <c r="AU219" s="243" t="s">
        <v>86</v>
      </c>
      <c r="AV219" s="13" t="s">
        <v>86</v>
      </c>
      <c r="AW219" s="13" t="s">
        <v>32</v>
      </c>
      <c r="AX219" s="13" t="s">
        <v>77</v>
      </c>
      <c r="AY219" s="243" t="s">
        <v>157</v>
      </c>
    </row>
    <row r="220" s="2" customFormat="1" ht="37.8" customHeight="1">
      <c r="A220" s="37"/>
      <c r="B220" s="38"/>
      <c r="C220" s="218" t="s">
        <v>345</v>
      </c>
      <c r="D220" s="218" t="s">
        <v>159</v>
      </c>
      <c r="E220" s="219" t="s">
        <v>1766</v>
      </c>
      <c r="F220" s="220" t="s">
        <v>1767</v>
      </c>
      <c r="G220" s="221" t="s">
        <v>193</v>
      </c>
      <c r="H220" s="222">
        <v>6.8090000000000002</v>
      </c>
      <c r="I220" s="223"/>
      <c r="J220" s="224">
        <f>ROUND(I220*H220,0)</f>
        <v>0</v>
      </c>
      <c r="K220" s="225"/>
      <c r="L220" s="43"/>
      <c r="M220" s="226" t="s">
        <v>1</v>
      </c>
      <c r="N220" s="227" t="s">
        <v>42</v>
      </c>
      <c r="O220" s="90"/>
      <c r="P220" s="228">
        <f>O220*H220</f>
        <v>0</v>
      </c>
      <c r="Q220" s="228">
        <v>0</v>
      </c>
      <c r="R220" s="228">
        <f>Q220*H220</f>
        <v>0</v>
      </c>
      <c r="S220" s="228">
        <v>0</v>
      </c>
      <c r="T220" s="229">
        <f>S220*H220</f>
        <v>0</v>
      </c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R220" s="230" t="s">
        <v>163</v>
      </c>
      <c r="AT220" s="230" t="s">
        <v>159</v>
      </c>
      <c r="AU220" s="230" t="s">
        <v>86</v>
      </c>
      <c r="AY220" s="16" t="s">
        <v>157</v>
      </c>
      <c r="BE220" s="231">
        <f>IF(N220="základní",J220,0)</f>
        <v>0</v>
      </c>
      <c r="BF220" s="231">
        <f>IF(N220="snížená",J220,0)</f>
        <v>0</v>
      </c>
      <c r="BG220" s="231">
        <f>IF(N220="zákl. přenesená",J220,0)</f>
        <v>0</v>
      </c>
      <c r="BH220" s="231">
        <f>IF(N220="sníž. přenesená",J220,0)</f>
        <v>0</v>
      </c>
      <c r="BI220" s="231">
        <f>IF(N220="nulová",J220,0)</f>
        <v>0</v>
      </c>
      <c r="BJ220" s="16" t="s">
        <v>8</v>
      </c>
      <c r="BK220" s="231">
        <f>ROUND(I220*H220,0)</f>
        <v>0</v>
      </c>
      <c r="BL220" s="16" t="s">
        <v>163</v>
      </c>
      <c r="BM220" s="230" t="s">
        <v>1768</v>
      </c>
    </row>
    <row r="221" s="13" customFormat="1">
      <c r="A221" s="13"/>
      <c r="B221" s="232"/>
      <c r="C221" s="233"/>
      <c r="D221" s="234" t="s">
        <v>165</v>
      </c>
      <c r="E221" s="235" t="s">
        <v>1</v>
      </c>
      <c r="F221" s="236" t="s">
        <v>1769</v>
      </c>
      <c r="G221" s="233"/>
      <c r="H221" s="237">
        <v>4.3339999999999996</v>
      </c>
      <c r="I221" s="238"/>
      <c r="J221" s="233"/>
      <c r="K221" s="233"/>
      <c r="L221" s="239"/>
      <c r="M221" s="240"/>
      <c r="N221" s="241"/>
      <c r="O221" s="241"/>
      <c r="P221" s="241"/>
      <c r="Q221" s="241"/>
      <c r="R221" s="241"/>
      <c r="S221" s="241"/>
      <c r="T221" s="242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T221" s="243" t="s">
        <v>165</v>
      </c>
      <c r="AU221" s="243" t="s">
        <v>86</v>
      </c>
      <c r="AV221" s="13" t="s">
        <v>86</v>
      </c>
      <c r="AW221" s="13" t="s">
        <v>32</v>
      </c>
      <c r="AX221" s="13" t="s">
        <v>77</v>
      </c>
      <c r="AY221" s="243" t="s">
        <v>157</v>
      </c>
    </row>
    <row r="222" s="13" customFormat="1">
      <c r="A222" s="13"/>
      <c r="B222" s="232"/>
      <c r="C222" s="233"/>
      <c r="D222" s="234" t="s">
        <v>165</v>
      </c>
      <c r="E222" s="235" t="s">
        <v>1</v>
      </c>
      <c r="F222" s="236" t="s">
        <v>1770</v>
      </c>
      <c r="G222" s="233"/>
      <c r="H222" s="237">
        <v>2.4750000000000001</v>
      </c>
      <c r="I222" s="238"/>
      <c r="J222" s="233"/>
      <c r="K222" s="233"/>
      <c r="L222" s="239"/>
      <c r="M222" s="240"/>
      <c r="N222" s="241"/>
      <c r="O222" s="241"/>
      <c r="P222" s="241"/>
      <c r="Q222" s="241"/>
      <c r="R222" s="241"/>
      <c r="S222" s="241"/>
      <c r="T222" s="242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T222" s="243" t="s">
        <v>165</v>
      </c>
      <c r="AU222" s="243" t="s">
        <v>86</v>
      </c>
      <c r="AV222" s="13" t="s">
        <v>86</v>
      </c>
      <c r="AW222" s="13" t="s">
        <v>32</v>
      </c>
      <c r="AX222" s="13" t="s">
        <v>77</v>
      </c>
      <c r="AY222" s="243" t="s">
        <v>157</v>
      </c>
    </row>
    <row r="223" s="2" customFormat="1" ht="24.15" customHeight="1">
      <c r="A223" s="37"/>
      <c r="B223" s="38"/>
      <c r="C223" s="254" t="s">
        <v>350</v>
      </c>
      <c r="D223" s="254" t="s">
        <v>229</v>
      </c>
      <c r="E223" s="255" t="s">
        <v>1771</v>
      </c>
      <c r="F223" s="256" t="s">
        <v>1772</v>
      </c>
      <c r="G223" s="257" t="s">
        <v>193</v>
      </c>
      <c r="H223" s="258">
        <v>6.8090000000000002</v>
      </c>
      <c r="I223" s="259"/>
      <c r="J223" s="260">
        <f>ROUND(I223*H223,0)</f>
        <v>0</v>
      </c>
      <c r="K223" s="261"/>
      <c r="L223" s="262"/>
      <c r="M223" s="263" t="s">
        <v>1</v>
      </c>
      <c r="N223" s="264" t="s">
        <v>42</v>
      </c>
      <c r="O223" s="90"/>
      <c r="P223" s="228">
        <f>O223*H223</f>
        <v>0</v>
      </c>
      <c r="Q223" s="228">
        <v>1</v>
      </c>
      <c r="R223" s="228">
        <f>Q223*H223</f>
        <v>6.8090000000000002</v>
      </c>
      <c r="S223" s="228">
        <v>0</v>
      </c>
      <c r="T223" s="229">
        <f>S223*H223</f>
        <v>0</v>
      </c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R223" s="230" t="s">
        <v>200</v>
      </c>
      <c r="AT223" s="230" t="s">
        <v>229</v>
      </c>
      <c r="AU223" s="230" t="s">
        <v>86</v>
      </c>
      <c r="AY223" s="16" t="s">
        <v>157</v>
      </c>
      <c r="BE223" s="231">
        <f>IF(N223="základní",J223,0)</f>
        <v>0</v>
      </c>
      <c r="BF223" s="231">
        <f>IF(N223="snížená",J223,0)</f>
        <v>0</v>
      </c>
      <c r="BG223" s="231">
        <f>IF(N223="zákl. přenesená",J223,0)</f>
        <v>0</v>
      </c>
      <c r="BH223" s="231">
        <f>IF(N223="sníž. přenesená",J223,0)</f>
        <v>0</v>
      </c>
      <c r="BI223" s="231">
        <f>IF(N223="nulová",J223,0)</f>
        <v>0</v>
      </c>
      <c r="BJ223" s="16" t="s">
        <v>8</v>
      </c>
      <c r="BK223" s="231">
        <f>ROUND(I223*H223,0)</f>
        <v>0</v>
      </c>
      <c r="BL223" s="16" t="s">
        <v>163</v>
      </c>
      <c r="BM223" s="230" t="s">
        <v>1773</v>
      </c>
    </row>
    <row r="224" s="13" customFormat="1">
      <c r="A224" s="13"/>
      <c r="B224" s="232"/>
      <c r="C224" s="233"/>
      <c r="D224" s="234" t="s">
        <v>165</v>
      </c>
      <c r="E224" s="235" t="s">
        <v>1</v>
      </c>
      <c r="F224" s="236" t="s">
        <v>1769</v>
      </c>
      <c r="G224" s="233"/>
      <c r="H224" s="237">
        <v>4.3339999999999996</v>
      </c>
      <c r="I224" s="238"/>
      <c r="J224" s="233"/>
      <c r="K224" s="233"/>
      <c r="L224" s="239"/>
      <c r="M224" s="240"/>
      <c r="N224" s="241"/>
      <c r="O224" s="241"/>
      <c r="P224" s="241"/>
      <c r="Q224" s="241"/>
      <c r="R224" s="241"/>
      <c r="S224" s="241"/>
      <c r="T224" s="242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T224" s="243" t="s">
        <v>165</v>
      </c>
      <c r="AU224" s="243" t="s">
        <v>86</v>
      </c>
      <c r="AV224" s="13" t="s">
        <v>86</v>
      </c>
      <c r="AW224" s="13" t="s">
        <v>32</v>
      </c>
      <c r="AX224" s="13" t="s">
        <v>77</v>
      </c>
      <c r="AY224" s="243" t="s">
        <v>157</v>
      </c>
    </row>
    <row r="225" s="13" customFormat="1">
      <c r="A225" s="13"/>
      <c r="B225" s="232"/>
      <c r="C225" s="233"/>
      <c r="D225" s="234" t="s">
        <v>165</v>
      </c>
      <c r="E225" s="235" t="s">
        <v>1</v>
      </c>
      <c r="F225" s="236" t="s">
        <v>1770</v>
      </c>
      <c r="G225" s="233"/>
      <c r="H225" s="237">
        <v>2.4750000000000001</v>
      </c>
      <c r="I225" s="238"/>
      <c r="J225" s="233"/>
      <c r="K225" s="233"/>
      <c r="L225" s="239"/>
      <c r="M225" s="240"/>
      <c r="N225" s="241"/>
      <c r="O225" s="241"/>
      <c r="P225" s="241"/>
      <c r="Q225" s="241"/>
      <c r="R225" s="241"/>
      <c r="S225" s="241"/>
      <c r="T225" s="242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T225" s="243" t="s">
        <v>165</v>
      </c>
      <c r="AU225" s="243" t="s">
        <v>86</v>
      </c>
      <c r="AV225" s="13" t="s">
        <v>86</v>
      </c>
      <c r="AW225" s="13" t="s">
        <v>32</v>
      </c>
      <c r="AX225" s="13" t="s">
        <v>77</v>
      </c>
      <c r="AY225" s="243" t="s">
        <v>157</v>
      </c>
    </row>
    <row r="226" s="2" customFormat="1" ht="24.15" customHeight="1">
      <c r="A226" s="37"/>
      <c r="B226" s="38"/>
      <c r="C226" s="218" t="s">
        <v>356</v>
      </c>
      <c r="D226" s="218" t="s">
        <v>159</v>
      </c>
      <c r="E226" s="219" t="s">
        <v>1774</v>
      </c>
      <c r="F226" s="220" t="s">
        <v>1775</v>
      </c>
      <c r="G226" s="221" t="s">
        <v>565</v>
      </c>
      <c r="H226" s="222">
        <v>162</v>
      </c>
      <c r="I226" s="223"/>
      <c r="J226" s="224">
        <f>ROUND(I226*H226,0)</f>
        <v>0</v>
      </c>
      <c r="K226" s="225"/>
      <c r="L226" s="43"/>
      <c r="M226" s="226" t="s">
        <v>1</v>
      </c>
      <c r="N226" s="227" t="s">
        <v>42</v>
      </c>
      <c r="O226" s="90"/>
      <c r="P226" s="228">
        <f>O226*H226</f>
        <v>0</v>
      </c>
      <c r="Q226" s="228">
        <v>0.070860000000000006</v>
      </c>
      <c r="R226" s="228">
        <f>Q226*H226</f>
        <v>11.479320000000001</v>
      </c>
      <c r="S226" s="228">
        <v>0</v>
      </c>
      <c r="T226" s="229">
        <f>S226*H226</f>
        <v>0</v>
      </c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R226" s="230" t="s">
        <v>163</v>
      </c>
      <c r="AT226" s="230" t="s">
        <v>159</v>
      </c>
      <c r="AU226" s="230" t="s">
        <v>86</v>
      </c>
      <c r="AY226" s="16" t="s">
        <v>157</v>
      </c>
      <c r="BE226" s="231">
        <f>IF(N226="základní",J226,0)</f>
        <v>0</v>
      </c>
      <c r="BF226" s="231">
        <f>IF(N226="snížená",J226,0)</f>
        <v>0</v>
      </c>
      <c r="BG226" s="231">
        <f>IF(N226="zákl. přenesená",J226,0)</f>
        <v>0</v>
      </c>
      <c r="BH226" s="231">
        <f>IF(N226="sníž. přenesená",J226,0)</f>
        <v>0</v>
      </c>
      <c r="BI226" s="231">
        <f>IF(N226="nulová",J226,0)</f>
        <v>0</v>
      </c>
      <c r="BJ226" s="16" t="s">
        <v>8</v>
      </c>
      <c r="BK226" s="231">
        <f>ROUND(I226*H226,0)</f>
        <v>0</v>
      </c>
      <c r="BL226" s="16" t="s">
        <v>163</v>
      </c>
      <c r="BM226" s="230" t="s">
        <v>1776</v>
      </c>
    </row>
    <row r="227" s="13" customFormat="1">
      <c r="A227" s="13"/>
      <c r="B227" s="232"/>
      <c r="C227" s="233"/>
      <c r="D227" s="234" t="s">
        <v>165</v>
      </c>
      <c r="E227" s="235" t="s">
        <v>1</v>
      </c>
      <c r="F227" s="236" t="s">
        <v>1777</v>
      </c>
      <c r="G227" s="233"/>
      <c r="H227" s="237">
        <v>162</v>
      </c>
      <c r="I227" s="238"/>
      <c r="J227" s="233"/>
      <c r="K227" s="233"/>
      <c r="L227" s="239"/>
      <c r="M227" s="240"/>
      <c r="N227" s="241"/>
      <c r="O227" s="241"/>
      <c r="P227" s="241"/>
      <c r="Q227" s="241"/>
      <c r="R227" s="241"/>
      <c r="S227" s="241"/>
      <c r="T227" s="242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T227" s="243" t="s">
        <v>165</v>
      </c>
      <c r="AU227" s="243" t="s">
        <v>86</v>
      </c>
      <c r="AV227" s="13" t="s">
        <v>86</v>
      </c>
      <c r="AW227" s="13" t="s">
        <v>32</v>
      </c>
      <c r="AX227" s="13" t="s">
        <v>77</v>
      </c>
      <c r="AY227" s="243" t="s">
        <v>157</v>
      </c>
    </row>
    <row r="228" s="2" customFormat="1" ht="24.15" customHeight="1">
      <c r="A228" s="37"/>
      <c r="B228" s="38"/>
      <c r="C228" s="254" t="s">
        <v>364</v>
      </c>
      <c r="D228" s="254" t="s">
        <v>229</v>
      </c>
      <c r="E228" s="255" t="s">
        <v>1778</v>
      </c>
      <c r="F228" s="256" t="s">
        <v>1779</v>
      </c>
      <c r="G228" s="257" t="s">
        <v>162</v>
      </c>
      <c r="H228" s="258">
        <v>230.37299999999999</v>
      </c>
      <c r="I228" s="259"/>
      <c r="J228" s="260">
        <f>ROUND(I228*H228,0)</f>
        <v>0</v>
      </c>
      <c r="K228" s="261"/>
      <c r="L228" s="262"/>
      <c r="M228" s="263" t="s">
        <v>1</v>
      </c>
      <c r="N228" s="264" t="s">
        <v>42</v>
      </c>
      <c r="O228" s="90"/>
      <c r="P228" s="228">
        <f>O228*H228</f>
        <v>0</v>
      </c>
      <c r="Q228" s="228">
        <v>2.5699999999999998</v>
      </c>
      <c r="R228" s="228">
        <f>Q228*H228</f>
        <v>592.05860999999993</v>
      </c>
      <c r="S228" s="228">
        <v>0</v>
      </c>
      <c r="T228" s="229">
        <f>S228*H228</f>
        <v>0</v>
      </c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R228" s="230" t="s">
        <v>200</v>
      </c>
      <c r="AT228" s="230" t="s">
        <v>229</v>
      </c>
      <c r="AU228" s="230" t="s">
        <v>86</v>
      </c>
      <c r="AY228" s="16" t="s">
        <v>157</v>
      </c>
      <c r="BE228" s="231">
        <f>IF(N228="základní",J228,0)</f>
        <v>0</v>
      </c>
      <c r="BF228" s="231">
        <f>IF(N228="snížená",J228,0)</f>
        <v>0</v>
      </c>
      <c r="BG228" s="231">
        <f>IF(N228="zákl. přenesená",J228,0)</f>
        <v>0</v>
      </c>
      <c r="BH228" s="231">
        <f>IF(N228="sníž. přenesená",J228,0)</f>
        <v>0</v>
      </c>
      <c r="BI228" s="231">
        <f>IF(N228="nulová",J228,0)</f>
        <v>0</v>
      </c>
      <c r="BJ228" s="16" t="s">
        <v>8</v>
      </c>
      <c r="BK228" s="231">
        <f>ROUND(I228*H228,0)</f>
        <v>0</v>
      </c>
      <c r="BL228" s="16" t="s">
        <v>163</v>
      </c>
      <c r="BM228" s="230" t="s">
        <v>1780</v>
      </c>
    </row>
    <row r="229" s="13" customFormat="1">
      <c r="A229" s="13"/>
      <c r="B229" s="232"/>
      <c r="C229" s="233"/>
      <c r="D229" s="234" t="s">
        <v>165</v>
      </c>
      <c r="E229" s="235" t="s">
        <v>1</v>
      </c>
      <c r="F229" s="236" t="s">
        <v>1781</v>
      </c>
      <c r="G229" s="233"/>
      <c r="H229" s="237">
        <v>230.37299999999999</v>
      </c>
      <c r="I229" s="238"/>
      <c r="J229" s="233"/>
      <c r="K229" s="233"/>
      <c r="L229" s="239"/>
      <c r="M229" s="240"/>
      <c r="N229" s="241"/>
      <c r="O229" s="241"/>
      <c r="P229" s="241"/>
      <c r="Q229" s="241"/>
      <c r="R229" s="241"/>
      <c r="S229" s="241"/>
      <c r="T229" s="242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T229" s="243" t="s">
        <v>165</v>
      </c>
      <c r="AU229" s="243" t="s">
        <v>86</v>
      </c>
      <c r="AV229" s="13" t="s">
        <v>86</v>
      </c>
      <c r="AW229" s="13" t="s">
        <v>32</v>
      </c>
      <c r="AX229" s="13" t="s">
        <v>8</v>
      </c>
      <c r="AY229" s="243" t="s">
        <v>157</v>
      </c>
    </row>
    <row r="230" s="2" customFormat="1" ht="33" customHeight="1">
      <c r="A230" s="37"/>
      <c r="B230" s="38"/>
      <c r="C230" s="218" t="s">
        <v>371</v>
      </c>
      <c r="D230" s="218" t="s">
        <v>159</v>
      </c>
      <c r="E230" s="219" t="s">
        <v>1782</v>
      </c>
      <c r="F230" s="220" t="s">
        <v>1783</v>
      </c>
      <c r="G230" s="221" t="s">
        <v>209</v>
      </c>
      <c r="H230" s="222">
        <v>4470.192</v>
      </c>
      <c r="I230" s="223"/>
      <c r="J230" s="224">
        <f>ROUND(I230*H230,0)</f>
        <v>0</v>
      </c>
      <c r="K230" s="225"/>
      <c r="L230" s="43"/>
      <c r="M230" s="226" t="s">
        <v>1</v>
      </c>
      <c r="N230" s="227" t="s">
        <v>42</v>
      </c>
      <c r="O230" s="90"/>
      <c r="P230" s="228">
        <f>O230*H230</f>
        <v>0</v>
      </c>
      <c r="Q230" s="228">
        <v>0</v>
      </c>
      <c r="R230" s="228">
        <f>Q230*H230</f>
        <v>0</v>
      </c>
      <c r="S230" s="228">
        <v>0</v>
      </c>
      <c r="T230" s="229">
        <f>S230*H230</f>
        <v>0</v>
      </c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R230" s="230" t="s">
        <v>163</v>
      </c>
      <c r="AT230" s="230" t="s">
        <v>159</v>
      </c>
      <c r="AU230" s="230" t="s">
        <v>86</v>
      </c>
      <c r="AY230" s="16" t="s">
        <v>157</v>
      </c>
      <c r="BE230" s="231">
        <f>IF(N230="základní",J230,0)</f>
        <v>0</v>
      </c>
      <c r="BF230" s="231">
        <f>IF(N230="snížená",J230,0)</f>
        <v>0</v>
      </c>
      <c r="BG230" s="231">
        <f>IF(N230="zákl. přenesená",J230,0)</f>
        <v>0</v>
      </c>
      <c r="BH230" s="231">
        <f>IF(N230="sníž. přenesená",J230,0)</f>
        <v>0</v>
      </c>
      <c r="BI230" s="231">
        <f>IF(N230="nulová",J230,0)</f>
        <v>0</v>
      </c>
      <c r="BJ230" s="16" t="s">
        <v>8</v>
      </c>
      <c r="BK230" s="231">
        <f>ROUND(I230*H230,0)</f>
        <v>0</v>
      </c>
      <c r="BL230" s="16" t="s">
        <v>163</v>
      </c>
      <c r="BM230" s="230" t="s">
        <v>1784</v>
      </c>
    </row>
    <row r="231" s="13" customFormat="1">
      <c r="A231" s="13"/>
      <c r="B231" s="232"/>
      <c r="C231" s="233"/>
      <c r="D231" s="234" t="s">
        <v>165</v>
      </c>
      <c r="E231" s="235" t="s">
        <v>1</v>
      </c>
      <c r="F231" s="236" t="s">
        <v>1785</v>
      </c>
      <c r="G231" s="233"/>
      <c r="H231" s="237">
        <v>4575.0600000000004</v>
      </c>
      <c r="I231" s="238"/>
      <c r="J231" s="233"/>
      <c r="K231" s="233"/>
      <c r="L231" s="239"/>
      <c r="M231" s="240"/>
      <c r="N231" s="241"/>
      <c r="O231" s="241"/>
      <c r="P231" s="241"/>
      <c r="Q231" s="241"/>
      <c r="R231" s="241"/>
      <c r="S231" s="241"/>
      <c r="T231" s="242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T231" s="243" t="s">
        <v>165</v>
      </c>
      <c r="AU231" s="243" t="s">
        <v>86</v>
      </c>
      <c r="AV231" s="13" t="s">
        <v>86</v>
      </c>
      <c r="AW231" s="13" t="s">
        <v>32</v>
      </c>
      <c r="AX231" s="13" t="s">
        <v>77</v>
      </c>
      <c r="AY231" s="243" t="s">
        <v>157</v>
      </c>
    </row>
    <row r="232" s="13" customFormat="1">
      <c r="A232" s="13"/>
      <c r="B232" s="232"/>
      <c r="C232" s="233"/>
      <c r="D232" s="234" t="s">
        <v>165</v>
      </c>
      <c r="E232" s="235" t="s">
        <v>1</v>
      </c>
      <c r="F232" s="236" t="s">
        <v>1786</v>
      </c>
      <c r="G232" s="233"/>
      <c r="H232" s="237">
        <v>-104.868</v>
      </c>
      <c r="I232" s="238"/>
      <c r="J232" s="233"/>
      <c r="K232" s="233"/>
      <c r="L232" s="239"/>
      <c r="M232" s="240"/>
      <c r="N232" s="241"/>
      <c r="O232" s="241"/>
      <c r="P232" s="241"/>
      <c r="Q232" s="241"/>
      <c r="R232" s="241"/>
      <c r="S232" s="241"/>
      <c r="T232" s="242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T232" s="243" t="s">
        <v>165</v>
      </c>
      <c r="AU232" s="243" t="s">
        <v>86</v>
      </c>
      <c r="AV232" s="13" t="s">
        <v>86</v>
      </c>
      <c r="AW232" s="13" t="s">
        <v>32</v>
      </c>
      <c r="AX232" s="13" t="s">
        <v>77</v>
      </c>
      <c r="AY232" s="243" t="s">
        <v>157</v>
      </c>
    </row>
    <row r="233" s="2" customFormat="1" ht="37.8" customHeight="1">
      <c r="A233" s="37"/>
      <c r="B233" s="38"/>
      <c r="C233" s="254" t="s">
        <v>375</v>
      </c>
      <c r="D233" s="254" t="s">
        <v>229</v>
      </c>
      <c r="E233" s="255" t="s">
        <v>1787</v>
      </c>
      <c r="F233" s="256" t="s">
        <v>1788</v>
      </c>
      <c r="G233" s="257" t="s">
        <v>209</v>
      </c>
      <c r="H233" s="258">
        <v>4917.2110000000002</v>
      </c>
      <c r="I233" s="259"/>
      <c r="J233" s="260">
        <f>ROUND(I233*H233,0)</f>
        <v>0</v>
      </c>
      <c r="K233" s="261"/>
      <c r="L233" s="262"/>
      <c r="M233" s="263" t="s">
        <v>1</v>
      </c>
      <c r="N233" s="264" t="s">
        <v>42</v>
      </c>
      <c r="O233" s="90"/>
      <c r="P233" s="228">
        <f>O233*H233</f>
        <v>0</v>
      </c>
      <c r="Q233" s="228">
        <v>0.0152</v>
      </c>
      <c r="R233" s="228">
        <f>Q233*H233</f>
        <v>74.741607200000004</v>
      </c>
      <c r="S233" s="228">
        <v>0</v>
      </c>
      <c r="T233" s="229">
        <f>S233*H233</f>
        <v>0</v>
      </c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R233" s="230" t="s">
        <v>200</v>
      </c>
      <c r="AT233" s="230" t="s">
        <v>229</v>
      </c>
      <c r="AU233" s="230" t="s">
        <v>86</v>
      </c>
      <c r="AY233" s="16" t="s">
        <v>157</v>
      </c>
      <c r="BE233" s="231">
        <f>IF(N233="základní",J233,0)</f>
        <v>0</v>
      </c>
      <c r="BF233" s="231">
        <f>IF(N233="snížená",J233,0)</f>
        <v>0</v>
      </c>
      <c r="BG233" s="231">
        <f>IF(N233="zákl. přenesená",J233,0)</f>
        <v>0</v>
      </c>
      <c r="BH233" s="231">
        <f>IF(N233="sníž. přenesená",J233,0)</f>
        <v>0</v>
      </c>
      <c r="BI233" s="231">
        <f>IF(N233="nulová",J233,0)</f>
        <v>0</v>
      </c>
      <c r="BJ233" s="16" t="s">
        <v>8</v>
      </c>
      <c r="BK233" s="231">
        <f>ROUND(I233*H233,0)</f>
        <v>0</v>
      </c>
      <c r="BL233" s="16" t="s">
        <v>163</v>
      </c>
      <c r="BM233" s="230" t="s">
        <v>1789</v>
      </c>
    </row>
    <row r="234" s="13" customFormat="1">
      <c r="A234" s="13"/>
      <c r="B234" s="232"/>
      <c r="C234" s="233"/>
      <c r="D234" s="234" t="s">
        <v>165</v>
      </c>
      <c r="E234" s="235" t="s">
        <v>1</v>
      </c>
      <c r="F234" s="236" t="s">
        <v>1790</v>
      </c>
      <c r="G234" s="233"/>
      <c r="H234" s="237">
        <v>4470.192</v>
      </c>
      <c r="I234" s="238"/>
      <c r="J234" s="233"/>
      <c r="K234" s="233"/>
      <c r="L234" s="239"/>
      <c r="M234" s="240"/>
      <c r="N234" s="241"/>
      <c r="O234" s="241"/>
      <c r="P234" s="241"/>
      <c r="Q234" s="241"/>
      <c r="R234" s="241"/>
      <c r="S234" s="241"/>
      <c r="T234" s="242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T234" s="243" t="s">
        <v>165</v>
      </c>
      <c r="AU234" s="243" t="s">
        <v>86</v>
      </c>
      <c r="AV234" s="13" t="s">
        <v>86</v>
      </c>
      <c r="AW234" s="13" t="s">
        <v>32</v>
      </c>
      <c r="AX234" s="13" t="s">
        <v>8</v>
      </c>
      <c r="AY234" s="243" t="s">
        <v>157</v>
      </c>
    </row>
    <row r="235" s="13" customFormat="1">
      <c r="A235" s="13"/>
      <c r="B235" s="232"/>
      <c r="C235" s="233"/>
      <c r="D235" s="234" t="s">
        <v>165</v>
      </c>
      <c r="E235" s="233"/>
      <c r="F235" s="236" t="s">
        <v>1791</v>
      </c>
      <c r="G235" s="233"/>
      <c r="H235" s="237">
        <v>4917.2110000000002</v>
      </c>
      <c r="I235" s="238"/>
      <c r="J235" s="233"/>
      <c r="K235" s="233"/>
      <c r="L235" s="239"/>
      <c r="M235" s="240"/>
      <c r="N235" s="241"/>
      <c r="O235" s="241"/>
      <c r="P235" s="241"/>
      <c r="Q235" s="241"/>
      <c r="R235" s="241"/>
      <c r="S235" s="241"/>
      <c r="T235" s="242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T235" s="243" t="s">
        <v>165</v>
      </c>
      <c r="AU235" s="243" t="s">
        <v>86</v>
      </c>
      <c r="AV235" s="13" t="s">
        <v>86</v>
      </c>
      <c r="AW235" s="13" t="s">
        <v>4</v>
      </c>
      <c r="AX235" s="13" t="s">
        <v>8</v>
      </c>
      <c r="AY235" s="243" t="s">
        <v>157</v>
      </c>
    </row>
    <row r="236" s="2" customFormat="1" ht="16.5" customHeight="1">
      <c r="A236" s="37"/>
      <c r="B236" s="38"/>
      <c r="C236" s="254" t="s">
        <v>381</v>
      </c>
      <c r="D236" s="254" t="s">
        <v>229</v>
      </c>
      <c r="E236" s="255" t="s">
        <v>1792</v>
      </c>
      <c r="F236" s="256" t="s">
        <v>1793</v>
      </c>
      <c r="G236" s="257" t="s">
        <v>1427</v>
      </c>
      <c r="H236" s="271"/>
      <c r="I236" s="259"/>
      <c r="J236" s="260">
        <f>ROUND(I236*H236,0)</f>
        <v>0</v>
      </c>
      <c r="K236" s="261"/>
      <c r="L236" s="262"/>
      <c r="M236" s="263" t="s">
        <v>1</v>
      </c>
      <c r="N236" s="264" t="s">
        <v>42</v>
      </c>
      <c r="O236" s="90"/>
      <c r="P236" s="228">
        <f>O236*H236</f>
        <v>0</v>
      </c>
      <c r="Q236" s="228">
        <v>0</v>
      </c>
      <c r="R236" s="228">
        <f>Q236*H236</f>
        <v>0</v>
      </c>
      <c r="S236" s="228">
        <v>0</v>
      </c>
      <c r="T236" s="229">
        <f>S236*H236</f>
        <v>0</v>
      </c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R236" s="230" t="s">
        <v>200</v>
      </c>
      <c r="AT236" s="230" t="s">
        <v>229</v>
      </c>
      <c r="AU236" s="230" t="s">
        <v>86</v>
      </c>
      <c r="AY236" s="16" t="s">
        <v>157</v>
      </c>
      <c r="BE236" s="231">
        <f>IF(N236="základní",J236,0)</f>
        <v>0</v>
      </c>
      <c r="BF236" s="231">
        <f>IF(N236="snížená",J236,0)</f>
        <v>0</v>
      </c>
      <c r="BG236" s="231">
        <f>IF(N236="zákl. přenesená",J236,0)</f>
        <v>0</v>
      </c>
      <c r="BH236" s="231">
        <f>IF(N236="sníž. přenesená",J236,0)</f>
        <v>0</v>
      </c>
      <c r="BI236" s="231">
        <f>IF(N236="nulová",J236,0)</f>
        <v>0</v>
      </c>
      <c r="BJ236" s="16" t="s">
        <v>8</v>
      </c>
      <c r="BK236" s="231">
        <f>ROUND(I236*H236,0)</f>
        <v>0</v>
      </c>
      <c r="BL236" s="16" t="s">
        <v>163</v>
      </c>
      <c r="BM236" s="230" t="s">
        <v>1794</v>
      </c>
    </row>
    <row r="237" s="2" customFormat="1" ht="21.75" customHeight="1">
      <c r="A237" s="37"/>
      <c r="B237" s="38"/>
      <c r="C237" s="218" t="s">
        <v>386</v>
      </c>
      <c r="D237" s="218" t="s">
        <v>159</v>
      </c>
      <c r="E237" s="219" t="s">
        <v>1795</v>
      </c>
      <c r="F237" s="220" t="s">
        <v>1796</v>
      </c>
      <c r="G237" s="221" t="s">
        <v>1797</v>
      </c>
      <c r="H237" s="222">
        <v>1</v>
      </c>
      <c r="I237" s="223"/>
      <c r="J237" s="224">
        <f>ROUND(I237*H237,0)</f>
        <v>0</v>
      </c>
      <c r="K237" s="225"/>
      <c r="L237" s="43"/>
      <c r="M237" s="226" t="s">
        <v>1</v>
      </c>
      <c r="N237" s="227" t="s">
        <v>42</v>
      </c>
      <c r="O237" s="90"/>
      <c r="P237" s="228">
        <f>O237*H237</f>
        <v>0</v>
      </c>
      <c r="Q237" s="228">
        <v>0</v>
      </c>
      <c r="R237" s="228">
        <f>Q237*H237</f>
        <v>0</v>
      </c>
      <c r="S237" s="228">
        <v>0</v>
      </c>
      <c r="T237" s="229">
        <f>S237*H237</f>
        <v>0</v>
      </c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R237" s="230" t="s">
        <v>163</v>
      </c>
      <c r="AT237" s="230" t="s">
        <v>159</v>
      </c>
      <c r="AU237" s="230" t="s">
        <v>86</v>
      </c>
      <c r="AY237" s="16" t="s">
        <v>157</v>
      </c>
      <c r="BE237" s="231">
        <f>IF(N237="základní",J237,0)</f>
        <v>0</v>
      </c>
      <c r="BF237" s="231">
        <f>IF(N237="snížená",J237,0)</f>
        <v>0</v>
      </c>
      <c r="BG237" s="231">
        <f>IF(N237="zákl. přenesená",J237,0)</f>
        <v>0</v>
      </c>
      <c r="BH237" s="231">
        <f>IF(N237="sníž. přenesená",J237,0)</f>
        <v>0</v>
      </c>
      <c r="BI237" s="231">
        <f>IF(N237="nulová",J237,0)</f>
        <v>0</v>
      </c>
      <c r="BJ237" s="16" t="s">
        <v>8</v>
      </c>
      <c r="BK237" s="231">
        <f>ROUND(I237*H237,0)</f>
        <v>0</v>
      </c>
      <c r="BL237" s="16" t="s">
        <v>163</v>
      </c>
      <c r="BM237" s="230" t="s">
        <v>1798</v>
      </c>
    </row>
    <row r="238" s="2" customFormat="1" ht="24.15" customHeight="1">
      <c r="A238" s="37"/>
      <c r="B238" s="38"/>
      <c r="C238" s="218" t="s">
        <v>390</v>
      </c>
      <c r="D238" s="218" t="s">
        <v>159</v>
      </c>
      <c r="E238" s="219" t="s">
        <v>1799</v>
      </c>
      <c r="F238" s="220" t="s">
        <v>1800</v>
      </c>
      <c r="G238" s="221" t="s">
        <v>209</v>
      </c>
      <c r="H238" s="222">
        <v>4470.2110000000002</v>
      </c>
      <c r="I238" s="223"/>
      <c r="J238" s="224">
        <f>ROUND(I238*H238,0)</f>
        <v>0</v>
      </c>
      <c r="K238" s="225"/>
      <c r="L238" s="43"/>
      <c r="M238" s="226" t="s">
        <v>1</v>
      </c>
      <c r="N238" s="227" t="s">
        <v>42</v>
      </c>
      <c r="O238" s="90"/>
      <c r="P238" s="228">
        <f>O238*H238</f>
        <v>0</v>
      </c>
      <c r="Q238" s="228">
        <v>0</v>
      </c>
      <c r="R238" s="228">
        <f>Q238*H238</f>
        <v>0</v>
      </c>
      <c r="S238" s="228">
        <v>0</v>
      </c>
      <c r="T238" s="229">
        <f>S238*H238</f>
        <v>0</v>
      </c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R238" s="230" t="s">
        <v>163</v>
      </c>
      <c r="AT238" s="230" t="s">
        <v>159</v>
      </c>
      <c r="AU238" s="230" t="s">
        <v>86</v>
      </c>
      <c r="AY238" s="16" t="s">
        <v>157</v>
      </c>
      <c r="BE238" s="231">
        <f>IF(N238="základní",J238,0)</f>
        <v>0</v>
      </c>
      <c r="BF238" s="231">
        <f>IF(N238="snížená",J238,0)</f>
        <v>0</v>
      </c>
      <c r="BG238" s="231">
        <f>IF(N238="zákl. přenesená",J238,0)</f>
        <v>0</v>
      </c>
      <c r="BH238" s="231">
        <f>IF(N238="sníž. přenesená",J238,0)</f>
        <v>0</v>
      </c>
      <c r="BI238" s="231">
        <f>IF(N238="nulová",J238,0)</f>
        <v>0</v>
      </c>
      <c r="BJ238" s="16" t="s">
        <v>8</v>
      </c>
      <c r="BK238" s="231">
        <f>ROUND(I238*H238,0)</f>
        <v>0</v>
      </c>
      <c r="BL238" s="16" t="s">
        <v>163</v>
      </c>
      <c r="BM238" s="230" t="s">
        <v>1801</v>
      </c>
    </row>
    <row r="239" s="12" customFormat="1" ht="22.8" customHeight="1">
      <c r="A239" s="12"/>
      <c r="B239" s="202"/>
      <c r="C239" s="203"/>
      <c r="D239" s="204" t="s">
        <v>76</v>
      </c>
      <c r="E239" s="216" t="s">
        <v>163</v>
      </c>
      <c r="F239" s="216" t="s">
        <v>355</v>
      </c>
      <c r="G239" s="203"/>
      <c r="H239" s="203"/>
      <c r="I239" s="206"/>
      <c r="J239" s="217">
        <f>BK239</f>
        <v>0</v>
      </c>
      <c r="K239" s="203"/>
      <c r="L239" s="208"/>
      <c r="M239" s="209"/>
      <c r="N239" s="210"/>
      <c r="O239" s="210"/>
      <c r="P239" s="211">
        <f>SUM(P240:P282)</f>
        <v>0</v>
      </c>
      <c r="Q239" s="210"/>
      <c r="R239" s="211">
        <f>SUM(R240:R282)</f>
        <v>1163.3933364300001</v>
      </c>
      <c r="S239" s="210"/>
      <c r="T239" s="212">
        <f>SUM(T240:T282)</f>
        <v>0</v>
      </c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R239" s="213" t="s">
        <v>8</v>
      </c>
      <c r="AT239" s="214" t="s">
        <v>76</v>
      </c>
      <c r="AU239" s="214" t="s">
        <v>8</v>
      </c>
      <c r="AY239" s="213" t="s">
        <v>157</v>
      </c>
      <c r="BK239" s="215">
        <f>SUM(BK240:BK282)</f>
        <v>0</v>
      </c>
    </row>
    <row r="240" s="2" customFormat="1" ht="44.25" customHeight="1">
      <c r="A240" s="37"/>
      <c r="B240" s="38"/>
      <c r="C240" s="218" t="s">
        <v>398</v>
      </c>
      <c r="D240" s="218" t="s">
        <v>159</v>
      </c>
      <c r="E240" s="219" t="s">
        <v>1802</v>
      </c>
      <c r="F240" s="220" t="s">
        <v>1803</v>
      </c>
      <c r="G240" s="221" t="s">
        <v>209</v>
      </c>
      <c r="H240" s="222">
        <v>192.30000000000001</v>
      </c>
      <c r="I240" s="223"/>
      <c r="J240" s="224">
        <f>ROUND(I240*H240,0)</f>
        <v>0</v>
      </c>
      <c r="K240" s="225"/>
      <c r="L240" s="43"/>
      <c r="M240" s="226" t="s">
        <v>1</v>
      </c>
      <c r="N240" s="227" t="s">
        <v>42</v>
      </c>
      <c r="O240" s="90"/>
      <c r="P240" s="228">
        <f>O240*H240</f>
        <v>0</v>
      </c>
      <c r="Q240" s="228">
        <v>0.37503999999999998</v>
      </c>
      <c r="R240" s="228">
        <f>Q240*H240</f>
        <v>72.120192000000003</v>
      </c>
      <c r="S240" s="228">
        <v>0</v>
      </c>
      <c r="T240" s="229">
        <f>S240*H240</f>
        <v>0</v>
      </c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R240" s="230" t="s">
        <v>163</v>
      </c>
      <c r="AT240" s="230" t="s">
        <v>159</v>
      </c>
      <c r="AU240" s="230" t="s">
        <v>86</v>
      </c>
      <c r="AY240" s="16" t="s">
        <v>157</v>
      </c>
      <c r="BE240" s="231">
        <f>IF(N240="základní",J240,0)</f>
        <v>0</v>
      </c>
      <c r="BF240" s="231">
        <f>IF(N240="snížená",J240,0)</f>
        <v>0</v>
      </c>
      <c r="BG240" s="231">
        <f>IF(N240="zákl. přenesená",J240,0)</f>
        <v>0</v>
      </c>
      <c r="BH240" s="231">
        <f>IF(N240="sníž. přenesená",J240,0)</f>
        <v>0</v>
      </c>
      <c r="BI240" s="231">
        <f>IF(N240="nulová",J240,0)</f>
        <v>0</v>
      </c>
      <c r="BJ240" s="16" t="s">
        <v>8</v>
      </c>
      <c r="BK240" s="231">
        <f>ROUND(I240*H240,0)</f>
        <v>0</v>
      </c>
      <c r="BL240" s="16" t="s">
        <v>163</v>
      </c>
      <c r="BM240" s="230" t="s">
        <v>1804</v>
      </c>
    </row>
    <row r="241" s="13" customFormat="1">
      <c r="A241" s="13"/>
      <c r="B241" s="232"/>
      <c r="C241" s="233"/>
      <c r="D241" s="234" t="s">
        <v>165</v>
      </c>
      <c r="E241" s="235" t="s">
        <v>1</v>
      </c>
      <c r="F241" s="236" t="s">
        <v>1805</v>
      </c>
      <c r="G241" s="233"/>
      <c r="H241" s="237">
        <v>192.30000000000001</v>
      </c>
      <c r="I241" s="238"/>
      <c r="J241" s="233"/>
      <c r="K241" s="233"/>
      <c r="L241" s="239"/>
      <c r="M241" s="240"/>
      <c r="N241" s="241"/>
      <c r="O241" s="241"/>
      <c r="P241" s="241"/>
      <c r="Q241" s="241"/>
      <c r="R241" s="241"/>
      <c r="S241" s="241"/>
      <c r="T241" s="242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T241" s="243" t="s">
        <v>165</v>
      </c>
      <c r="AU241" s="243" t="s">
        <v>86</v>
      </c>
      <c r="AV241" s="13" t="s">
        <v>86</v>
      </c>
      <c r="AW241" s="13" t="s">
        <v>32</v>
      </c>
      <c r="AX241" s="13" t="s">
        <v>77</v>
      </c>
      <c r="AY241" s="243" t="s">
        <v>157</v>
      </c>
    </row>
    <row r="242" s="2" customFormat="1" ht="16.5" customHeight="1">
      <c r="A242" s="37"/>
      <c r="B242" s="38"/>
      <c r="C242" s="218" t="s">
        <v>404</v>
      </c>
      <c r="D242" s="218" t="s">
        <v>159</v>
      </c>
      <c r="E242" s="219" t="s">
        <v>357</v>
      </c>
      <c r="F242" s="220" t="s">
        <v>358</v>
      </c>
      <c r="G242" s="221" t="s">
        <v>162</v>
      </c>
      <c r="H242" s="222">
        <v>0.69199999999999995</v>
      </c>
      <c r="I242" s="223"/>
      <c r="J242" s="224">
        <f>ROUND(I242*H242,0)</f>
        <v>0</v>
      </c>
      <c r="K242" s="225"/>
      <c r="L242" s="43"/>
      <c r="M242" s="226" t="s">
        <v>1</v>
      </c>
      <c r="N242" s="227" t="s">
        <v>42</v>
      </c>
      <c r="O242" s="90"/>
      <c r="P242" s="228">
        <f>O242*H242</f>
        <v>0</v>
      </c>
      <c r="Q242" s="228">
        <v>2.5020099999999998</v>
      </c>
      <c r="R242" s="228">
        <f>Q242*H242</f>
        <v>1.7313909199999997</v>
      </c>
      <c r="S242" s="228">
        <v>0</v>
      </c>
      <c r="T242" s="229">
        <f>S242*H242</f>
        <v>0</v>
      </c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R242" s="230" t="s">
        <v>163</v>
      </c>
      <c r="AT242" s="230" t="s">
        <v>159</v>
      </c>
      <c r="AU242" s="230" t="s">
        <v>86</v>
      </c>
      <c r="AY242" s="16" t="s">
        <v>157</v>
      </c>
      <c r="BE242" s="231">
        <f>IF(N242="základní",J242,0)</f>
        <v>0</v>
      </c>
      <c r="BF242" s="231">
        <f>IF(N242="snížená",J242,0)</f>
        <v>0</v>
      </c>
      <c r="BG242" s="231">
        <f>IF(N242="zákl. přenesená",J242,0)</f>
        <v>0</v>
      </c>
      <c r="BH242" s="231">
        <f>IF(N242="sníž. přenesená",J242,0)</f>
        <v>0</v>
      </c>
      <c r="BI242" s="231">
        <f>IF(N242="nulová",J242,0)</f>
        <v>0</v>
      </c>
      <c r="BJ242" s="16" t="s">
        <v>8</v>
      </c>
      <c r="BK242" s="231">
        <f>ROUND(I242*H242,0)</f>
        <v>0</v>
      </c>
      <c r="BL242" s="16" t="s">
        <v>163</v>
      </c>
      <c r="BM242" s="230" t="s">
        <v>1806</v>
      </c>
    </row>
    <row r="243" s="13" customFormat="1">
      <c r="A243" s="13"/>
      <c r="B243" s="232"/>
      <c r="C243" s="233"/>
      <c r="D243" s="234" t="s">
        <v>165</v>
      </c>
      <c r="E243" s="235" t="s">
        <v>1</v>
      </c>
      <c r="F243" s="236" t="s">
        <v>1807</v>
      </c>
      <c r="G243" s="233"/>
      <c r="H243" s="237">
        <v>0.69199999999999995</v>
      </c>
      <c r="I243" s="238"/>
      <c r="J243" s="233"/>
      <c r="K243" s="233"/>
      <c r="L243" s="239"/>
      <c r="M243" s="240"/>
      <c r="N243" s="241"/>
      <c r="O243" s="241"/>
      <c r="P243" s="241"/>
      <c r="Q243" s="241"/>
      <c r="R243" s="241"/>
      <c r="S243" s="241"/>
      <c r="T243" s="242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T243" s="243" t="s">
        <v>165</v>
      </c>
      <c r="AU243" s="243" t="s">
        <v>86</v>
      </c>
      <c r="AV243" s="13" t="s">
        <v>86</v>
      </c>
      <c r="AW243" s="13" t="s">
        <v>32</v>
      </c>
      <c r="AX243" s="13" t="s">
        <v>77</v>
      </c>
      <c r="AY243" s="243" t="s">
        <v>157</v>
      </c>
    </row>
    <row r="244" s="2" customFormat="1" ht="24.15" customHeight="1">
      <c r="A244" s="37"/>
      <c r="B244" s="38"/>
      <c r="C244" s="218" t="s">
        <v>409</v>
      </c>
      <c r="D244" s="218" t="s">
        <v>159</v>
      </c>
      <c r="E244" s="219" t="s">
        <v>376</v>
      </c>
      <c r="F244" s="220" t="s">
        <v>1808</v>
      </c>
      <c r="G244" s="221" t="s">
        <v>209</v>
      </c>
      <c r="H244" s="222">
        <v>9.2200000000000006</v>
      </c>
      <c r="I244" s="223"/>
      <c r="J244" s="224">
        <f>ROUND(I244*H244,0)</f>
        <v>0</v>
      </c>
      <c r="K244" s="225"/>
      <c r="L244" s="43"/>
      <c r="M244" s="226" t="s">
        <v>1</v>
      </c>
      <c r="N244" s="227" t="s">
        <v>42</v>
      </c>
      <c r="O244" s="90"/>
      <c r="P244" s="228">
        <f>O244*H244</f>
        <v>0</v>
      </c>
      <c r="Q244" s="228">
        <v>0.010529999999999999</v>
      </c>
      <c r="R244" s="228">
        <f>Q244*H244</f>
        <v>0.097086599999999995</v>
      </c>
      <c r="S244" s="228">
        <v>0</v>
      </c>
      <c r="T244" s="229">
        <f>S244*H244</f>
        <v>0</v>
      </c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R244" s="230" t="s">
        <v>163</v>
      </c>
      <c r="AT244" s="230" t="s">
        <v>159</v>
      </c>
      <c r="AU244" s="230" t="s">
        <v>86</v>
      </c>
      <c r="AY244" s="16" t="s">
        <v>157</v>
      </c>
      <c r="BE244" s="231">
        <f>IF(N244="základní",J244,0)</f>
        <v>0</v>
      </c>
      <c r="BF244" s="231">
        <f>IF(N244="snížená",J244,0)</f>
        <v>0</v>
      </c>
      <c r="BG244" s="231">
        <f>IF(N244="zákl. přenesená",J244,0)</f>
        <v>0</v>
      </c>
      <c r="BH244" s="231">
        <f>IF(N244="sníž. přenesená",J244,0)</f>
        <v>0</v>
      </c>
      <c r="BI244" s="231">
        <f>IF(N244="nulová",J244,0)</f>
        <v>0</v>
      </c>
      <c r="BJ244" s="16" t="s">
        <v>8</v>
      </c>
      <c r="BK244" s="231">
        <f>ROUND(I244*H244,0)</f>
        <v>0</v>
      </c>
      <c r="BL244" s="16" t="s">
        <v>163</v>
      </c>
      <c r="BM244" s="230" t="s">
        <v>1809</v>
      </c>
    </row>
    <row r="245" s="13" customFormat="1">
      <c r="A245" s="13"/>
      <c r="B245" s="232"/>
      <c r="C245" s="233"/>
      <c r="D245" s="234" t="s">
        <v>165</v>
      </c>
      <c r="E245" s="235" t="s">
        <v>1</v>
      </c>
      <c r="F245" s="236" t="s">
        <v>1810</v>
      </c>
      <c r="G245" s="233"/>
      <c r="H245" s="237">
        <v>9.2200000000000006</v>
      </c>
      <c r="I245" s="238"/>
      <c r="J245" s="233"/>
      <c r="K245" s="233"/>
      <c r="L245" s="239"/>
      <c r="M245" s="240"/>
      <c r="N245" s="241"/>
      <c r="O245" s="241"/>
      <c r="P245" s="241"/>
      <c r="Q245" s="241"/>
      <c r="R245" s="241"/>
      <c r="S245" s="241"/>
      <c r="T245" s="242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T245" s="243" t="s">
        <v>165</v>
      </c>
      <c r="AU245" s="243" t="s">
        <v>86</v>
      </c>
      <c r="AV245" s="13" t="s">
        <v>86</v>
      </c>
      <c r="AW245" s="13" t="s">
        <v>32</v>
      </c>
      <c r="AX245" s="13" t="s">
        <v>77</v>
      </c>
      <c r="AY245" s="243" t="s">
        <v>157</v>
      </c>
    </row>
    <row r="246" s="2" customFormat="1" ht="16.5" customHeight="1">
      <c r="A246" s="37"/>
      <c r="B246" s="38"/>
      <c r="C246" s="218" t="s">
        <v>414</v>
      </c>
      <c r="D246" s="218" t="s">
        <v>159</v>
      </c>
      <c r="E246" s="219" t="s">
        <v>391</v>
      </c>
      <c r="F246" s="220" t="s">
        <v>392</v>
      </c>
      <c r="G246" s="221" t="s">
        <v>193</v>
      </c>
      <c r="H246" s="222">
        <v>0.083000000000000004</v>
      </c>
      <c r="I246" s="223"/>
      <c r="J246" s="224">
        <f>ROUND(I246*H246,0)</f>
        <v>0</v>
      </c>
      <c r="K246" s="225"/>
      <c r="L246" s="43"/>
      <c r="M246" s="226" t="s">
        <v>1</v>
      </c>
      <c r="N246" s="227" t="s">
        <v>42</v>
      </c>
      <c r="O246" s="90"/>
      <c r="P246" s="228">
        <f>O246*H246</f>
        <v>0</v>
      </c>
      <c r="Q246" s="228">
        <v>1.05555</v>
      </c>
      <c r="R246" s="228">
        <f>Q246*H246</f>
        <v>0.087610649999999998</v>
      </c>
      <c r="S246" s="228">
        <v>0</v>
      </c>
      <c r="T246" s="229">
        <f>S246*H246</f>
        <v>0</v>
      </c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R246" s="230" t="s">
        <v>163</v>
      </c>
      <c r="AT246" s="230" t="s">
        <v>159</v>
      </c>
      <c r="AU246" s="230" t="s">
        <v>86</v>
      </c>
      <c r="AY246" s="16" t="s">
        <v>157</v>
      </c>
      <c r="BE246" s="231">
        <f>IF(N246="základní",J246,0)</f>
        <v>0</v>
      </c>
      <c r="BF246" s="231">
        <f>IF(N246="snížená",J246,0)</f>
        <v>0</v>
      </c>
      <c r="BG246" s="231">
        <f>IF(N246="zákl. přenesená",J246,0)</f>
        <v>0</v>
      </c>
      <c r="BH246" s="231">
        <f>IF(N246="sníž. přenesená",J246,0)</f>
        <v>0</v>
      </c>
      <c r="BI246" s="231">
        <f>IF(N246="nulová",J246,0)</f>
        <v>0</v>
      </c>
      <c r="BJ246" s="16" t="s">
        <v>8</v>
      </c>
      <c r="BK246" s="231">
        <f>ROUND(I246*H246,0)</f>
        <v>0</v>
      </c>
      <c r="BL246" s="16" t="s">
        <v>163</v>
      </c>
      <c r="BM246" s="230" t="s">
        <v>1811</v>
      </c>
    </row>
    <row r="247" s="13" customFormat="1">
      <c r="A247" s="13"/>
      <c r="B247" s="232"/>
      <c r="C247" s="233"/>
      <c r="D247" s="234" t="s">
        <v>165</v>
      </c>
      <c r="E247" s="235" t="s">
        <v>1</v>
      </c>
      <c r="F247" s="236" t="s">
        <v>1812</v>
      </c>
      <c r="G247" s="233"/>
      <c r="H247" s="237">
        <v>0.083000000000000004</v>
      </c>
      <c r="I247" s="238"/>
      <c r="J247" s="233"/>
      <c r="K247" s="233"/>
      <c r="L247" s="239"/>
      <c r="M247" s="240"/>
      <c r="N247" s="241"/>
      <c r="O247" s="241"/>
      <c r="P247" s="241"/>
      <c r="Q247" s="241"/>
      <c r="R247" s="241"/>
      <c r="S247" s="241"/>
      <c r="T247" s="242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T247" s="243" t="s">
        <v>165</v>
      </c>
      <c r="AU247" s="243" t="s">
        <v>86</v>
      </c>
      <c r="AV247" s="13" t="s">
        <v>86</v>
      </c>
      <c r="AW247" s="13" t="s">
        <v>32</v>
      </c>
      <c r="AX247" s="13" t="s">
        <v>77</v>
      </c>
      <c r="AY247" s="243" t="s">
        <v>157</v>
      </c>
    </row>
    <row r="248" s="2" customFormat="1" ht="24.15" customHeight="1">
      <c r="A248" s="37"/>
      <c r="B248" s="38"/>
      <c r="C248" s="218" t="s">
        <v>419</v>
      </c>
      <c r="D248" s="218" t="s">
        <v>159</v>
      </c>
      <c r="E248" s="219" t="s">
        <v>1813</v>
      </c>
      <c r="F248" s="220" t="s">
        <v>1814</v>
      </c>
      <c r="G248" s="221" t="s">
        <v>565</v>
      </c>
      <c r="H248" s="222">
        <v>54</v>
      </c>
      <c r="I248" s="223"/>
      <c r="J248" s="224">
        <f>ROUND(I248*H248,0)</f>
        <v>0</v>
      </c>
      <c r="K248" s="225"/>
      <c r="L248" s="43"/>
      <c r="M248" s="226" t="s">
        <v>1</v>
      </c>
      <c r="N248" s="227" t="s">
        <v>42</v>
      </c>
      <c r="O248" s="90"/>
      <c r="P248" s="228">
        <f>O248*H248</f>
        <v>0</v>
      </c>
      <c r="Q248" s="228">
        <v>0.030269999999999998</v>
      </c>
      <c r="R248" s="228">
        <f>Q248*H248</f>
        <v>1.6345799999999999</v>
      </c>
      <c r="S248" s="228">
        <v>0</v>
      </c>
      <c r="T248" s="229">
        <f>S248*H248</f>
        <v>0</v>
      </c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R248" s="230" t="s">
        <v>163</v>
      </c>
      <c r="AT248" s="230" t="s">
        <v>159</v>
      </c>
      <c r="AU248" s="230" t="s">
        <v>86</v>
      </c>
      <c r="AY248" s="16" t="s">
        <v>157</v>
      </c>
      <c r="BE248" s="231">
        <f>IF(N248="základní",J248,0)</f>
        <v>0</v>
      </c>
      <c r="BF248" s="231">
        <f>IF(N248="snížená",J248,0)</f>
        <v>0</v>
      </c>
      <c r="BG248" s="231">
        <f>IF(N248="zákl. přenesená",J248,0)</f>
        <v>0</v>
      </c>
      <c r="BH248" s="231">
        <f>IF(N248="sníž. přenesená",J248,0)</f>
        <v>0</v>
      </c>
      <c r="BI248" s="231">
        <f>IF(N248="nulová",J248,0)</f>
        <v>0</v>
      </c>
      <c r="BJ248" s="16" t="s">
        <v>8</v>
      </c>
      <c r="BK248" s="231">
        <f>ROUND(I248*H248,0)</f>
        <v>0</v>
      </c>
      <c r="BL248" s="16" t="s">
        <v>163</v>
      </c>
      <c r="BM248" s="230" t="s">
        <v>1815</v>
      </c>
    </row>
    <row r="249" s="13" customFormat="1">
      <c r="A249" s="13"/>
      <c r="B249" s="232"/>
      <c r="C249" s="233"/>
      <c r="D249" s="234" t="s">
        <v>165</v>
      </c>
      <c r="E249" s="235" t="s">
        <v>1</v>
      </c>
      <c r="F249" s="236" t="s">
        <v>1816</v>
      </c>
      <c r="G249" s="233"/>
      <c r="H249" s="237">
        <v>54</v>
      </c>
      <c r="I249" s="238"/>
      <c r="J249" s="233"/>
      <c r="K249" s="233"/>
      <c r="L249" s="239"/>
      <c r="M249" s="240"/>
      <c r="N249" s="241"/>
      <c r="O249" s="241"/>
      <c r="P249" s="241"/>
      <c r="Q249" s="241"/>
      <c r="R249" s="241"/>
      <c r="S249" s="241"/>
      <c r="T249" s="242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T249" s="243" t="s">
        <v>165</v>
      </c>
      <c r="AU249" s="243" t="s">
        <v>86</v>
      </c>
      <c r="AV249" s="13" t="s">
        <v>86</v>
      </c>
      <c r="AW249" s="13" t="s">
        <v>32</v>
      </c>
      <c r="AX249" s="13" t="s">
        <v>77</v>
      </c>
      <c r="AY249" s="243" t="s">
        <v>157</v>
      </c>
    </row>
    <row r="250" s="2" customFormat="1" ht="24.15" customHeight="1">
      <c r="A250" s="37"/>
      <c r="B250" s="38"/>
      <c r="C250" s="254" t="s">
        <v>423</v>
      </c>
      <c r="D250" s="254" t="s">
        <v>229</v>
      </c>
      <c r="E250" s="255" t="s">
        <v>1817</v>
      </c>
      <c r="F250" s="256" t="s">
        <v>1818</v>
      </c>
      <c r="G250" s="257" t="s">
        <v>162</v>
      </c>
      <c r="H250" s="258">
        <v>24.623999999999999</v>
      </c>
      <c r="I250" s="259"/>
      <c r="J250" s="260">
        <f>ROUND(I250*H250,0)</f>
        <v>0</v>
      </c>
      <c r="K250" s="261"/>
      <c r="L250" s="262"/>
      <c r="M250" s="263" t="s">
        <v>1</v>
      </c>
      <c r="N250" s="264" t="s">
        <v>42</v>
      </c>
      <c r="O250" s="90"/>
      <c r="P250" s="228">
        <f>O250*H250</f>
        <v>0</v>
      </c>
      <c r="Q250" s="228">
        <v>2.6699999999999999</v>
      </c>
      <c r="R250" s="228">
        <f>Q250*H250</f>
        <v>65.746079999999992</v>
      </c>
      <c r="S250" s="228">
        <v>0</v>
      </c>
      <c r="T250" s="229">
        <f>S250*H250</f>
        <v>0</v>
      </c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R250" s="230" t="s">
        <v>200</v>
      </c>
      <c r="AT250" s="230" t="s">
        <v>229</v>
      </c>
      <c r="AU250" s="230" t="s">
        <v>86</v>
      </c>
      <c r="AY250" s="16" t="s">
        <v>157</v>
      </c>
      <c r="BE250" s="231">
        <f>IF(N250="základní",J250,0)</f>
        <v>0</v>
      </c>
      <c r="BF250" s="231">
        <f>IF(N250="snížená",J250,0)</f>
        <v>0</v>
      </c>
      <c r="BG250" s="231">
        <f>IF(N250="zákl. přenesená",J250,0)</f>
        <v>0</v>
      </c>
      <c r="BH250" s="231">
        <f>IF(N250="sníž. přenesená",J250,0)</f>
        <v>0</v>
      </c>
      <c r="BI250" s="231">
        <f>IF(N250="nulová",J250,0)</f>
        <v>0</v>
      </c>
      <c r="BJ250" s="16" t="s">
        <v>8</v>
      </c>
      <c r="BK250" s="231">
        <f>ROUND(I250*H250,0)</f>
        <v>0</v>
      </c>
      <c r="BL250" s="16" t="s">
        <v>163</v>
      </c>
      <c r="BM250" s="230" t="s">
        <v>1819</v>
      </c>
    </row>
    <row r="251" s="13" customFormat="1">
      <c r="A251" s="13"/>
      <c r="B251" s="232"/>
      <c r="C251" s="233"/>
      <c r="D251" s="234" t="s">
        <v>165</v>
      </c>
      <c r="E251" s="235" t="s">
        <v>1</v>
      </c>
      <c r="F251" s="236" t="s">
        <v>1820</v>
      </c>
      <c r="G251" s="233"/>
      <c r="H251" s="237">
        <v>24.623999999999999</v>
      </c>
      <c r="I251" s="238"/>
      <c r="J251" s="233"/>
      <c r="K251" s="233"/>
      <c r="L251" s="239"/>
      <c r="M251" s="240"/>
      <c r="N251" s="241"/>
      <c r="O251" s="241"/>
      <c r="P251" s="241"/>
      <c r="Q251" s="241"/>
      <c r="R251" s="241"/>
      <c r="S251" s="241"/>
      <c r="T251" s="242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T251" s="243" t="s">
        <v>165</v>
      </c>
      <c r="AU251" s="243" t="s">
        <v>86</v>
      </c>
      <c r="AV251" s="13" t="s">
        <v>86</v>
      </c>
      <c r="AW251" s="13" t="s">
        <v>32</v>
      </c>
      <c r="AX251" s="13" t="s">
        <v>8</v>
      </c>
      <c r="AY251" s="243" t="s">
        <v>157</v>
      </c>
    </row>
    <row r="252" s="2" customFormat="1" ht="24.15" customHeight="1">
      <c r="A252" s="37"/>
      <c r="B252" s="38"/>
      <c r="C252" s="218" t="s">
        <v>428</v>
      </c>
      <c r="D252" s="218" t="s">
        <v>159</v>
      </c>
      <c r="E252" s="219" t="s">
        <v>1821</v>
      </c>
      <c r="F252" s="220" t="s">
        <v>1822</v>
      </c>
      <c r="G252" s="221" t="s">
        <v>565</v>
      </c>
      <c r="H252" s="222">
        <v>20</v>
      </c>
      <c r="I252" s="223"/>
      <c r="J252" s="224">
        <f>ROUND(I252*H252,0)</f>
        <v>0</v>
      </c>
      <c r="K252" s="225"/>
      <c r="L252" s="43"/>
      <c r="M252" s="226" t="s">
        <v>1</v>
      </c>
      <c r="N252" s="227" t="s">
        <v>42</v>
      </c>
      <c r="O252" s="90"/>
      <c r="P252" s="228">
        <f>O252*H252</f>
        <v>0</v>
      </c>
      <c r="Q252" s="228">
        <v>0.088539999999999994</v>
      </c>
      <c r="R252" s="228">
        <f>Q252*H252</f>
        <v>1.7707999999999999</v>
      </c>
      <c r="S252" s="228">
        <v>0</v>
      </c>
      <c r="T252" s="229">
        <f>S252*H252</f>
        <v>0</v>
      </c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R252" s="230" t="s">
        <v>163</v>
      </c>
      <c r="AT252" s="230" t="s">
        <v>159</v>
      </c>
      <c r="AU252" s="230" t="s">
        <v>86</v>
      </c>
      <c r="AY252" s="16" t="s">
        <v>157</v>
      </c>
      <c r="BE252" s="231">
        <f>IF(N252="základní",J252,0)</f>
        <v>0</v>
      </c>
      <c r="BF252" s="231">
        <f>IF(N252="snížená",J252,0)</f>
        <v>0</v>
      </c>
      <c r="BG252" s="231">
        <f>IF(N252="zákl. přenesená",J252,0)</f>
        <v>0</v>
      </c>
      <c r="BH252" s="231">
        <f>IF(N252="sníž. přenesená",J252,0)</f>
        <v>0</v>
      </c>
      <c r="BI252" s="231">
        <f>IF(N252="nulová",J252,0)</f>
        <v>0</v>
      </c>
      <c r="BJ252" s="16" t="s">
        <v>8</v>
      </c>
      <c r="BK252" s="231">
        <f>ROUND(I252*H252,0)</f>
        <v>0</v>
      </c>
      <c r="BL252" s="16" t="s">
        <v>163</v>
      </c>
      <c r="BM252" s="230" t="s">
        <v>1823</v>
      </c>
    </row>
    <row r="253" s="13" customFormat="1">
      <c r="A253" s="13"/>
      <c r="B253" s="232"/>
      <c r="C253" s="233"/>
      <c r="D253" s="234" t="s">
        <v>165</v>
      </c>
      <c r="E253" s="235" t="s">
        <v>1</v>
      </c>
      <c r="F253" s="236" t="s">
        <v>1824</v>
      </c>
      <c r="G253" s="233"/>
      <c r="H253" s="237">
        <v>16</v>
      </c>
      <c r="I253" s="238"/>
      <c r="J253" s="233"/>
      <c r="K253" s="233"/>
      <c r="L253" s="239"/>
      <c r="M253" s="240"/>
      <c r="N253" s="241"/>
      <c r="O253" s="241"/>
      <c r="P253" s="241"/>
      <c r="Q253" s="241"/>
      <c r="R253" s="241"/>
      <c r="S253" s="241"/>
      <c r="T253" s="242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T253" s="243" t="s">
        <v>165</v>
      </c>
      <c r="AU253" s="243" t="s">
        <v>86</v>
      </c>
      <c r="AV253" s="13" t="s">
        <v>86</v>
      </c>
      <c r="AW253" s="13" t="s">
        <v>32</v>
      </c>
      <c r="AX253" s="13" t="s">
        <v>77</v>
      </c>
      <c r="AY253" s="243" t="s">
        <v>157</v>
      </c>
    </row>
    <row r="254" s="13" customFormat="1">
      <c r="A254" s="13"/>
      <c r="B254" s="232"/>
      <c r="C254" s="233"/>
      <c r="D254" s="234" t="s">
        <v>165</v>
      </c>
      <c r="E254" s="235" t="s">
        <v>1</v>
      </c>
      <c r="F254" s="236" t="s">
        <v>1825</v>
      </c>
      <c r="G254" s="233"/>
      <c r="H254" s="237">
        <v>4</v>
      </c>
      <c r="I254" s="238"/>
      <c r="J254" s="233"/>
      <c r="K254" s="233"/>
      <c r="L254" s="239"/>
      <c r="M254" s="240"/>
      <c r="N254" s="241"/>
      <c r="O254" s="241"/>
      <c r="P254" s="241"/>
      <c r="Q254" s="241"/>
      <c r="R254" s="241"/>
      <c r="S254" s="241"/>
      <c r="T254" s="242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T254" s="243" t="s">
        <v>165</v>
      </c>
      <c r="AU254" s="243" t="s">
        <v>86</v>
      </c>
      <c r="AV254" s="13" t="s">
        <v>86</v>
      </c>
      <c r="AW254" s="13" t="s">
        <v>32</v>
      </c>
      <c r="AX254" s="13" t="s">
        <v>77</v>
      </c>
      <c r="AY254" s="243" t="s">
        <v>157</v>
      </c>
    </row>
    <row r="255" s="2" customFormat="1" ht="24.15" customHeight="1">
      <c r="A255" s="37"/>
      <c r="B255" s="38"/>
      <c r="C255" s="218" t="s">
        <v>433</v>
      </c>
      <c r="D255" s="218" t="s">
        <v>159</v>
      </c>
      <c r="E255" s="219" t="s">
        <v>1826</v>
      </c>
      <c r="F255" s="220" t="s">
        <v>1827</v>
      </c>
      <c r="G255" s="221" t="s">
        <v>565</v>
      </c>
      <c r="H255" s="222">
        <v>80</v>
      </c>
      <c r="I255" s="223"/>
      <c r="J255" s="224">
        <f>ROUND(I255*H255,0)</f>
        <v>0</v>
      </c>
      <c r="K255" s="225"/>
      <c r="L255" s="43"/>
      <c r="M255" s="226" t="s">
        <v>1</v>
      </c>
      <c r="N255" s="227" t="s">
        <v>42</v>
      </c>
      <c r="O255" s="90"/>
      <c r="P255" s="228">
        <f>O255*H255</f>
        <v>0</v>
      </c>
      <c r="Q255" s="228">
        <v>0.095420000000000005</v>
      </c>
      <c r="R255" s="228">
        <f>Q255*H255</f>
        <v>7.6336000000000004</v>
      </c>
      <c r="S255" s="228">
        <v>0</v>
      </c>
      <c r="T255" s="229">
        <f>S255*H255</f>
        <v>0</v>
      </c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R255" s="230" t="s">
        <v>163</v>
      </c>
      <c r="AT255" s="230" t="s">
        <v>159</v>
      </c>
      <c r="AU255" s="230" t="s">
        <v>86</v>
      </c>
      <c r="AY255" s="16" t="s">
        <v>157</v>
      </c>
      <c r="BE255" s="231">
        <f>IF(N255="základní",J255,0)</f>
        <v>0</v>
      </c>
      <c r="BF255" s="231">
        <f>IF(N255="snížená",J255,0)</f>
        <v>0</v>
      </c>
      <c r="BG255" s="231">
        <f>IF(N255="zákl. přenesená",J255,0)</f>
        <v>0</v>
      </c>
      <c r="BH255" s="231">
        <f>IF(N255="sníž. přenesená",J255,0)</f>
        <v>0</v>
      </c>
      <c r="BI255" s="231">
        <f>IF(N255="nulová",J255,0)</f>
        <v>0</v>
      </c>
      <c r="BJ255" s="16" t="s">
        <v>8</v>
      </c>
      <c r="BK255" s="231">
        <f>ROUND(I255*H255,0)</f>
        <v>0</v>
      </c>
      <c r="BL255" s="16" t="s">
        <v>163</v>
      </c>
      <c r="BM255" s="230" t="s">
        <v>1828</v>
      </c>
    </row>
    <row r="256" s="13" customFormat="1">
      <c r="A256" s="13"/>
      <c r="B256" s="232"/>
      <c r="C256" s="233"/>
      <c r="D256" s="234" t="s">
        <v>165</v>
      </c>
      <c r="E256" s="235" t="s">
        <v>1</v>
      </c>
      <c r="F256" s="236" t="s">
        <v>1829</v>
      </c>
      <c r="G256" s="233"/>
      <c r="H256" s="237">
        <v>40</v>
      </c>
      <c r="I256" s="238"/>
      <c r="J256" s="233"/>
      <c r="K256" s="233"/>
      <c r="L256" s="239"/>
      <c r="M256" s="240"/>
      <c r="N256" s="241"/>
      <c r="O256" s="241"/>
      <c r="P256" s="241"/>
      <c r="Q256" s="241"/>
      <c r="R256" s="241"/>
      <c r="S256" s="241"/>
      <c r="T256" s="242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T256" s="243" t="s">
        <v>165</v>
      </c>
      <c r="AU256" s="243" t="s">
        <v>86</v>
      </c>
      <c r="AV256" s="13" t="s">
        <v>86</v>
      </c>
      <c r="AW256" s="13" t="s">
        <v>32</v>
      </c>
      <c r="AX256" s="13" t="s">
        <v>77</v>
      </c>
      <c r="AY256" s="243" t="s">
        <v>157</v>
      </c>
    </row>
    <row r="257" s="13" customFormat="1">
      <c r="A257" s="13"/>
      <c r="B257" s="232"/>
      <c r="C257" s="233"/>
      <c r="D257" s="234" t="s">
        <v>165</v>
      </c>
      <c r="E257" s="235" t="s">
        <v>1</v>
      </c>
      <c r="F257" s="236" t="s">
        <v>1830</v>
      </c>
      <c r="G257" s="233"/>
      <c r="H257" s="237">
        <v>40</v>
      </c>
      <c r="I257" s="238"/>
      <c r="J257" s="233"/>
      <c r="K257" s="233"/>
      <c r="L257" s="239"/>
      <c r="M257" s="240"/>
      <c r="N257" s="241"/>
      <c r="O257" s="241"/>
      <c r="P257" s="241"/>
      <c r="Q257" s="241"/>
      <c r="R257" s="241"/>
      <c r="S257" s="241"/>
      <c r="T257" s="242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T257" s="243" t="s">
        <v>165</v>
      </c>
      <c r="AU257" s="243" t="s">
        <v>86</v>
      </c>
      <c r="AV257" s="13" t="s">
        <v>86</v>
      </c>
      <c r="AW257" s="13" t="s">
        <v>32</v>
      </c>
      <c r="AX257" s="13" t="s">
        <v>77</v>
      </c>
      <c r="AY257" s="243" t="s">
        <v>157</v>
      </c>
    </row>
    <row r="258" s="2" customFormat="1" ht="24.15" customHeight="1">
      <c r="A258" s="37"/>
      <c r="B258" s="38"/>
      <c r="C258" s="254" t="s">
        <v>438</v>
      </c>
      <c r="D258" s="254" t="s">
        <v>229</v>
      </c>
      <c r="E258" s="255" t="s">
        <v>1831</v>
      </c>
      <c r="F258" s="256" t="s">
        <v>1832</v>
      </c>
      <c r="G258" s="257" t="s">
        <v>162</v>
      </c>
      <c r="H258" s="258">
        <v>332.31</v>
      </c>
      <c r="I258" s="259"/>
      <c r="J258" s="260">
        <f>ROUND(I258*H258,0)</f>
        <v>0</v>
      </c>
      <c r="K258" s="261"/>
      <c r="L258" s="262"/>
      <c r="M258" s="263" t="s">
        <v>1</v>
      </c>
      <c r="N258" s="264" t="s">
        <v>42</v>
      </c>
      <c r="O258" s="90"/>
      <c r="P258" s="228">
        <f>O258*H258</f>
        <v>0</v>
      </c>
      <c r="Q258" s="228">
        <v>2.6800000000000002</v>
      </c>
      <c r="R258" s="228">
        <f>Q258*H258</f>
        <v>890.59080000000006</v>
      </c>
      <c r="S258" s="228">
        <v>0</v>
      </c>
      <c r="T258" s="229">
        <f>S258*H258</f>
        <v>0</v>
      </c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R258" s="230" t="s">
        <v>200</v>
      </c>
      <c r="AT258" s="230" t="s">
        <v>229</v>
      </c>
      <c r="AU258" s="230" t="s">
        <v>86</v>
      </c>
      <c r="AY258" s="16" t="s">
        <v>157</v>
      </c>
      <c r="BE258" s="231">
        <f>IF(N258="základní",J258,0)</f>
        <v>0</v>
      </c>
      <c r="BF258" s="231">
        <f>IF(N258="snížená",J258,0)</f>
        <v>0</v>
      </c>
      <c r="BG258" s="231">
        <f>IF(N258="zákl. přenesená",J258,0)</f>
        <v>0</v>
      </c>
      <c r="BH258" s="231">
        <f>IF(N258="sníž. přenesená",J258,0)</f>
        <v>0</v>
      </c>
      <c r="BI258" s="231">
        <f>IF(N258="nulová",J258,0)</f>
        <v>0</v>
      </c>
      <c r="BJ258" s="16" t="s">
        <v>8</v>
      </c>
      <c r="BK258" s="231">
        <f>ROUND(I258*H258,0)</f>
        <v>0</v>
      </c>
      <c r="BL258" s="16" t="s">
        <v>163</v>
      </c>
      <c r="BM258" s="230" t="s">
        <v>1833</v>
      </c>
    </row>
    <row r="259" s="13" customFormat="1">
      <c r="A259" s="13"/>
      <c r="B259" s="232"/>
      <c r="C259" s="233"/>
      <c r="D259" s="234" t="s">
        <v>165</v>
      </c>
      <c r="E259" s="235" t="s">
        <v>1</v>
      </c>
      <c r="F259" s="236" t="s">
        <v>1834</v>
      </c>
      <c r="G259" s="233"/>
      <c r="H259" s="237">
        <v>43.776000000000003</v>
      </c>
      <c r="I259" s="238"/>
      <c r="J259" s="233"/>
      <c r="K259" s="233"/>
      <c r="L259" s="239"/>
      <c r="M259" s="240"/>
      <c r="N259" s="241"/>
      <c r="O259" s="241"/>
      <c r="P259" s="241"/>
      <c r="Q259" s="241"/>
      <c r="R259" s="241"/>
      <c r="S259" s="241"/>
      <c r="T259" s="242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T259" s="243" t="s">
        <v>165</v>
      </c>
      <c r="AU259" s="243" t="s">
        <v>86</v>
      </c>
      <c r="AV259" s="13" t="s">
        <v>86</v>
      </c>
      <c r="AW259" s="13" t="s">
        <v>32</v>
      </c>
      <c r="AX259" s="13" t="s">
        <v>77</v>
      </c>
      <c r="AY259" s="243" t="s">
        <v>157</v>
      </c>
    </row>
    <row r="260" s="13" customFormat="1">
      <c r="A260" s="13"/>
      <c r="B260" s="232"/>
      <c r="C260" s="233"/>
      <c r="D260" s="234" t="s">
        <v>165</v>
      </c>
      <c r="E260" s="235" t="s">
        <v>1</v>
      </c>
      <c r="F260" s="236" t="s">
        <v>1835</v>
      </c>
      <c r="G260" s="233"/>
      <c r="H260" s="237">
        <v>1.8240000000000001</v>
      </c>
      <c r="I260" s="238"/>
      <c r="J260" s="233"/>
      <c r="K260" s="233"/>
      <c r="L260" s="239"/>
      <c r="M260" s="240"/>
      <c r="N260" s="241"/>
      <c r="O260" s="241"/>
      <c r="P260" s="241"/>
      <c r="Q260" s="241"/>
      <c r="R260" s="241"/>
      <c r="S260" s="241"/>
      <c r="T260" s="242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T260" s="243" t="s">
        <v>165</v>
      </c>
      <c r="AU260" s="243" t="s">
        <v>86</v>
      </c>
      <c r="AV260" s="13" t="s">
        <v>86</v>
      </c>
      <c r="AW260" s="13" t="s">
        <v>32</v>
      </c>
      <c r="AX260" s="13" t="s">
        <v>77</v>
      </c>
      <c r="AY260" s="243" t="s">
        <v>157</v>
      </c>
    </row>
    <row r="261" s="13" customFormat="1">
      <c r="A261" s="13"/>
      <c r="B261" s="232"/>
      <c r="C261" s="233"/>
      <c r="D261" s="234" t="s">
        <v>165</v>
      </c>
      <c r="E261" s="235" t="s">
        <v>1</v>
      </c>
      <c r="F261" s="236" t="s">
        <v>1836</v>
      </c>
      <c r="G261" s="233"/>
      <c r="H261" s="237">
        <v>134.75800000000001</v>
      </c>
      <c r="I261" s="238"/>
      <c r="J261" s="233"/>
      <c r="K261" s="233"/>
      <c r="L261" s="239"/>
      <c r="M261" s="240"/>
      <c r="N261" s="241"/>
      <c r="O261" s="241"/>
      <c r="P261" s="241"/>
      <c r="Q261" s="241"/>
      <c r="R261" s="241"/>
      <c r="S261" s="241"/>
      <c r="T261" s="242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T261" s="243" t="s">
        <v>165</v>
      </c>
      <c r="AU261" s="243" t="s">
        <v>86</v>
      </c>
      <c r="AV261" s="13" t="s">
        <v>86</v>
      </c>
      <c r="AW261" s="13" t="s">
        <v>32</v>
      </c>
      <c r="AX261" s="13" t="s">
        <v>77</v>
      </c>
      <c r="AY261" s="243" t="s">
        <v>157</v>
      </c>
    </row>
    <row r="262" s="13" customFormat="1">
      <c r="A262" s="13"/>
      <c r="B262" s="232"/>
      <c r="C262" s="233"/>
      <c r="D262" s="234" t="s">
        <v>165</v>
      </c>
      <c r="E262" s="235" t="s">
        <v>1</v>
      </c>
      <c r="F262" s="236" t="s">
        <v>1837</v>
      </c>
      <c r="G262" s="233"/>
      <c r="H262" s="237">
        <v>13.16</v>
      </c>
      <c r="I262" s="238"/>
      <c r="J262" s="233"/>
      <c r="K262" s="233"/>
      <c r="L262" s="239"/>
      <c r="M262" s="240"/>
      <c r="N262" s="241"/>
      <c r="O262" s="241"/>
      <c r="P262" s="241"/>
      <c r="Q262" s="241"/>
      <c r="R262" s="241"/>
      <c r="S262" s="241"/>
      <c r="T262" s="242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T262" s="243" t="s">
        <v>165</v>
      </c>
      <c r="AU262" s="243" t="s">
        <v>86</v>
      </c>
      <c r="AV262" s="13" t="s">
        <v>86</v>
      </c>
      <c r="AW262" s="13" t="s">
        <v>32</v>
      </c>
      <c r="AX262" s="13" t="s">
        <v>77</v>
      </c>
      <c r="AY262" s="243" t="s">
        <v>157</v>
      </c>
    </row>
    <row r="263" s="13" customFormat="1">
      <c r="A263" s="13"/>
      <c r="B263" s="232"/>
      <c r="C263" s="233"/>
      <c r="D263" s="234" t="s">
        <v>165</v>
      </c>
      <c r="E263" s="235" t="s">
        <v>1</v>
      </c>
      <c r="F263" s="236" t="s">
        <v>1838</v>
      </c>
      <c r="G263" s="233"/>
      <c r="H263" s="237">
        <v>126.444</v>
      </c>
      <c r="I263" s="238"/>
      <c r="J263" s="233"/>
      <c r="K263" s="233"/>
      <c r="L263" s="239"/>
      <c r="M263" s="240"/>
      <c r="N263" s="241"/>
      <c r="O263" s="241"/>
      <c r="P263" s="241"/>
      <c r="Q263" s="241"/>
      <c r="R263" s="241"/>
      <c r="S263" s="241"/>
      <c r="T263" s="242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T263" s="243" t="s">
        <v>165</v>
      </c>
      <c r="AU263" s="243" t="s">
        <v>86</v>
      </c>
      <c r="AV263" s="13" t="s">
        <v>86</v>
      </c>
      <c r="AW263" s="13" t="s">
        <v>32</v>
      </c>
      <c r="AX263" s="13" t="s">
        <v>77</v>
      </c>
      <c r="AY263" s="243" t="s">
        <v>157</v>
      </c>
    </row>
    <row r="264" s="13" customFormat="1">
      <c r="A264" s="13"/>
      <c r="B264" s="232"/>
      <c r="C264" s="233"/>
      <c r="D264" s="234" t="s">
        <v>165</v>
      </c>
      <c r="E264" s="235" t="s">
        <v>1</v>
      </c>
      <c r="F264" s="236" t="s">
        <v>1839</v>
      </c>
      <c r="G264" s="233"/>
      <c r="H264" s="237">
        <v>12.348000000000001</v>
      </c>
      <c r="I264" s="238"/>
      <c r="J264" s="233"/>
      <c r="K264" s="233"/>
      <c r="L264" s="239"/>
      <c r="M264" s="240"/>
      <c r="N264" s="241"/>
      <c r="O264" s="241"/>
      <c r="P264" s="241"/>
      <c r="Q264" s="241"/>
      <c r="R264" s="241"/>
      <c r="S264" s="241"/>
      <c r="T264" s="242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T264" s="243" t="s">
        <v>165</v>
      </c>
      <c r="AU264" s="243" t="s">
        <v>86</v>
      </c>
      <c r="AV264" s="13" t="s">
        <v>86</v>
      </c>
      <c r="AW264" s="13" t="s">
        <v>32</v>
      </c>
      <c r="AX264" s="13" t="s">
        <v>77</v>
      </c>
      <c r="AY264" s="243" t="s">
        <v>157</v>
      </c>
    </row>
    <row r="265" s="2" customFormat="1" ht="16.5" customHeight="1">
      <c r="A265" s="37"/>
      <c r="B265" s="38"/>
      <c r="C265" s="218" t="s">
        <v>443</v>
      </c>
      <c r="D265" s="218" t="s">
        <v>159</v>
      </c>
      <c r="E265" s="219" t="s">
        <v>1840</v>
      </c>
      <c r="F265" s="220" t="s">
        <v>1841</v>
      </c>
      <c r="G265" s="221" t="s">
        <v>162</v>
      </c>
      <c r="H265" s="222">
        <v>3.1259999999999999</v>
      </c>
      <c r="I265" s="223"/>
      <c r="J265" s="224">
        <f>ROUND(I265*H265,0)</f>
        <v>0</v>
      </c>
      <c r="K265" s="225"/>
      <c r="L265" s="43"/>
      <c r="M265" s="226" t="s">
        <v>1</v>
      </c>
      <c r="N265" s="227" t="s">
        <v>42</v>
      </c>
      <c r="O265" s="90"/>
      <c r="P265" s="228">
        <f>O265*H265</f>
        <v>0</v>
      </c>
      <c r="Q265" s="228">
        <v>2.5019800000000001</v>
      </c>
      <c r="R265" s="228">
        <f>Q265*H265</f>
        <v>7.8211894800000001</v>
      </c>
      <c r="S265" s="228">
        <v>0</v>
      </c>
      <c r="T265" s="229">
        <f>S265*H265</f>
        <v>0</v>
      </c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R265" s="230" t="s">
        <v>163</v>
      </c>
      <c r="AT265" s="230" t="s">
        <v>159</v>
      </c>
      <c r="AU265" s="230" t="s">
        <v>86</v>
      </c>
      <c r="AY265" s="16" t="s">
        <v>157</v>
      </c>
      <c r="BE265" s="231">
        <f>IF(N265="základní",J265,0)</f>
        <v>0</v>
      </c>
      <c r="BF265" s="231">
        <f>IF(N265="snížená",J265,0)</f>
        <v>0</v>
      </c>
      <c r="BG265" s="231">
        <f>IF(N265="zákl. přenesená",J265,0)</f>
        <v>0</v>
      </c>
      <c r="BH265" s="231">
        <f>IF(N265="sníž. přenesená",J265,0)</f>
        <v>0</v>
      </c>
      <c r="BI265" s="231">
        <f>IF(N265="nulová",J265,0)</f>
        <v>0</v>
      </c>
      <c r="BJ265" s="16" t="s">
        <v>8</v>
      </c>
      <c r="BK265" s="231">
        <f>ROUND(I265*H265,0)</f>
        <v>0</v>
      </c>
      <c r="BL265" s="16" t="s">
        <v>163</v>
      </c>
      <c r="BM265" s="230" t="s">
        <v>1842</v>
      </c>
    </row>
    <row r="266" s="13" customFormat="1">
      <c r="A266" s="13"/>
      <c r="B266" s="232"/>
      <c r="C266" s="233"/>
      <c r="D266" s="234" t="s">
        <v>165</v>
      </c>
      <c r="E266" s="235" t="s">
        <v>1</v>
      </c>
      <c r="F266" s="236" t="s">
        <v>1843</v>
      </c>
      <c r="G266" s="233"/>
      <c r="H266" s="237">
        <v>0.82799999999999996</v>
      </c>
      <c r="I266" s="238"/>
      <c r="J266" s="233"/>
      <c r="K266" s="233"/>
      <c r="L266" s="239"/>
      <c r="M266" s="240"/>
      <c r="N266" s="241"/>
      <c r="O266" s="241"/>
      <c r="P266" s="241"/>
      <c r="Q266" s="241"/>
      <c r="R266" s="241"/>
      <c r="S266" s="241"/>
      <c r="T266" s="242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T266" s="243" t="s">
        <v>165</v>
      </c>
      <c r="AU266" s="243" t="s">
        <v>86</v>
      </c>
      <c r="AV266" s="13" t="s">
        <v>86</v>
      </c>
      <c r="AW266" s="13" t="s">
        <v>32</v>
      </c>
      <c r="AX266" s="13" t="s">
        <v>77</v>
      </c>
      <c r="AY266" s="243" t="s">
        <v>157</v>
      </c>
    </row>
    <row r="267" s="13" customFormat="1">
      <c r="A267" s="13"/>
      <c r="B267" s="232"/>
      <c r="C267" s="233"/>
      <c r="D267" s="234" t="s">
        <v>165</v>
      </c>
      <c r="E267" s="235" t="s">
        <v>1</v>
      </c>
      <c r="F267" s="236" t="s">
        <v>1844</v>
      </c>
      <c r="G267" s="233"/>
      <c r="H267" s="237">
        <v>1.7629999999999999</v>
      </c>
      <c r="I267" s="238"/>
      <c r="J267" s="233"/>
      <c r="K267" s="233"/>
      <c r="L267" s="239"/>
      <c r="M267" s="240"/>
      <c r="N267" s="241"/>
      <c r="O267" s="241"/>
      <c r="P267" s="241"/>
      <c r="Q267" s="241"/>
      <c r="R267" s="241"/>
      <c r="S267" s="241"/>
      <c r="T267" s="242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T267" s="243" t="s">
        <v>165</v>
      </c>
      <c r="AU267" s="243" t="s">
        <v>86</v>
      </c>
      <c r="AV267" s="13" t="s">
        <v>86</v>
      </c>
      <c r="AW267" s="13" t="s">
        <v>32</v>
      </c>
      <c r="AX267" s="13" t="s">
        <v>77</v>
      </c>
      <c r="AY267" s="243" t="s">
        <v>157</v>
      </c>
    </row>
    <row r="268" s="13" customFormat="1">
      <c r="A268" s="13"/>
      <c r="B268" s="232"/>
      <c r="C268" s="233"/>
      <c r="D268" s="234" t="s">
        <v>165</v>
      </c>
      <c r="E268" s="235" t="s">
        <v>1</v>
      </c>
      <c r="F268" s="236" t="s">
        <v>1845</v>
      </c>
      <c r="G268" s="233"/>
      <c r="H268" s="237">
        <v>0.53500000000000003</v>
      </c>
      <c r="I268" s="238"/>
      <c r="J268" s="233"/>
      <c r="K268" s="233"/>
      <c r="L268" s="239"/>
      <c r="M268" s="240"/>
      <c r="N268" s="241"/>
      <c r="O268" s="241"/>
      <c r="P268" s="241"/>
      <c r="Q268" s="241"/>
      <c r="R268" s="241"/>
      <c r="S268" s="241"/>
      <c r="T268" s="242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T268" s="243" t="s">
        <v>165</v>
      </c>
      <c r="AU268" s="243" t="s">
        <v>86</v>
      </c>
      <c r="AV268" s="13" t="s">
        <v>86</v>
      </c>
      <c r="AW268" s="13" t="s">
        <v>32</v>
      </c>
      <c r="AX268" s="13" t="s">
        <v>77</v>
      </c>
      <c r="AY268" s="243" t="s">
        <v>157</v>
      </c>
    </row>
    <row r="269" s="2" customFormat="1" ht="16.5" customHeight="1">
      <c r="A269" s="37"/>
      <c r="B269" s="38"/>
      <c r="C269" s="218" t="s">
        <v>447</v>
      </c>
      <c r="D269" s="218" t="s">
        <v>159</v>
      </c>
      <c r="E269" s="219" t="s">
        <v>1846</v>
      </c>
      <c r="F269" s="220" t="s">
        <v>1847</v>
      </c>
      <c r="G269" s="221" t="s">
        <v>209</v>
      </c>
      <c r="H269" s="222">
        <v>15.631</v>
      </c>
      <c r="I269" s="223"/>
      <c r="J269" s="224">
        <f>ROUND(I269*H269,0)</f>
        <v>0</v>
      </c>
      <c r="K269" s="225"/>
      <c r="L269" s="43"/>
      <c r="M269" s="226" t="s">
        <v>1</v>
      </c>
      <c r="N269" s="227" t="s">
        <v>42</v>
      </c>
      <c r="O269" s="90"/>
      <c r="P269" s="228">
        <f>O269*H269</f>
        <v>0</v>
      </c>
      <c r="Q269" s="228">
        <v>0.011169999999999999</v>
      </c>
      <c r="R269" s="228">
        <f>Q269*H269</f>
        <v>0.17459827</v>
      </c>
      <c r="S269" s="228">
        <v>0</v>
      </c>
      <c r="T269" s="229">
        <f>S269*H269</f>
        <v>0</v>
      </c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R269" s="230" t="s">
        <v>163</v>
      </c>
      <c r="AT269" s="230" t="s">
        <v>159</v>
      </c>
      <c r="AU269" s="230" t="s">
        <v>86</v>
      </c>
      <c r="AY269" s="16" t="s">
        <v>157</v>
      </c>
      <c r="BE269" s="231">
        <f>IF(N269="základní",J269,0)</f>
        <v>0</v>
      </c>
      <c r="BF269" s="231">
        <f>IF(N269="snížená",J269,0)</f>
        <v>0</v>
      </c>
      <c r="BG269" s="231">
        <f>IF(N269="zákl. přenesená",J269,0)</f>
        <v>0</v>
      </c>
      <c r="BH269" s="231">
        <f>IF(N269="sníž. přenesená",J269,0)</f>
        <v>0</v>
      </c>
      <c r="BI269" s="231">
        <f>IF(N269="nulová",J269,0)</f>
        <v>0</v>
      </c>
      <c r="BJ269" s="16" t="s">
        <v>8</v>
      </c>
      <c r="BK269" s="231">
        <f>ROUND(I269*H269,0)</f>
        <v>0</v>
      </c>
      <c r="BL269" s="16" t="s">
        <v>163</v>
      </c>
      <c r="BM269" s="230" t="s">
        <v>1848</v>
      </c>
    </row>
    <row r="270" s="13" customFormat="1">
      <c r="A270" s="13"/>
      <c r="B270" s="232"/>
      <c r="C270" s="233"/>
      <c r="D270" s="234" t="s">
        <v>165</v>
      </c>
      <c r="E270" s="235" t="s">
        <v>1</v>
      </c>
      <c r="F270" s="236" t="s">
        <v>1849</v>
      </c>
      <c r="G270" s="233"/>
      <c r="H270" s="237">
        <v>4.1399999999999997</v>
      </c>
      <c r="I270" s="238"/>
      <c r="J270" s="233"/>
      <c r="K270" s="233"/>
      <c r="L270" s="239"/>
      <c r="M270" s="240"/>
      <c r="N270" s="241"/>
      <c r="O270" s="241"/>
      <c r="P270" s="241"/>
      <c r="Q270" s="241"/>
      <c r="R270" s="241"/>
      <c r="S270" s="241"/>
      <c r="T270" s="242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T270" s="243" t="s">
        <v>165</v>
      </c>
      <c r="AU270" s="243" t="s">
        <v>86</v>
      </c>
      <c r="AV270" s="13" t="s">
        <v>86</v>
      </c>
      <c r="AW270" s="13" t="s">
        <v>32</v>
      </c>
      <c r="AX270" s="13" t="s">
        <v>77</v>
      </c>
      <c r="AY270" s="243" t="s">
        <v>157</v>
      </c>
    </row>
    <row r="271" s="13" customFormat="1">
      <c r="A271" s="13"/>
      <c r="B271" s="232"/>
      <c r="C271" s="233"/>
      <c r="D271" s="234" t="s">
        <v>165</v>
      </c>
      <c r="E271" s="235" t="s">
        <v>1</v>
      </c>
      <c r="F271" s="236" t="s">
        <v>1850</v>
      </c>
      <c r="G271" s="233"/>
      <c r="H271" s="237">
        <v>8.8160000000000007</v>
      </c>
      <c r="I271" s="238"/>
      <c r="J271" s="233"/>
      <c r="K271" s="233"/>
      <c r="L271" s="239"/>
      <c r="M271" s="240"/>
      <c r="N271" s="241"/>
      <c r="O271" s="241"/>
      <c r="P271" s="241"/>
      <c r="Q271" s="241"/>
      <c r="R271" s="241"/>
      <c r="S271" s="241"/>
      <c r="T271" s="242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T271" s="243" t="s">
        <v>165</v>
      </c>
      <c r="AU271" s="243" t="s">
        <v>86</v>
      </c>
      <c r="AV271" s="13" t="s">
        <v>86</v>
      </c>
      <c r="AW271" s="13" t="s">
        <v>32</v>
      </c>
      <c r="AX271" s="13" t="s">
        <v>77</v>
      </c>
      <c r="AY271" s="243" t="s">
        <v>157</v>
      </c>
    </row>
    <row r="272" s="13" customFormat="1">
      <c r="A272" s="13"/>
      <c r="B272" s="232"/>
      <c r="C272" s="233"/>
      <c r="D272" s="234" t="s">
        <v>165</v>
      </c>
      <c r="E272" s="235" t="s">
        <v>1</v>
      </c>
      <c r="F272" s="236" t="s">
        <v>1851</v>
      </c>
      <c r="G272" s="233"/>
      <c r="H272" s="237">
        <v>2.6749999999999998</v>
      </c>
      <c r="I272" s="238"/>
      <c r="J272" s="233"/>
      <c r="K272" s="233"/>
      <c r="L272" s="239"/>
      <c r="M272" s="240"/>
      <c r="N272" s="241"/>
      <c r="O272" s="241"/>
      <c r="P272" s="241"/>
      <c r="Q272" s="241"/>
      <c r="R272" s="241"/>
      <c r="S272" s="241"/>
      <c r="T272" s="242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T272" s="243" t="s">
        <v>165</v>
      </c>
      <c r="AU272" s="243" t="s">
        <v>86</v>
      </c>
      <c r="AV272" s="13" t="s">
        <v>86</v>
      </c>
      <c r="AW272" s="13" t="s">
        <v>32</v>
      </c>
      <c r="AX272" s="13" t="s">
        <v>77</v>
      </c>
      <c r="AY272" s="243" t="s">
        <v>157</v>
      </c>
    </row>
    <row r="273" s="2" customFormat="1" ht="16.5" customHeight="1">
      <c r="A273" s="37"/>
      <c r="B273" s="38"/>
      <c r="C273" s="218" t="s">
        <v>453</v>
      </c>
      <c r="D273" s="218" t="s">
        <v>159</v>
      </c>
      <c r="E273" s="219" t="s">
        <v>1852</v>
      </c>
      <c r="F273" s="220" t="s">
        <v>1853</v>
      </c>
      <c r="G273" s="221" t="s">
        <v>209</v>
      </c>
      <c r="H273" s="222">
        <v>15.631</v>
      </c>
      <c r="I273" s="223"/>
      <c r="J273" s="224">
        <f>ROUND(I273*H273,0)</f>
        <v>0</v>
      </c>
      <c r="K273" s="225"/>
      <c r="L273" s="43"/>
      <c r="M273" s="226" t="s">
        <v>1</v>
      </c>
      <c r="N273" s="227" t="s">
        <v>42</v>
      </c>
      <c r="O273" s="90"/>
      <c r="P273" s="228">
        <f>O273*H273</f>
        <v>0</v>
      </c>
      <c r="Q273" s="228">
        <v>0</v>
      </c>
      <c r="R273" s="228">
        <f>Q273*H273</f>
        <v>0</v>
      </c>
      <c r="S273" s="228">
        <v>0</v>
      </c>
      <c r="T273" s="229">
        <f>S273*H273</f>
        <v>0</v>
      </c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R273" s="230" t="s">
        <v>163</v>
      </c>
      <c r="AT273" s="230" t="s">
        <v>159</v>
      </c>
      <c r="AU273" s="230" t="s">
        <v>86</v>
      </c>
      <c r="AY273" s="16" t="s">
        <v>157</v>
      </c>
      <c r="BE273" s="231">
        <f>IF(N273="základní",J273,0)</f>
        <v>0</v>
      </c>
      <c r="BF273" s="231">
        <f>IF(N273="snížená",J273,0)</f>
        <v>0</v>
      </c>
      <c r="BG273" s="231">
        <f>IF(N273="zákl. přenesená",J273,0)</f>
        <v>0</v>
      </c>
      <c r="BH273" s="231">
        <f>IF(N273="sníž. přenesená",J273,0)</f>
        <v>0</v>
      </c>
      <c r="BI273" s="231">
        <f>IF(N273="nulová",J273,0)</f>
        <v>0</v>
      </c>
      <c r="BJ273" s="16" t="s">
        <v>8</v>
      </c>
      <c r="BK273" s="231">
        <f>ROUND(I273*H273,0)</f>
        <v>0</v>
      </c>
      <c r="BL273" s="16" t="s">
        <v>163</v>
      </c>
      <c r="BM273" s="230" t="s">
        <v>1854</v>
      </c>
    </row>
    <row r="274" s="2" customFormat="1" ht="24.15" customHeight="1">
      <c r="A274" s="37"/>
      <c r="B274" s="38"/>
      <c r="C274" s="218" t="s">
        <v>458</v>
      </c>
      <c r="D274" s="218" t="s">
        <v>159</v>
      </c>
      <c r="E274" s="219" t="s">
        <v>1855</v>
      </c>
      <c r="F274" s="220" t="s">
        <v>1856</v>
      </c>
      <c r="G274" s="221" t="s">
        <v>193</v>
      </c>
      <c r="H274" s="222">
        <v>0.28100000000000003</v>
      </c>
      <c r="I274" s="223"/>
      <c r="J274" s="224">
        <f>ROUND(I274*H274,0)</f>
        <v>0</v>
      </c>
      <c r="K274" s="225"/>
      <c r="L274" s="43"/>
      <c r="M274" s="226" t="s">
        <v>1</v>
      </c>
      <c r="N274" s="227" t="s">
        <v>42</v>
      </c>
      <c r="O274" s="90"/>
      <c r="P274" s="228">
        <f>O274*H274</f>
        <v>0</v>
      </c>
      <c r="Q274" s="228">
        <v>1.05291</v>
      </c>
      <c r="R274" s="228">
        <f>Q274*H274</f>
        <v>0.29586771000000001</v>
      </c>
      <c r="S274" s="228">
        <v>0</v>
      </c>
      <c r="T274" s="229">
        <f>S274*H274</f>
        <v>0</v>
      </c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R274" s="230" t="s">
        <v>163</v>
      </c>
      <c r="AT274" s="230" t="s">
        <v>159</v>
      </c>
      <c r="AU274" s="230" t="s">
        <v>86</v>
      </c>
      <c r="AY274" s="16" t="s">
        <v>157</v>
      </c>
      <c r="BE274" s="231">
        <f>IF(N274="základní",J274,0)</f>
        <v>0</v>
      </c>
      <c r="BF274" s="231">
        <f>IF(N274="snížená",J274,0)</f>
        <v>0</v>
      </c>
      <c r="BG274" s="231">
        <f>IF(N274="zákl. přenesená",J274,0)</f>
        <v>0</v>
      </c>
      <c r="BH274" s="231">
        <f>IF(N274="sníž. přenesená",J274,0)</f>
        <v>0</v>
      </c>
      <c r="BI274" s="231">
        <f>IF(N274="nulová",J274,0)</f>
        <v>0</v>
      </c>
      <c r="BJ274" s="16" t="s">
        <v>8</v>
      </c>
      <c r="BK274" s="231">
        <f>ROUND(I274*H274,0)</f>
        <v>0</v>
      </c>
      <c r="BL274" s="16" t="s">
        <v>163</v>
      </c>
      <c r="BM274" s="230" t="s">
        <v>1857</v>
      </c>
    </row>
    <row r="275" s="13" customFormat="1">
      <c r="A275" s="13"/>
      <c r="B275" s="232"/>
      <c r="C275" s="233"/>
      <c r="D275" s="234" t="s">
        <v>165</v>
      </c>
      <c r="E275" s="235" t="s">
        <v>1</v>
      </c>
      <c r="F275" s="236" t="s">
        <v>1858</v>
      </c>
      <c r="G275" s="233"/>
      <c r="H275" s="237">
        <v>0.28100000000000003</v>
      </c>
      <c r="I275" s="238"/>
      <c r="J275" s="233"/>
      <c r="K275" s="233"/>
      <c r="L275" s="239"/>
      <c r="M275" s="240"/>
      <c r="N275" s="241"/>
      <c r="O275" s="241"/>
      <c r="P275" s="241"/>
      <c r="Q275" s="241"/>
      <c r="R275" s="241"/>
      <c r="S275" s="241"/>
      <c r="T275" s="242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T275" s="243" t="s">
        <v>165</v>
      </c>
      <c r="AU275" s="243" t="s">
        <v>86</v>
      </c>
      <c r="AV275" s="13" t="s">
        <v>86</v>
      </c>
      <c r="AW275" s="13" t="s">
        <v>32</v>
      </c>
      <c r="AX275" s="13" t="s">
        <v>77</v>
      </c>
      <c r="AY275" s="243" t="s">
        <v>157</v>
      </c>
    </row>
    <row r="276" s="2" customFormat="1" ht="33" customHeight="1">
      <c r="A276" s="37"/>
      <c r="B276" s="38"/>
      <c r="C276" s="218" t="s">
        <v>464</v>
      </c>
      <c r="D276" s="218" t="s">
        <v>159</v>
      </c>
      <c r="E276" s="219" t="s">
        <v>1859</v>
      </c>
      <c r="F276" s="220" t="s">
        <v>1860</v>
      </c>
      <c r="G276" s="221" t="s">
        <v>209</v>
      </c>
      <c r="H276" s="222">
        <v>6719.2399999999998</v>
      </c>
      <c r="I276" s="223"/>
      <c r="J276" s="224">
        <f>ROUND(I276*H276,0)</f>
        <v>0</v>
      </c>
      <c r="K276" s="225"/>
      <c r="L276" s="43"/>
      <c r="M276" s="226" t="s">
        <v>1</v>
      </c>
      <c r="N276" s="227" t="s">
        <v>42</v>
      </c>
      <c r="O276" s="90"/>
      <c r="P276" s="228">
        <f>O276*H276</f>
        <v>0</v>
      </c>
      <c r="Q276" s="228">
        <v>0</v>
      </c>
      <c r="R276" s="228">
        <f>Q276*H276</f>
        <v>0</v>
      </c>
      <c r="S276" s="228">
        <v>0</v>
      </c>
      <c r="T276" s="229">
        <f>S276*H276</f>
        <v>0</v>
      </c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R276" s="230" t="s">
        <v>163</v>
      </c>
      <c r="AT276" s="230" t="s">
        <v>159</v>
      </c>
      <c r="AU276" s="230" t="s">
        <v>86</v>
      </c>
      <c r="AY276" s="16" t="s">
        <v>157</v>
      </c>
      <c r="BE276" s="231">
        <f>IF(N276="základní",J276,0)</f>
        <v>0</v>
      </c>
      <c r="BF276" s="231">
        <f>IF(N276="snížená",J276,0)</f>
        <v>0</v>
      </c>
      <c r="BG276" s="231">
        <f>IF(N276="zákl. přenesená",J276,0)</f>
        <v>0</v>
      </c>
      <c r="BH276" s="231">
        <f>IF(N276="sníž. přenesená",J276,0)</f>
        <v>0</v>
      </c>
      <c r="BI276" s="231">
        <f>IF(N276="nulová",J276,0)</f>
        <v>0</v>
      </c>
      <c r="BJ276" s="16" t="s">
        <v>8</v>
      </c>
      <c r="BK276" s="231">
        <f>ROUND(I276*H276,0)</f>
        <v>0</v>
      </c>
      <c r="BL276" s="16" t="s">
        <v>163</v>
      </c>
      <c r="BM276" s="230" t="s">
        <v>1861</v>
      </c>
    </row>
    <row r="277" s="13" customFormat="1">
      <c r="A277" s="13"/>
      <c r="B277" s="232"/>
      <c r="C277" s="233"/>
      <c r="D277" s="234" t="s">
        <v>165</v>
      </c>
      <c r="E277" s="235" t="s">
        <v>1</v>
      </c>
      <c r="F277" s="236" t="s">
        <v>1862</v>
      </c>
      <c r="G277" s="233"/>
      <c r="H277" s="237">
        <v>6719.2399999999998</v>
      </c>
      <c r="I277" s="238"/>
      <c r="J277" s="233"/>
      <c r="K277" s="233"/>
      <c r="L277" s="239"/>
      <c r="M277" s="240"/>
      <c r="N277" s="241"/>
      <c r="O277" s="241"/>
      <c r="P277" s="241"/>
      <c r="Q277" s="241"/>
      <c r="R277" s="241"/>
      <c r="S277" s="241"/>
      <c r="T277" s="242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T277" s="243" t="s">
        <v>165</v>
      </c>
      <c r="AU277" s="243" t="s">
        <v>86</v>
      </c>
      <c r="AV277" s="13" t="s">
        <v>86</v>
      </c>
      <c r="AW277" s="13" t="s">
        <v>32</v>
      </c>
      <c r="AX277" s="13" t="s">
        <v>77</v>
      </c>
      <c r="AY277" s="243" t="s">
        <v>157</v>
      </c>
    </row>
    <row r="278" s="2" customFormat="1" ht="24.15" customHeight="1">
      <c r="A278" s="37"/>
      <c r="B278" s="38"/>
      <c r="C278" s="254" t="s">
        <v>468</v>
      </c>
      <c r="D278" s="254" t="s">
        <v>229</v>
      </c>
      <c r="E278" s="255" t="s">
        <v>1863</v>
      </c>
      <c r="F278" s="256" t="s">
        <v>1864</v>
      </c>
      <c r="G278" s="257" t="s">
        <v>209</v>
      </c>
      <c r="H278" s="258">
        <v>8063.0879999999997</v>
      </c>
      <c r="I278" s="259"/>
      <c r="J278" s="260">
        <f>ROUND(I278*H278,0)</f>
        <v>0</v>
      </c>
      <c r="K278" s="261"/>
      <c r="L278" s="262"/>
      <c r="M278" s="263" t="s">
        <v>1</v>
      </c>
      <c r="N278" s="264" t="s">
        <v>42</v>
      </c>
      <c r="O278" s="90"/>
      <c r="P278" s="228">
        <f>O278*H278</f>
        <v>0</v>
      </c>
      <c r="Q278" s="228">
        <v>0.0141</v>
      </c>
      <c r="R278" s="228">
        <f>Q278*H278</f>
        <v>113.68954079999999</v>
      </c>
      <c r="S278" s="228">
        <v>0</v>
      </c>
      <c r="T278" s="229">
        <f>S278*H278</f>
        <v>0</v>
      </c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R278" s="230" t="s">
        <v>200</v>
      </c>
      <c r="AT278" s="230" t="s">
        <v>229</v>
      </c>
      <c r="AU278" s="230" t="s">
        <v>86</v>
      </c>
      <c r="AY278" s="16" t="s">
        <v>157</v>
      </c>
      <c r="BE278" s="231">
        <f>IF(N278="základní",J278,0)</f>
        <v>0</v>
      </c>
      <c r="BF278" s="231">
        <f>IF(N278="snížená",J278,0)</f>
        <v>0</v>
      </c>
      <c r="BG278" s="231">
        <f>IF(N278="zákl. přenesená",J278,0)</f>
        <v>0</v>
      </c>
      <c r="BH278" s="231">
        <f>IF(N278="sníž. přenesená",J278,0)</f>
        <v>0</v>
      </c>
      <c r="BI278" s="231">
        <f>IF(N278="nulová",J278,0)</f>
        <v>0</v>
      </c>
      <c r="BJ278" s="16" t="s">
        <v>8</v>
      </c>
      <c r="BK278" s="231">
        <f>ROUND(I278*H278,0)</f>
        <v>0</v>
      </c>
      <c r="BL278" s="16" t="s">
        <v>163</v>
      </c>
      <c r="BM278" s="230" t="s">
        <v>1865</v>
      </c>
    </row>
    <row r="279" s="13" customFormat="1">
      <c r="A279" s="13"/>
      <c r="B279" s="232"/>
      <c r="C279" s="233"/>
      <c r="D279" s="234" t="s">
        <v>165</v>
      </c>
      <c r="E279" s="235" t="s">
        <v>1</v>
      </c>
      <c r="F279" s="236" t="s">
        <v>1866</v>
      </c>
      <c r="G279" s="233"/>
      <c r="H279" s="237">
        <v>6719.2399999999998</v>
      </c>
      <c r="I279" s="238"/>
      <c r="J279" s="233"/>
      <c r="K279" s="233"/>
      <c r="L279" s="239"/>
      <c r="M279" s="240"/>
      <c r="N279" s="241"/>
      <c r="O279" s="241"/>
      <c r="P279" s="241"/>
      <c r="Q279" s="241"/>
      <c r="R279" s="241"/>
      <c r="S279" s="241"/>
      <c r="T279" s="242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T279" s="243" t="s">
        <v>165</v>
      </c>
      <c r="AU279" s="243" t="s">
        <v>86</v>
      </c>
      <c r="AV279" s="13" t="s">
        <v>86</v>
      </c>
      <c r="AW279" s="13" t="s">
        <v>32</v>
      </c>
      <c r="AX279" s="13" t="s">
        <v>77</v>
      </c>
      <c r="AY279" s="243" t="s">
        <v>157</v>
      </c>
    </row>
    <row r="280" s="13" customFormat="1">
      <c r="A280" s="13"/>
      <c r="B280" s="232"/>
      <c r="C280" s="233"/>
      <c r="D280" s="234" t="s">
        <v>165</v>
      </c>
      <c r="E280" s="233"/>
      <c r="F280" s="236" t="s">
        <v>1867</v>
      </c>
      <c r="G280" s="233"/>
      <c r="H280" s="237">
        <v>8063.0879999999997</v>
      </c>
      <c r="I280" s="238"/>
      <c r="J280" s="233"/>
      <c r="K280" s="233"/>
      <c r="L280" s="239"/>
      <c r="M280" s="240"/>
      <c r="N280" s="241"/>
      <c r="O280" s="241"/>
      <c r="P280" s="241"/>
      <c r="Q280" s="241"/>
      <c r="R280" s="241"/>
      <c r="S280" s="241"/>
      <c r="T280" s="242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T280" s="243" t="s">
        <v>165</v>
      </c>
      <c r="AU280" s="243" t="s">
        <v>86</v>
      </c>
      <c r="AV280" s="13" t="s">
        <v>86</v>
      </c>
      <c r="AW280" s="13" t="s">
        <v>4</v>
      </c>
      <c r="AX280" s="13" t="s">
        <v>8</v>
      </c>
      <c r="AY280" s="243" t="s">
        <v>157</v>
      </c>
    </row>
    <row r="281" s="2" customFormat="1" ht="33" customHeight="1">
      <c r="A281" s="37"/>
      <c r="B281" s="38"/>
      <c r="C281" s="218" t="s">
        <v>472</v>
      </c>
      <c r="D281" s="218" t="s">
        <v>159</v>
      </c>
      <c r="E281" s="219" t="s">
        <v>424</v>
      </c>
      <c r="F281" s="220" t="s">
        <v>425</v>
      </c>
      <c r="G281" s="221" t="s">
        <v>162</v>
      </c>
      <c r="H281" s="222">
        <v>5702.3999999999996</v>
      </c>
      <c r="I281" s="223"/>
      <c r="J281" s="224">
        <f>ROUND(I281*H281,0)</f>
        <v>0</v>
      </c>
      <c r="K281" s="225"/>
      <c r="L281" s="43"/>
      <c r="M281" s="226" t="s">
        <v>1</v>
      </c>
      <c r="N281" s="227" t="s">
        <v>42</v>
      </c>
      <c r="O281" s="90"/>
      <c r="P281" s="228">
        <f>O281*H281</f>
        <v>0</v>
      </c>
      <c r="Q281" s="228">
        <v>0</v>
      </c>
      <c r="R281" s="228">
        <f>Q281*H281</f>
        <v>0</v>
      </c>
      <c r="S281" s="228">
        <v>0</v>
      </c>
      <c r="T281" s="229">
        <f>S281*H281</f>
        <v>0</v>
      </c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R281" s="230" t="s">
        <v>163</v>
      </c>
      <c r="AT281" s="230" t="s">
        <v>159</v>
      </c>
      <c r="AU281" s="230" t="s">
        <v>86</v>
      </c>
      <c r="AY281" s="16" t="s">
        <v>157</v>
      </c>
      <c r="BE281" s="231">
        <f>IF(N281="základní",J281,0)</f>
        <v>0</v>
      </c>
      <c r="BF281" s="231">
        <f>IF(N281="snížená",J281,0)</f>
        <v>0</v>
      </c>
      <c r="BG281" s="231">
        <f>IF(N281="zákl. přenesená",J281,0)</f>
        <v>0</v>
      </c>
      <c r="BH281" s="231">
        <f>IF(N281="sníž. přenesená",J281,0)</f>
        <v>0</v>
      </c>
      <c r="BI281" s="231">
        <f>IF(N281="nulová",J281,0)</f>
        <v>0</v>
      </c>
      <c r="BJ281" s="16" t="s">
        <v>8</v>
      </c>
      <c r="BK281" s="231">
        <f>ROUND(I281*H281,0)</f>
        <v>0</v>
      </c>
      <c r="BL281" s="16" t="s">
        <v>163</v>
      </c>
      <c r="BM281" s="230" t="s">
        <v>1868</v>
      </c>
    </row>
    <row r="282" s="13" customFormat="1">
      <c r="A282" s="13"/>
      <c r="B282" s="232"/>
      <c r="C282" s="233"/>
      <c r="D282" s="234" t="s">
        <v>165</v>
      </c>
      <c r="E282" s="235" t="s">
        <v>1</v>
      </c>
      <c r="F282" s="236" t="s">
        <v>1869</v>
      </c>
      <c r="G282" s="233"/>
      <c r="H282" s="237">
        <v>5702.3999999999996</v>
      </c>
      <c r="I282" s="238"/>
      <c r="J282" s="233"/>
      <c r="K282" s="233"/>
      <c r="L282" s="239"/>
      <c r="M282" s="240"/>
      <c r="N282" s="241"/>
      <c r="O282" s="241"/>
      <c r="P282" s="241"/>
      <c r="Q282" s="241"/>
      <c r="R282" s="241"/>
      <c r="S282" s="241"/>
      <c r="T282" s="242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T282" s="243" t="s">
        <v>165</v>
      </c>
      <c r="AU282" s="243" t="s">
        <v>86</v>
      </c>
      <c r="AV282" s="13" t="s">
        <v>86</v>
      </c>
      <c r="AW282" s="13" t="s">
        <v>32</v>
      </c>
      <c r="AX282" s="13" t="s">
        <v>77</v>
      </c>
      <c r="AY282" s="243" t="s">
        <v>157</v>
      </c>
    </row>
    <row r="283" s="12" customFormat="1" ht="22.8" customHeight="1">
      <c r="A283" s="12"/>
      <c r="B283" s="202"/>
      <c r="C283" s="203"/>
      <c r="D283" s="204" t="s">
        <v>76</v>
      </c>
      <c r="E283" s="216" t="s">
        <v>185</v>
      </c>
      <c r="F283" s="216" t="s">
        <v>432</v>
      </c>
      <c r="G283" s="203"/>
      <c r="H283" s="203"/>
      <c r="I283" s="206"/>
      <c r="J283" s="217">
        <f>BK283</f>
        <v>0</v>
      </c>
      <c r="K283" s="203"/>
      <c r="L283" s="208"/>
      <c r="M283" s="209"/>
      <c r="N283" s="210"/>
      <c r="O283" s="210"/>
      <c r="P283" s="211">
        <f>SUM(P284:P285)</f>
        <v>0</v>
      </c>
      <c r="Q283" s="210"/>
      <c r="R283" s="211">
        <f>SUM(R284:R285)</f>
        <v>0</v>
      </c>
      <c r="S283" s="210"/>
      <c r="T283" s="212">
        <f>SUM(T284:T285)</f>
        <v>0</v>
      </c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R283" s="213" t="s">
        <v>8</v>
      </c>
      <c r="AT283" s="214" t="s">
        <v>76</v>
      </c>
      <c r="AU283" s="214" t="s">
        <v>8</v>
      </c>
      <c r="AY283" s="213" t="s">
        <v>157</v>
      </c>
      <c r="BK283" s="215">
        <f>SUM(BK284:BK285)</f>
        <v>0</v>
      </c>
    </row>
    <row r="284" s="2" customFormat="1" ht="24.15" customHeight="1">
      <c r="A284" s="37"/>
      <c r="B284" s="38"/>
      <c r="C284" s="218" t="s">
        <v>478</v>
      </c>
      <c r="D284" s="218" t="s">
        <v>159</v>
      </c>
      <c r="E284" s="219" t="s">
        <v>434</v>
      </c>
      <c r="F284" s="220" t="s">
        <v>435</v>
      </c>
      <c r="G284" s="221" t="s">
        <v>209</v>
      </c>
      <c r="H284" s="222">
        <v>7128</v>
      </c>
      <c r="I284" s="223"/>
      <c r="J284" s="224">
        <f>ROUND(I284*H284,0)</f>
        <v>0</v>
      </c>
      <c r="K284" s="225"/>
      <c r="L284" s="43"/>
      <c r="M284" s="226" t="s">
        <v>1</v>
      </c>
      <c r="N284" s="227" t="s">
        <v>42</v>
      </c>
      <c r="O284" s="90"/>
      <c r="P284" s="228">
        <f>O284*H284</f>
        <v>0</v>
      </c>
      <c r="Q284" s="228">
        <v>0</v>
      </c>
      <c r="R284" s="228">
        <f>Q284*H284</f>
        <v>0</v>
      </c>
      <c r="S284" s="228">
        <v>0</v>
      </c>
      <c r="T284" s="229">
        <f>S284*H284</f>
        <v>0</v>
      </c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R284" s="230" t="s">
        <v>163</v>
      </c>
      <c r="AT284" s="230" t="s">
        <v>159</v>
      </c>
      <c r="AU284" s="230" t="s">
        <v>86</v>
      </c>
      <c r="AY284" s="16" t="s">
        <v>157</v>
      </c>
      <c r="BE284" s="231">
        <f>IF(N284="základní",J284,0)</f>
        <v>0</v>
      </c>
      <c r="BF284" s="231">
        <f>IF(N284="snížená",J284,0)</f>
        <v>0</v>
      </c>
      <c r="BG284" s="231">
        <f>IF(N284="zákl. přenesená",J284,0)</f>
        <v>0</v>
      </c>
      <c r="BH284" s="231">
        <f>IF(N284="sníž. přenesená",J284,0)</f>
        <v>0</v>
      </c>
      <c r="BI284" s="231">
        <f>IF(N284="nulová",J284,0)</f>
        <v>0</v>
      </c>
      <c r="BJ284" s="16" t="s">
        <v>8</v>
      </c>
      <c r="BK284" s="231">
        <f>ROUND(I284*H284,0)</f>
        <v>0</v>
      </c>
      <c r="BL284" s="16" t="s">
        <v>163</v>
      </c>
      <c r="BM284" s="230" t="s">
        <v>1870</v>
      </c>
    </row>
    <row r="285" s="13" customFormat="1">
      <c r="A285" s="13"/>
      <c r="B285" s="232"/>
      <c r="C285" s="233"/>
      <c r="D285" s="234" t="s">
        <v>165</v>
      </c>
      <c r="E285" s="235" t="s">
        <v>1</v>
      </c>
      <c r="F285" s="236" t="s">
        <v>1676</v>
      </c>
      <c r="G285" s="233"/>
      <c r="H285" s="237">
        <v>7128</v>
      </c>
      <c r="I285" s="238"/>
      <c r="J285" s="233"/>
      <c r="K285" s="233"/>
      <c r="L285" s="239"/>
      <c r="M285" s="240"/>
      <c r="N285" s="241"/>
      <c r="O285" s="241"/>
      <c r="P285" s="241"/>
      <c r="Q285" s="241"/>
      <c r="R285" s="241"/>
      <c r="S285" s="241"/>
      <c r="T285" s="242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T285" s="243" t="s">
        <v>165</v>
      </c>
      <c r="AU285" s="243" t="s">
        <v>86</v>
      </c>
      <c r="AV285" s="13" t="s">
        <v>86</v>
      </c>
      <c r="AW285" s="13" t="s">
        <v>32</v>
      </c>
      <c r="AX285" s="13" t="s">
        <v>77</v>
      </c>
      <c r="AY285" s="243" t="s">
        <v>157</v>
      </c>
    </row>
    <row r="286" s="12" customFormat="1" ht="22.8" customHeight="1">
      <c r="A286" s="12"/>
      <c r="B286" s="202"/>
      <c r="C286" s="203"/>
      <c r="D286" s="204" t="s">
        <v>76</v>
      </c>
      <c r="E286" s="216" t="s">
        <v>190</v>
      </c>
      <c r="F286" s="216" t="s">
        <v>437</v>
      </c>
      <c r="G286" s="203"/>
      <c r="H286" s="203"/>
      <c r="I286" s="206"/>
      <c r="J286" s="217">
        <f>BK286</f>
        <v>0</v>
      </c>
      <c r="K286" s="203"/>
      <c r="L286" s="208"/>
      <c r="M286" s="209"/>
      <c r="N286" s="210"/>
      <c r="O286" s="210"/>
      <c r="P286" s="211">
        <f>SUM(P287:P316)</f>
        <v>0</v>
      </c>
      <c r="Q286" s="210"/>
      <c r="R286" s="211">
        <f>SUM(R287:R316)</f>
        <v>6690.1456703000003</v>
      </c>
      <c r="S286" s="210"/>
      <c r="T286" s="212">
        <f>SUM(T287:T316)</f>
        <v>0</v>
      </c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R286" s="213" t="s">
        <v>8</v>
      </c>
      <c r="AT286" s="214" t="s">
        <v>76</v>
      </c>
      <c r="AU286" s="214" t="s">
        <v>8</v>
      </c>
      <c r="AY286" s="213" t="s">
        <v>157</v>
      </c>
      <c r="BK286" s="215">
        <f>SUM(BK287:BK316)</f>
        <v>0</v>
      </c>
    </row>
    <row r="287" s="2" customFormat="1" ht="21.75" customHeight="1">
      <c r="A287" s="37"/>
      <c r="B287" s="38"/>
      <c r="C287" s="218" t="s">
        <v>483</v>
      </c>
      <c r="D287" s="218" t="s">
        <v>159</v>
      </c>
      <c r="E287" s="219" t="s">
        <v>1871</v>
      </c>
      <c r="F287" s="220" t="s">
        <v>1872</v>
      </c>
      <c r="G287" s="221" t="s">
        <v>209</v>
      </c>
      <c r="H287" s="222">
        <v>392.14800000000002</v>
      </c>
      <c r="I287" s="223"/>
      <c r="J287" s="224">
        <f>ROUND(I287*H287,0)</f>
        <v>0</v>
      </c>
      <c r="K287" s="225"/>
      <c r="L287" s="43"/>
      <c r="M287" s="226" t="s">
        <v>1</v>
      </c>
      <c r="N287" s="227" t="s">
        <v>42</v>
      </c>
      <c r="O287" s="90"/>
      <c r="P287" s="228">
        <f>O287*H287</f>
        <v>0</v>
      </c>
      <c r="Q287" s="228">
        <v>0.0043800000000000002</v>
      </c>
      <c r="R287" s="228">
        <f>Q287*H287</f>
        <v>1.7176082400000001</v>
      </c>
      <c r="S287" s="228">
        <v>0</v>
      </c>
      <c r="T287" s="229">
        <f>S287*H287</f>
        <v>0</v>
      </c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R287" s="230" t="s">
        <v>163</v>
      </c>
      <c r="AT287" s="230" t="s">
        <v>159</v>
      </c>
      <c r="AU287" s="230" t="s">
        <v>86</v>
      </c>
      <c r="AY287" s="16" t="s">
        <v>157</v>
      </c>
      <c r="BE287" s="231">
        <f>IF(N287="základní",J287,0)</f>
        <v>0</v>
      </c>
      <c r="BF287" s="231">
        <f>IF(N287="snížená",J287,0)</f>
        <v>0</v>
      </c>
      <c r="BG287" s="231">
        <f>IF(N287="zákl. přenesená",J287,0)</f>
        <v>0</v>
      </c>
      <c r="BH287" s="231">
        <f>IF(N287="sníž. přenesená",J287,0)</f>
        <v>0</v>
      </c>
      <c r="BI287" s="231">
        <f>IF(N287="nulová",J287,0)</f>
        <v>0</v>
      </c>
      <c r="BJ287" s="16" t="s">
        <v>8</v>
      </c>
      <c r="BK287" s="231">
        <f>ROUND(I287*H287,0)</f>
        <v>0</v>
      </c>
      <c r="BL287" s="16" t="s">
        <v>163</v>
      </c>
      <c r="BM287" s="230" t="s">
        <v>1873</v>
      </c>
    </row>
    <row r="288" s="13" customFormat="1">
      <c r="A288" s="13"/>
      <c r="B288" s="232"/>
      <c r="C288" s="233"/>
      <c r="D288" s="234" t="s">
        <v>165</v>
      </c>
      <c r="E288" s="235" t="s">
        <v>1</v>
      </c>
      <c r="F288" s="236" t="s">
        <v>1874</v>
      </c>
      <c r="G288" s="233"/>
      <c r="H288" s="237">
        <v>392.14800000000002</v>
      </c>
      <c r="I288" s="238"/>
      <c r="J288" s="233"/>
      <c r="K288" s="233"/>
      <c r="L288" s="239"/>
      <c r="M288" s="240"/>
      <c r="N288" s="241"/>
      <c r="O288" s="241"/>
      <c r="P288" s="241"/>
      <c r="Q288" s="241"/>
      <c r="R288" s="241"/>
      <c r="S288" s="241"/>
      <c r="T288" s="242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T288" s="243" t="s">
        <v>165</v>
      </c>
      <c r="AU288" s="243" t="s">
        <v>86</v>
      </c>
      <c r="AV288" s="13" t="s">
        <v>86</v>
      </c>
      <c r="AW288" s="13" t="s">
        <v>32</v>
      </c>
      <c r="AX288" s="13" t="s">
        <v>77</v>
      </c>
      <c r="AY288" s="243" t="s">
        <v>157</v>
      </c>
    </row>
    <row r="289" s="2" customFormat="1" ht="24.15" customHeight="1">
      <c r="A289" s="37"/>
      <c r="B289" s="38"/>
      <c r="C289" s="218" t="s">
        <v>490</v>
      </c>
      <c r="D289" s="218" t="s">
        <v>159</v>
      </c>
      <c r="E289" s="219" t="s">
        <v>1875</v>
      </c>
      <c r="F289" s="220" t="s">
        <v>1876</v>
      </c>
      <c r="G289" s="221" t="s">
        <v>209</v>
      </c>
      <c r="H289" s="222">
        <v>528.14999999999998</v>
      </c>
      <c r="I289" s="223"/>
      <c r="J289" s="224">
        <f>ROUND(I289*H289,0)</f>
        <v>0</v>
      </c>
      <c r="K289" s="225"/>
      <c r="L289" s="43"/>
      <c r="M289" s="226" t="s">
        <v>1</v>
      </c>
      <c r="N289" s="227" t="s">
        <v>42</v>
      </c>
      <c r="O289" s="90"/>
      <c r="P289" s="228">
        <f>O289*H289</f>
        <v>0</v>
      </c>
      <c r="Q289" s="228">
        <v>0.00018000000000000001</v>
      </c>
      <c r="R289" s="228">
        <f>Q289*H289</f>
        <v>0.095066999999999999</v>
      </c>
      <c r="S289" s="228">
        <v>0</v>
      </c>
      <c r="T289" s="229">
        <f>S289*H289</f>
        <v>0</v>
      </c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R289" s="230" t="s">
        <v>163</v>
      </c>
      <c r="AT289" s="230" t="s">
        <v>159</v>
      </c>
      <c r="AU289" s="230" t="s">
        <v>86</v>
      </c>
      <c r="AY289" s="16" t="s">
        <v>157</v>
      </c>
      <c r="BE289" s="231">
        <f>IF(N289="základní",J289,0)</f>
        <v>0</v>
      </c>
      <c r="BF289" s="231">
        <f>IF(N289="snížená",J289,0)</f>
        <v>0</v>
      </c>
      <c r="BG289" s="231">
        <f>IF(N289="zákl. přenesená",J289,0)</f>
        <v>0</v>
      </c>
      <c r="BH289" s="231">
        <f>IF(N289="sníž. přenesená",J289,0)</f>
        <v>0</v>
      </c>
      <c r="BI289" s="231">
        <f>IF(N289="nulová",J289,0)</f>
        <v>0</v>
      </c>
      <c r="BJ289" s="16" t="s">
        <v>8</v>
      </c>
      <c r="BK289" s="231">
        <f>ROUND(I289*H289,0)</f>
        <v>0</v>
      </c>
      <c r="BL289" s="16" t="s">
        <v>163</v>
      </c>
      <c r="BM289" s="230" t="s">
        <v>1877</v>
      </c>
    </row>
    <row r="290" s="13" customFormat="1">
      <c r="A290" s="13"/>
      <c r="B290" s="232"/>
      <c r="C290" s="233"/>
      <c r="D290" s="234" t="s">
        <v>165</v>
      </c>
      <c r="E290" s="235" t="s">
        <v>1</v>
      </c>
      <c r="F290" s="236" t="s">
        <v>1878</v>
      </c>
      <c r="G290" s="233"/>
      <c r="H290" s="237">
        <v>528.14999999999998</v>
      </c>
      <c r="I290" s="238"/>
      <c r="J290" s="233"/>
      <c r="K290" s="233"/>
      <c r="L290" s="239"/>
      <c r="M290" s="240"/>
      <c r="N290" s="241"/>
      <c r="O290" s="241"/>
      <c r="P290" s="241"/>
      <c r="Q290" s="241"/>
      <c r="R290" s="241"/>
      <c r="S290" s="241"/>
      <c r="T290" s="242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T290" s="243" t="s">
        <v>165</v>
      </c>
      <c r="AU290" s="243" t="s">
        <v>86</v>
      </c>
      <c r="AV290" s="13" t="s">
        <v>86</v>
      </c>
      <c r="AW290" s="13" t="s">
        <v>32</v>
      </c>
      <c r="AX290" s="13" t="s">
        <v>77</v>
      </c>
      <c r="AY290" s="243" t="s">
        <v>157</v>
      </c>
    </row>
    <row r="291" s="2" customFormat="1" ht="44.25" customHeight="1">
      <c r="A291" s="37"/>
      <c r="B291" s="38"/>
      <c r="C291" s="218" t="s">
        <v>496</v>
      </c>
      <c r="D291" s="218" t="s">
        <v>159</v>
      </c>
      <c r="E291" s="219" t="s">
        <v>1879</v>
      </c>
      <c r="F291" s="220" t="s">
        <v>1880</v>
      </c>
      <c r="G291" s="221" t="s">
        <v>209</v>
      </c>
      <c r="H291" s="222">
        <v>528.14999999999998</v>
      </c>
      <c r="I291" s="223"/>
      <c r="J291" s="224">
        <f>ROUND(I291*H291,0)</f>
        <v>0</v>
      </c>
      <c r="K291" s="225"/>
      <c r="L291" s="43"/>
      <c r="M291" s="226" t="s">
        <v>1</v>
      </c>
      <c r="N291" s="227" t="s">
        <v>42</v>
      </c>
      <c r="O291" s="90"/>
      <c r="P291" s="228">
        <f>O291*H291</f>
        <v>0</v>
      </c>
      <c r="Q291" s="228">
        <v>0.0085199999999999998</v>
      </c>
      <c r="R291" s="228">
        <f>Q291*H291</f>
        <v>4.4998379999999996</v>
      </c>
      <c r="S291" s="228">
        <v>0</v>
      </c>
      <c r="T291" s="229">
        <f>S291*H291</f>
        <v>0</v>
      </c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R291" s="230" t="s">
        <v>163</v>
      </c>
      <c r="AT291" s="230" t="s">
        <v>159</v>
      </c>
      <c r="AU291" s="230" t="s">
        <v>86</v>
      </c>
      <c r="AY291" s="16" t="s">
        <v>157</v>
      </c>
      <c r="BE291" s="231">
        <f>IF(N291="základní",J291,0)</f>
        <v>0</v>
      </c>
      <c r="BF291" s="231">
        <f>IF(N291="snížená",J291,0)</f>
        <v>0</v>
      </c>
      <c r="BG291" s="231">
        <f>IF(N291="zákl. přenesená",J291,0)</f>
        <v>0</v>
      </c>
      <c r="BH291" s="231">
        <f>IF(N291="sníž. přenesená",J291,0)</f>
        <v>0</v>
      </c>
      <c r="BI291" s="231">
        <f>IF(N291="nulová",J291,0)</f>
        <v>0</v>
      </c>
      <c r="BJ291" s="16" t="s">
        <v>8</v>
      </c>
      <c r="BK291" s="231">
        <f>ROUND(I291*H291,0)</f>
        <v>0</v>
      </c>
      <c r="BL291" s="16" t="s">
        <v>163</v>
      </c>
      <c r="BM291" s="230" t="s">
        <v>1881</v>
      </c>
    </row>
    <row r="292" s="13" customFormat="1">
      <c r="A292" s="13"/>
      <c r="B292" s="232"/>
      <c r="C292" s="233"/>
      <c r="D292" s="234" t="s">
        <v>165</v>
      </c>
      <c r="E292" s="235" t="s">
        <v>1</v>
      </c>
      <c r="F292" s="236" t="s">
        <v>1878</v>
      </c>
      <c r="G292" s="233"/>
      <c r="H292" s="237">
        <v>528.14999999999998</v>
      </c>
      <c r="I292" s="238"/>
      <c r="J292" s="233"/>
      <c r="K292" s="233"/>
      <c r="L292" s="239"/>
      <c r="M292" s="240"/>
      <c r="N292" s="241"/>
      <c r="O292" s="241"/>
      <c r="P292" s="241"/>
      <c r="Q292" s="241"/>
      <c r="R292" s="241"/>
      <c r="S292" s="241"/>
      <c r="T292" s="242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T292" s="243" t="s">
        <v>165</v>
      </c>
      <c r="AU292" s="243" t="s">
        <v>86</v>
      </c>
      <c r="AV292" s="13" t="s">
        <v>86</v>
      </c>
      <c r="AW292" s="13" t="s">
        <v>32</v>
      </c>
      <c r="AX292" s="13" t="s">
        <v>77</v>
      </c>
      <c r="AY292" s="243" t="s">
        <v>157</v>
      </c>
    </row>
    <row r="293" s="2" customFormat="1" ht="24.15" customHeight="1">
      <c r="A293" s="37"/>
      <c r="B293" s="38"/>
      <c r="C293" s="254" t="s">
        <v>500</v>
      </c>
      <c r="D293" s="254" t="s">
        <v>229</v>
      </c>
      <c r="E293" s="255" t="s">
        <v>1882</v>
      </c>
      <c r="F293" s="256" t="s">
        <v>1883</v>
      </c>
      <c r="G293" s="257" t="s">
        <v>209</v>
      </c>
      <c r="H293" s="258">
        <v>554.55799999999999</v>
      </c>
      <c r="I293" s="259"/>
      <c r="J293" s="260">
        <f>ROUND(I293*H293,0)</f>
        <v>0</v>
      </c>
      <c r="K293" s="261"/>
      <c r="L293" s="262"/>
      <c r="M293" s="263" t="s">
        <v>1</v>
      </c>
      <c r="N293" s="264" t="s">
        <v>42</v>
      </c>
      <c r="O293" s="90"/>
      <c r="P293" s="228">
        <f>O293*H293</f>
        <v>0</v>
      </c>
      <c r="Q293" s="228">
        <v>0.0035999999999999999</v>
      </c>
      <c r="R293" s="228">
        <f>Q293*H293</f>
        <v>1.9964088</v>
      </c>
      <c r="S293" s="228">
        <v>0</v>
      </c>
      <c r="T293" s="229">
        <f>S293*H293</f>
        <v>0</v>
      </c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R293" s="230" t="s">
        <v>200</v>
      </c>
      <c r="AT293" s="230" t="s">
        <v>229</v>
      </c>
      <c r="AU293" s="230" t="s">
        <v>86</v>
      </c>
      <c r="AY293" s="16" t="s">
        <v>157</v>
      </c>
      <c r="BE293" s="231">
        <f>IF(N293="základní",J293,0)</f>
        <v>0</v>
      </c>
      <c r="BF293" s="231">
        <f>IF(N293="snížená",J293,0)</f>
        <v>0</v>
      </c>
      <c r="BG293" s="231">
        <f>IF(N293="zákl. přenesená",J293,0)</f>
        <v>0</v>
      </c>
      <c r="BH293" s="231">
        <f>IF(N293="sníž. přenesená",J293,0)</f>
        <v>0</v>
      </c>
      <c r="BI293" s="231">
        <f>IF(N293="nulová",J293,0)</f>
        <v>0</v>
      </c>
      <c r="BJ293" s="16" t="s">
        <v>8</v>
      </c>
      <c r="BK293" s="231">
        <f>ROUND(I293*H293,0)</f>
        <v>0</v>
      </c>
      <c r="BL293" s="16" t="s">
        <v>163</v>
      </c>
      <c r="BM293" s="230" t="s">
        <v>1884</v>
      </c>
    </row>
    <row r="294" s="13" customFormat="1">
      <c r="A294" s="13"/>
      <c r="B294" s="232"/>
      <c r="C294" s="233"/>
      <c r="D294" s="234" t="s">
        <v>165</v>
      </c>
      <c r="E294" s="235" t="s">
        <v>1</v>
      </c>
      <c r="F294" s="236" t="s">
        <v>1885</v>
      </c>
      <c r="G294" s="233"/>
      <c r="H294" s="237">
        <v>528.14999999999998</v>
      </c>
      <c r="I294" s="238"/>
      <c r="J294" s="233"/>
      <c r="K294" s="233"/>
      <c r="L294" s="239"/>
      <c r="M294" s="240"/>
      <c r="N294" s="241"/>
      <c r="O294" s="241"/>
      <c r="P294" s="241"/>
      <c r="Q294" s="241"/>
      <c r="R294" s="241"/>
      <c r="S294" s="241"/>
      <c r="T294" s="242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T294" s="243" t="s">
        <v>165</v>
      </c>
      <c r="AU294" s="243" t="s">
        <v>86</v>
      </c>
      <c r="AV294" s="13" t="s">
        <v>86</v>
      </c>
      <c r="AW294" s="13" t="s">
        <v>32</v>
      </c>
      <c r="AX294" s="13" t="s">
        <v>8</v>
      </c>
      <c r="AY294" s="243" t="s">
        <v>157</v>
      </c>
    </row>
    <row r="295" s="13" customFormat="1">
      <c r="A295" s="13"/>
      <c r="B295" s="232"/>
      <c r="C295" s="233"/>
      <c r="D295" s="234" t="s">
        <v>165</v>
      </c>
      <c r="E295" s="233"/>
      <c r="F295" s="236" t="s">
        <v>1886</v>
      </c>
      <c r="G295" s="233"/>
      <c r="H295" s="237">
        <v>554.55799999999999</v>
      </c>
      <c r="I295" s="238"/>
      <c r="J295" s="233"/>
      <c r="K295" s="233"/>
      <c r="L295" s="239"/>
      <c r="M295" s="240"/>
      <c r="N295" s="241"/>
      <c r="O295" s="241"/>
      <c r="P295" s="241"/>
      <c r="Q295" s="241"/>
      <c r="R295" s="241"/>
      <c r="S295" s="241"/>
      <c r="T295" s="242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T295" s="243" t="s">
        <v>165</v>
      </c>
      <c r="AU295" s="243" t="s">
        <v>86</v>
      </c>
      <c r="AV295" s="13" t="s">
        <v>86</v>
      </c>
      <c r="AW295" s="13" t="s">
        <v>4</v>
      </c>
      <c r="AX295" s="13" t="s">
        <v>8</v>
      </c>
      <c r="AY295" s="243" t="s">
        <v>157</v>
      </c>
    </row>
    <row r="296" s="2" customFormat="1" ht="24.15" customHeight="1">
      <c r="A296" s="37"/>
      <c r="B296" s="38"/>
      <c r="C296" s="218" t="s">
        <v>504</v>
      </c>
      <c r="D296" s="218" t="s">
        <v>159</v>
      </c>
      <c r="E296" s="219" t="s">
        <v>1887</v>
      </c>
      <c r="F296" s="220" t="s">
        <v>1888</v>
      </c>
      <c r="G296" s="221" t="s">
        <v>209</v>
      </c>
      <c r="H296" s="222">
        <v>528.14999999999998</v>
      </c>
      <c r="I296" s="223"/>
      <c r="J296" s="224">
        <f>ROUND(I296*H296,0)</f>
        <v>0</v>
      </c>
      <c r="K296" s="225"/>
      <c r="L296" s="43"/>
      <c r="M296" s="226" t="s">
        <v>1</v>
      </c>
      <c r="N296" s="227" t="s">
        <v>42</v>
      </c>
      <c r="O296" s="90"/>
      <c r="P296" s="228">
        <f>O296*H296</f>
        <v>0</v>
      </c>
      <c r="Q296" s="228">
        <v>0.0037799999999999999</v>
      </c>
      <c r="R296" s="228">
        <f>Q296*H296</f>
        <v>1.9964069999999998</v>
      </c>
      <c r="S296" s="228">
        <v>0</v>
      </c>
      <c r="T296" s="229">
        <f>S296*H296</f>
        <v>0</v>
      </c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R296" s="230" t="s">
        <v>163</v>
      </c>
      <c r="AT296" s="230" t="s">
        <v>159</v>
      </c>
      <c r="AU296" s="230" t="s">
        <v>86</v>
      </c>
      <c r="AY296" s="16" t="s">
        <v>157</v>
      </c>
      <c r="BE296" s="231">
        <f>IF(N296="základní",J296,0)</f>
        <v>0</v>
      </c>
      <c r="BF296" s="231">
        <f>IF(N296="snížená",J296,0)</f>
        <v>0</v>
      </c>
      <c r="BG296" s="231">
        <f>IF(N296="zákl. přenesená",J296,0)</f>
        <v>0</v>
      </c>
      <c r="BH296" s="231">
        <f>IF(N296="sníž. přenesená",J296,0)</f>
        <v>0</v>
      </c>
      <c r="BI296" s="231">
        <f>IF(N296="nulová",J296,0)</f>
        <v>0</v>
      </c>
      <c r="BJ296" s="16" t="s">
        <v>8</v>
      </c>
      <c r="BK296" s="231">
        <f>ROUND(I296*H296,0)</f>
        <v>0</v>
      </c>
      <c r="BL296" s="16" t="s">
        <v>163</v>
      </c>
      <c r="BM296" s="230" t="s">
        <v>1889</v>
      </c>
    </row>
    <row r="297" s="2" customFormat="1" ht="33" customHeight="1">
      <c r="A297" s="37"/>
      <c r="B297" s="38"/>
      <c r="C297" s="218" t="s">
        <v>511</v>
      </c>
      <c r="D297" s="218" t="s">
        <v>159</v>
      </c>
      <c r="E297" s="219" t="s">
        <v>1890</v>
      </c>
      <c r="F297" s="220" t="s">
        <v>1891</v>
      </c>
      <c r="G297" s="221" t="s">
        <v>162</v>
      </c>
      <c r="H297" s="222">
        <v>1457.6099999999999</v>
      </c>
      <c r="I297" s="223"/>
      <c r="J297" s="224">
        <f>ROUND(I297*H297,0)</f>
        <v>0</v>
      </c>
      <c r="K297" s="225"/>
      <c r="L297" s="43"/>
      <c r="M297" s="226" t="s">
        <v>1</v>
      </c>
      <c r="N297" s="227" t="s">
        <v>42</v>
      </c>
      <c r="O297" s="90"/>
      <c r="P297" s="228">
        <f>O297*H297</f>
        <v>0</v>
      </c>
      <c r="Q297" s="228">
        <v>2.5018699999999998</v>
      </c>
      <c r="R297" s="228">
        <f>Q297*H297</f>
        <v>3646.7507306999996</v>
      </c>
      <c r="S297" s="228">
        <v>0</v>
      </c>
      <c r="T297" s="229">
        <f>S297*H297</f>
        <v>0</v>
      </c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R297" s="230" t="s">
        <v>163</v>
      </c>
      <c r="AT297" s="230" t="s">
        <v>159</v>
      </c>
      <c r="AU297" s="230" t="s">
        <v>86</v>
      </c>
      <c r="AY297" s="16" t="s">
        <v>157</v>
      </c>
      <c r="BE297" s="231">
        <f>IF(N297="základní",J297,0)</f>
        <v>0</v>
      </c>
      <c r="BF297" s="231">
        <f>IF(N297="snížená",J297,0)</f>
        <v>0</v>
      </c>
      <c r="BG297" s="231">
        <f>IF(N297="zákl. přenesená",J297,0)</f>
        <v>0</v>
      </c>
      <c r="BH297" s="231">
        <f>IF(N297="sníž. přenesená",J297,0)</f>
        <v>0</v>
      </c>
      <c r="BI297" s="231">
        <f>IF(N297="nulová",J297,0)</f>
        <v>0</v>
      </c>
      <c r="BJ297" s="16" t="s">
        <v>8</v>
      </c>
      <c r="BK297" s="231">
        <f>ROUND(I297*H297,0)</f>
        <v>0</v>
      </c>
      <c r="BL297" s="16" t="s">
        <v>163</v>
      </c>
      <c r="BM297" s="230" t="s">
        <v>1892</v>
      </c>
    </row>
    <row r="298" s="13" customFormat="1">
      <c r="A298" s="13"/>
      <c r="B298" s="232"/>
      <c r="C298" s="233"/>
      <c r="D298" s="234" t="s">
        <v>165</v>
      </c>
      <c r="E298" s="235" t="s">
        <v>1</v>
      </c>
      <c r="F298" s="236" t="s">
        <v>1893</v>
      </c>
      <c r="G298" s="233"/>
      <c r="H298" s="237">
        <v>1457.6099999999999</v>
      </c>
      <c r="I298" s="238"/>
      <c r="J298" s="233"/>
      <c r="K298" s="233"/>
      <c r="L298" s="239"/>
      <c r="M298" s="240"/>
      <c r="N298" s="241"/>
      <c r="O298" s="241"/>
      <c r="P298" s="241"/>
      <c r="Q298" s="241"/>
      <c r="R298" s="241"/>
      <c r="S298" s="241"/>
      <c r="T298" s="242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T298" s="243" t="s">
        <v>165</v>
      </c>
      <c r="AU298" s="243" t="s">
        <v>86</v>
      </c>
      <c r="AV298" s="13" t="s">
        <v>86</v>
      </c>
      <c r="AW298" s="13" t="s">
        <v>32</v>
      </c>
      <c r="AX298" s="13" t="s">
        <v>77</v>
      </c>
      <c r="AY298" s="243" t="s">
        <v>157</v>
      </c>
    </row>
    <row r="299" s="2" customFormat="1" ht="24.15" customHeight="1">
      <c r="A299" s="37"/>
      <c r="B299" s="38"/>
      <c r="C299" s="218" t="s">
        <v>517</v>
      </c>
      <c r="D299" s="218" t="s">
        <v>159</v>
      </c>
      <c r="E299" s="219" t="s">
        <v>1894</v>
      </c>
      <c r="F299" s="220" t="s">
        <v>1895</v>
      </c>
      <c r="G299" s="221" t="s">
        <v>162</v>
      </c>
      <c r="H299" s="222">
        <v>1457.6099999999999</v>
      </c>
      <c r="I299" s="223"/>
      <c r="J299" s="224">
        <f>ROUND(I299*H299,0)</f>
        <v>0</v>
      </c>
      <c r="K299" s="225"/>
      <c r="L299" s="43"/>
      <c r="M299" s="226" t="s">
        <v>1</v>
      </c>
      <c r="N299" s="227" t="s">
        <v>42</v>
      </c>
      <c r="O299" s="90"/>
      <c r="P299" s="228">
        <f>O299*H299</f>
        <v>0</v>
      </c>
      <c r="Q299" s="228">
        <v>0</v>
      </c>
      <c r="R299" s="228">
        <f>Q299*H299</f>
        <v>0</v>
      </c>
      <c r="S299" s="228">
        <v>0</v>
      </c>
      <c r="T299" s="229">
        <f>S299*H299</f>
        <v>0</v>
      </c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R299" s="230" t="s">
        <v>163</v>
      </c>
      <c r="AT299" s="230" t="s">
        <v>159</v>
      </c>
      <c r="AU299" s="230" t="s">
        <v>86</v>
      </c>
      <c r="AY299" s="16" t="s">
        <v>157</v>
      </c>
      <c r="BE299" s="231">
        <f>IF(N299="základní",J299,0)</f>
        <v>0</v>
      </c>
      <c r="BF299" s="231">
        <f>IF(N299="snížená",J299,0)</f>
        <v>0</v>
      </c>
      <c r="BG299" s="231">
        <f>IF(N299="zákl. přenesená",J299,0)</f>
        <v>0</v>
      </c>
      <c r="BH299" s="231">
        <f>IF(N299="sníž. přenesená",J299,0)</f>
        <v>0</v>
      </c>
      <c r="BI299" s="231">
        <f>IF(N299="nulová",J299,0)</f>
        <v>0</v>
      </c>
      <c r="BJ299" s="16" t="s">
        <v>8</v>
      </c>
      <c r="BK299" s="231">
        <f>ROUND(I299*H299,0)</f>
        <v>0</v>
      </c>
      <c r="BL299" s="16" t="s">
        <v>163</v>
      </c>
      <c r="BM299" s="230" t="s">
        <v>1896</v>
      </c>
    </row>
    <row r="300" s="2" customFormat="1" ht="33" customHeight="1">
      <c r="A300" s="37"/>
      <c r="B300" s="38"/>
      <c r="C300" s="218" t="s">
        <v>521</v>
      </c>
      <c r="D300" s="218" t="s">
        <v>159</v>
      </c>
      <c r="E300" s="219" t="s">
        <v>505</v>
      </c>
      <c r="F300" s="220" t="s">
        <v>506</v>
      </c>
      <c r="G300" s="221" t="s">
        <v>162</v>
      </c>
      <c r="H300" s="222">
        <v>1457.6099999999999</v>
      </c>
      <c r="I300" s="223"/>
      <c r="J300" s="224">
        <f>ROUND(I300*H300,0)</f>
        <v>0</v>
      </c>
      <c r="K300" s="225"/>
      <c r="L300" s="43"/>
      <c r="M300" s="226" t="s">
        <v>1</v>
      </c>
      <c r="N300" s="227" t="s">
        <v>42</v>
      </c>
      <c r="O300" s="90"/>
      <c r="P300" s="228">
        <f>O300*H300</f>
        <v>0</v>
      </c>
      <c r="Q300" s="228">
        <v>0</v>
      </c>
      <c r="R300" s="228">
        <f>Q300*H300</f>
        <v>0</v>
      </c>
      <c r="S300" s="228">
        <v>0</v>
      </c>
      <c r="T300" s="229">
        <f>S300*H300</f>
        <v>0</v>
      </c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R300" s="230" t="s">
        <v>163</v>
      </c>
      <c r="AT300" s="230" t="s">
        <v>159</v>
      </c>
      <c r="AU300" s="230" t="s">
        <v>86</v>
      </c>
      <c r="AY300" s="16" t="s">
        <v>157</v>
      </c>
      <c r="BE300" s="231">
        <f>IF(N300="základní",J300,0)</f>
        <v>0</v>
      </c>
      <c r="BF300" s="231">
        <f>IF(N300="snížená",J300,0)</f>
        <v>0</v>
      </c>
      <c r="BG300" s="231">
        <f>IF(N300="zákl. přenesená",J300,0)</f>
        <v>0</v>
      </c>
      <c r="BH300" s="231">
        <f>IF(N300="sníž. přenesená",J300,0)</f>
        <v>0</v>
      </c>
      <c r="BI300" s="231">
        <f>IF(N300="nulová",J300,0)</f>
        <v>0</v>
      </c>
      <c r="BJ300" s="16" t="s">
        <v>8</v>
      </c>
      <c r="BK300" s="231">
        <f>ROUND(I300*H300,0)</f>
        <v>0</v>
      </c>
      <c r="BL300" s="16" t="s">
        <v>163</v>
      </c>
      <c r="BM300" s="230" t="s">
        <v>1897</v>
      </c>
    </row>
    <row r="301" s="2" customFormat="1" ht="33" customHeight="1">
      <c r="A301" s="37"/>
      <c r="B301" s="38"/>
      <c r="C301" s="218" t="s">
        <v>532</v>
      </c>
      <c r="D301" s="218" t="s">
        <v>159</v>
      </c>
      <c r="E301" s="219" t="s">
        <v>1898</v>
      </c>
      <c r="F301" s="220" t="s">
        <v>1899</v>
      </c>
      <c r="G301" s="221" t="s">
        <v>162</v>
      </c>
      <c r="H301" s="222">
        <v>1457.6099999999999</v>
      </c>
      <c r="I301" s="223"/>
      <c r="J301" s="224">
        <f>ROUND(I301*H301,0)</f>
        <v>0</v>
      </c>
      <c r="K301" s="225"/>
      <c r="L301" s="43"/>
      <c r="M301" s="226" t="s">
        <v>1</v>
      </c>
      <c r="N301" s="227" t="s">
        <v>42</v>
      </c>
      <c r="O301" s="90"/>
      <c r="P301" s="228">
        <f>O301*H301</f>
        <v>0</v>
      </c>
      <c r="Q301" s="228">
        <v>0.035349999999999999</v>
      </c>
      <c r="R301" s="228">
        <f>Q301*H301</f>
        <v>51.526513499999993</v>
      </c>
      <c r="S301" s="228">
        <v>0</v>
      </c>
      <c r="T301" s="229">
        <f>S301*H301</f>
        <v>0</v>
      </c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R301" s="230" t="s">
        <v>163</v>
      </c>
      <c r="AT301" s="230" t="s">
        <v>159</v>
      </c>
      <c r="AU301" s="230" t="s">
        <v>86</v>
      </c>
      <c r="AY301" s="16" t="s">
        <v>157</v>
      </c>
      <c r="BE301" s="231">
        <f>IF(N301="základní",J301,0)</f>
        <v>0</v>
      </c>
      <c r="BF301" s="231">
        <f>IF(N301="snížená",J301,0)</f>
        <v>0</v>
      </c>
      <c r="BG301" s="231">
        <f>IF(N301="zákl. přenesená",J301,0)</f>
        <v>0</v>
      </c>
      <c r="BH301" s="231">
        <f>IF(N301="sníž. přenesená",J301,0)</f>
        <v>0</v>
      </c>
      <c r="BI301" s="231">
        <f>IF(N301="nulová",J301,0)</f>
        <v>0</v>
      </c>
      <c r="BJ301" s="16" t="s">
        <v>8</v>
      </c>
      <c r="BK301" s="231">
        <f>ROUND(I301*H301,0)</f>
        <v>0</v>
      </c>
      <c r="BL301" s="16" t="s">
        <v>163</v>
      </c>
      <c r="BM301" s="230" t="s">
        <v>1900</v>
      </c>
    </row>
    <row r="302" s="2" customFormat="1" ht="16.5" customHeight="1">
      <c r="A302" s="37"/>
      <c r="B302" s="38"/>
      <c r="C302" s="218" t="s">
        <v>539</v>
      </c>
      <c r="D302" s="218" t="s">
        <v>159</v>
      </c>
      <c r="E302" s="219" t="s">
        <v>522</v>
      </c>
      <c r="F302" s="220" t="s">
        <v>523</v>
      </c>
      <c r="G302" s="221" t="s">
        <v>193</v>
      </c>
      <c r="H302" s="222">
        <v>60.878</v>
      </c>
      <c r="I302" s="223"/>
      <c r="J302" s="224">
        <f>ROUND(I302*H302,0)</f>
        <v>0</v>
      </c>
      <c r="K302" s="225"/>
      <c r="L302" s="43"/>
      <c r="M302" s="226" t="s">
        <v>1</v>
      </c>
      <c r="N302" s="227" t="s">
        <v>42</v>
      </c>
      <c r="O302" s="90"/>
      <c r="P302" s="228">
        <f>O302*H302</f>
        <v>0</v>
      </c>
      <c r="Q302" s="228">
        <v>1.06277</v>
      </c>
      <c r="R302" s="228">
        <f>Q302*H302</f>
        <v>64.699312059999997</v>
      </c>
      <c r="S302" s="228">
        <v>0</v>
      </c>
      <c r="T302" s="229">
        <f>S302*H302</f>
        <v>0</v>
      </c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R302" s="230" t="s">
        <v>163</v>
      </c>
      <c r="AT302" s="230" t="s">
        <v>159</v>
      </c>
      <c r="AU302" s="230" t="s">
        <v>86</v>
      </c>
      <c r="AY302" s="16" t="s">
        <v>157</v>
      </c>
      <c r="BE302" s="231">
        <f>IF(N302="základní",J302,0)</f>
        <v>0</v>
      </c>
      <c r="BF302" s="231">
        <f>IF(N302="snížená",J302,0)</f>
        <v>0</v>
      </c>
      <c r="BG302" s="231">
        <f>IF(N302="zákl. přenesená",J302,0)</f>
        <v>0</v>
      </c>
      <c r="BH302" s="231">
        <f>IF(N302="sníž. přenesená",J302,0)</f>
        <v>0</v>
      </c>
      <c r="BI302" s="231">
        <f>IF(N302="nulová",J302,0)</f>
        <v>0</v>
      </c>
      <c r="BJ302" s="16" t="s">
        <v>8</v>
      </c>
      <c r="BK302" s="231">
        <f>ROUND(I302*H302,0)</f>
        <v>0</v>
      </c>
      <c r="BL302" s="16" t="s">
        <v>163</v>
      </c>
      <c r="BM302" s="230" t="s">
        <v>1901</v>
      </c>
    </row>
    <row r="303" s="13" customFormat="1">
      <c r="A303" s="13"/>
      <c r="B303" s="232"/>
      <c r="C303" s="233"/>
      <c r="D303" s="234" t="s">
        <v>165</v>
      </c>
      <c r="E303" s="235" t="s">
        <v>1</v>
      </c>
      <c r="F303" s="236" t="s">
        <v>1902</v>
      </c>
      <c r="G303" s="233"/>
      <c r="H303" s="237">
        <v>60.878</v>
      </c>
      <c r="I303" s="238"/>
      <c r="J303" s="233"/>
      <c r="K303" s="233"/>
      <c r="L303" s="239"/>
      <c r="M303" s="240"/>
      <c r="N303" s="241"/>
      <c r="O303" s="241"/>
      <c r="P303" s="241"/>
      <c r="Q303" s="241"/>
      <c r="R303" s="241"/>
      <c r="S303" s="241"/>
      <c r="T303" s="242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T303" s="243" t="s">
        <v>165</v>
      </c>
      <c r="AU303" s="243" t="s">
        <v>86</v>
      </c>
      <c r="AV303" s="13" t="s">
        <v>86</v>
      </c>
      <c r="AW303" s="13" t="s">
        <v>32</v>
      </c>
      <c r="AX303" s="13" t="s">
        <v>77</v>
      </c>
      <c r="AY303" s="243" t="s">
        <v>157</v>
      </c>
    </row>
    <row r="304" s="2" customFormat="1" ht="33" customHeight="1">
      <c r="A304" s="37"/>
      <c r="B304" s="38"/>
      <c r="C304" s="218" t="s">
        <v>546</v>
      </c>
      <c r="D304" s="218" t="s">
        <v>159</v>
      </c>
      <c r="E304" s="219" t="s">
        <v>1903</v>
      </c>
      <c r="F304" s="220" t="s">
        <v>1904</v>
      </c>
      <c r="G304" s="221" t="s">
        <v>209</v>
      </c>
      <c r="H304" s="222">
        <v>6625.5</v>
      </c>
      <c r="I304" s="223"/>
      <c r="J304" s="224">
        <f>ROUND(I304*H304,0)</f>
        <v>0</v>
      </c>
      <c r="K304" s="225"/>
      <c r="L304" s="43"/>
      <c r="M304" s="226" t="s">
        <v>1</v>
      </c>
      <c r="N304" s="227" t="s">
        <v>42</v>
      </c>
      <c r="O304" s="90"/>
      <c r="P304" s="228">
        <f>O304*H304</f>
        <v>0</v>
      </c>
      <c r="Q304" s="228">
        <v>0.0032000000000000002</v>
      </c>
      <c r="R304" s="228">
        <f>Q304*H304</f>
        <v>21.201600000000003</v>
      </c>
      <c r="S304" s="228">
        <v>0</v>
      </c>
      <c r="T304" s="229">
        <f>S304*H304</f>
        <v>0</v>
      </c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R304" s="230" t="s">
        <v>163</v>
      </c>
      <c r="AT304" s="230" t="s">
        <v>159</v>
      </c>
      <c r="AU304" s="230" t="s">
        <v>86</v>
      </c>
      <c r="AY304" s="16" t="s">
        <v>157</v>
      </c>
      <c r="BE304" s="231">
        <f>IF(N304="základní",J304,0)</f>
        <v>0</v>
      </c>
      <c r="BF304" s="231">
        <f>IF(N304="snížená",J304,0)</f>
        <v>0</v>
      </c>
      <c r="BG304" s="231">
        <f>IF(N304="zákl. přenesená",J304,0)</f>
        <v>0</v>
      </c>
      <c r="BH304" s="231">
        <f>IF(N304="sníž. přenesená",J304,0)</f>
        <v>0</v>
      </c>
      <c r="BI304" s="231">
        <f>IF(N304="nulová",J304,0)</f>
        <v>0</v>
      </c>
      <c r="BJ304" s="16" t="s">
        <v>8</v>
      </c>
      <c r="BK304" s="231">
        <f>ROUND(I304*H304,0)</f>
        <v>0</v>
      </c>
      <c r="BL304" s="16" t="s">
        <v>163</v>
      </c>
      <c r="BM304" s="230" t="s">
        <v>1905</v>
      </c>
    </row>
    <row r="305" s="13" customFormat="1">
      <c r="A305" s="13"/>
      <c r="B305" s="232"/>
      <c r="C305" s="233"/>
      <c r="D305" s="234" t="s">
        <v>165</v>
      </c>
      <c r="E305" s="235" t="s">
        <v>1</v>
      </c>
      <c r="F305" s="236" t="s">
        <v>1906</v>
      </c>
      <c r="G305" s="233"/>
      <c r="H305" s="237">
        <v>6625.5</v>
      </c>
      <c r="I305" s="238"/>
      <c r="J305" s="233"/>
      <c r="K305" s="233"/>
      <c r="L305" s="239"/>
      <c r="M305" s="240"/>
      <c r="N305" s="241"/>
      <c r="O305" s="241"/>
      <c r="P305" s="241"/>
      <c r="Q305" s="241"/>
      <c r="R305" s="241"/>
      <c r="S305" s="241"/>
      <c r="T305" s="242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T305" s="243" t="s">
        <v>165</v>
      </c>
      <c r="AU305" s="243" t="s">
        <v>86</v>
      </c>
      <c r="AV305" s="13" t="s">
        <v>86</v>
      </c>
      <c r="AW305" s="13" t="s">
        <v>32</v>
      </c>
      <c r="AX305" s="13" t="s">
        <v>77</v>
      </c>
      <c r="AY305" s="243" t="s">
        <v>157</v>
      </c>
    </row>
    <row r="306" s="2" customFormat="1" ht="24.15" customHeight="1">
      <c r="A306" s="37"/>
      <c r="B306" s="38"/>
      <c r="C306" s="218" t="s">
        <v>551</v>
      </c>
      <c r="D306" s="218" t="s">
        <v>159</v>
      </c>
      <c r="E306" s="219" t="s">
        <v>1907</v>
      </c>
      <c r="F306" s="220" t="s">
        <v>1908</v>
      </c>
      <c r="G306" s="221" t="s">
        <v>216</v>
      </c>
      <c r="H306" s="222">
        <v>2099.75</v>
      </c>
      <c r="I306" s="223"/>
      <c r="J306" s="224">
        <f>ROUND(I306*H306,0)</f>
        <v>0</v>
      </c>
      <c r="K306" s="225"/>
      <c r="L306" s="43"/>
      <c r="M306" s="226" t="s">
        <v>1</v>
      </c>
      <c r="N306" s="227" t="s">
        <v>42</v>
      </c>
      <c r="O306" s="90"/>
      <c r="P306" s="228">
        <f>O306*H306</f>
        <v>0</v>
      </c>
      <c r="Q306" s="228">
        <v>0.00021000000000000001</v>
      </c>
      <c r="R306" s="228">
        <f>Q306*H306</f>
        <v>0.44094749999999999</v>
      </c>
      <c r="S306" s="228">
        <v>0</v>
      </c>
      <c r="T306" s="229">
        <f>S306*H306</f>
        <v>0</v>
      </c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R306" s="230" t="s">
        <v>163</v>
      </c>
      <c r="AT306" s="230" t="s">
        <v>159</v>
      </c>
      <c r="AU306" s="230" t="s">
        <v>86</v>
      </c>
      <c r="AY306" s="16" t="s">
        <v>157</v>
      </c>
      <c r="BE306" s="231">
        <f>IF(N306="základní",J306,0)</f>
        <v>0</v>
      </c>
      <c r="BF306" s="231">
        <f>IF(N306="snížená",J306,0)</f>
        <v>0</v>
      </c>
      <c r="BG306" s="231">
        <f>IF(N306="zákl. přenesená",J306,0)</f>
        <v>0</v>
      </c>
      <c r="BH306" s="231">
        <f>IF(N306="sníž. přenesená",J306,0)</f>
        <v>0</v>
      </c>
      <c r="BI306" s="231">
        <f>IF(N306="nulová",J306,0)</f>
        <v>0</v>
      </c>
      <c r="BJ306" s="16" t="s">
        <v>8</v>
      </c>
      <c r="BK306" s="231">
        <f>ROUND(I306*H306,0)</f>
        <v>0</v>
      </c>
      <c r="BL306" s="16" t="s">
        <v>163</v>
      </c>
      <c r="BM306" s="230" t="s">
        <v>1909</v>
      </c>
    </row>
    <row r="307" s="13" customFormat="1">
      <c r="A307" s="13"/>
      <c r="B307" s="232"/>
      <c r="C307" s="233"/>
      <c r="D307" s="234" t="s">
        <v>165</v>
      </c>
      <c r="E307" s="235" t="s">
        <v>1</v>
      </c>
      <c r="F307" s="236" t="s">
        <v>1910</v>
      </c>
      <c r="G307" s="233"/>
      <c r="H307" s="237">
        <v>2099.75</v>
      </c>
      <c r="I307" s="238"/>
      <c r="J307" s="233"/>
      <c r="K307" s="233"/>
      <c r="L307" s="239"/>
      <c r="M307" s="240"/>
      <c r="N307" s="241"/>
      <c r="O307" s="241"/>
      <c r="P307" s="241"/>
      <c r="Q307" s="241"/>
      <c r="R307" s="241"/>
      <c r="S307" s="241"/>
      <c r="T307" s="242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T307" s="243" t="s">
        <v>165</v>
      </c>
      <c r="AU307" s="243" t="s">
        <v>86</v>
      </c>
      <c r="AV307" s="13" t="s">
        <v>86</v>
      </c>
      <c r="AW307" s="13" t="s">
        <v>32</v>
      </c>
      <c r="AX307" s="13" t="s">
        <v>77</v>
      </c>
      <c r="AY307" s="243" t="s">
        <v>157</v>
      </c>
    </row>
    <row r="308" s="2" customFormat="1" ht="24.15" customHeight="1">
      <c r="A308" s="37"/>
      <c r="B308" s="38"/>
      <c r="C308" s="218" t="s">
        <v>556</v>
      </c>
      <c r="D308" s="218" t="s">
        <v>159</v>
      </c>
      <c r="E308" s="219" t="s">
        <v>1911</v>
      </c>
      <c r="F308" s="220" t="s">
        <v>1912</v>
      </c>
      <c r="G308" s="221" t="s">
        <v>216</v>
      </c>
      <c r="H308" s="222">
        <v>2099.75</v>
      </c>
      <c r="I308" s="223"/>
      <c r="J308" s="224">
        <f>ROUND(I308*H308,0)</f>
        <v>0</v>
      </c>
      <c r="K308" s="225"/>
      <c r="L308" s="43"/>
      <c r="M308" s="226" t="s">
        <v>1</v>
      </c>
      <c r="N308" s="227" t="s">
        <v>42</v>
      </c>
      <c r="O308" s="90"/>
      <c r="P308" s="228">
        <f>O308*H308</f>
        <v>0</v>
      </c>
      <c r="Q308" s="228">
        <v>1.0000000000000001E-05</v>
      </c>
      <c r="R308" s="228">
        <f>Q308*H308</f>
        <v>0.020997500000000002</v>
      </c>
      <c r="S308" s="228">
        <v>0</v>
      </c>
      <c r="T308" s="229">
        <f>S308*H308</f>
        <v>0</v>
      </c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R308" s="230" t="s">
        <v>163</v>
      </c>
      <c r="AT308" s="230" t="s">
        <v>159</v>
      </c>
      <c r="AU308" s="230" t="s">
        <v>86</v>
      </c>
      <c r="AY308" s="16" t="s">
        <v>157</v>
      </c>
      <c r="BE308" s="231">
        <f>IF(N308="základní",J308,0)</f>
        <v>0</v>
      </c>
      <c r="BF308" s="231">
        <f>IF(N308="snížená",J308,0)</f>
        <v>0</v>
      </c>
      <c r="BG308" s="231">
        <f>IF(N308="zákl. přenesená",J308,0)</f>
        <v>0</v>
      </c>
      <c r="BH308" s="231">
        <f>IF(N308="sníž. přenesená",J308,0)</f>
        <v>0</v>
      </c>
      <c r="BI308" s="231">
        <f>IF(N308="nulová",J308,0)</f>
        <v>0</v>
      </c>
      <c r="BJ308" s="16" t="s">
        <v>8</v>
      </c>
      <c r="BK308" s="231">
        <f>ROUND(I308*H308,0)</f>
        <v>0</v>
      </c>
      <c r="BL308" s="16" t="s">
        <v>163</v>
      </c>
      <c r="BM308" s="230" t="s">
        <v>1913</v>
      </c>
    </row>
    <row r="309" s="2" customFormat="1" ht="24.15" customHeight="1">
      <c r="A309" s="37"/>
      <c r="B309" s="38"/>
      <c r="C309" s="218" t="s">
        <v>562</v>
      </c>
      <c r="D309" s="218" t="s">
        <v>159</v>
      </c>
      <c r="E309" s="219" t="s">
        <v>547</v>
      </c>
      <c r="F309" s="220" t="s">
        <v>548</v>
      </c>
      <c r="G309" s="221" t="s">
        <v>162</v>
      </c>
      <c r="H309" s="222">
        <v>1340.31</v>
      </c>
      <c r="I309" s="223"/>
      <c r="J309" s="224">
        <f>ROUND(I309*H309,0)</f>
        <v>0</v>
      </c>
      <c r="K309" s="225"/>
      <c r="L309" s="43"/>
      <c r="M309" s="226" t="s">
        <v>1</v>
      </c>
      <c r="N309" s="227" t="s">
        <v>42</v>
      </c>
      <c r="O309" s="90"/>
      <c r="P309" s="228">
        <f>O309*H309</f>
        <v>0</v>
      </c>
      <c r="Q309" s="228">
        <v>2.1600000000000001</v>
      </c>
      <c r="R309" s="228">
        <f>Q309*H309</f>
        <v>2895.0696000000003</v>
      </c>
      <c r="S309" s="228">
        <v>0</v>
      </c>
      <c r="T309" s="229">
        <f>S309*H309</f>
        <v>0</v>
      </c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R309" s="230" t="s">
        <v>163</v>
      </c>
      <c r="AT309" s="230" t="s">
        <v>159</v>
      </c>
      <c r="AU309" s="230" t="s">
        <v>86</v>
      </c>
      <c r="AY309" s="16" t="s">
        <v>157</v>
      </c>
      <c r="BE309" s="231">
        <f>IF(N309="základní",J309,0)</f>
        <v>0</v>
      </c>
      <c r="BF309" s="231">
        <f>IF(N309="snížená",J309,0)</f>
        <v>0</v>
      </c>
      <c r="BG309" s="231">
        <f>IF(N309="zákl. přenesená",J309,0)</f>
        <v>0</v>
      </c>
      <c r="BH309" s="231">
        <f>IF(N309="sníž. přenesená",J309,0)</f>
        <v>0</v>
      </c>
      <c r="BI309" s="231">
        <f>IF(N309="nulová",J309,0)</f>
        <v>0</v>
      </c>
      <c r="BJ309" s="16" t="s">
        <v>8</v>
      </c>
      <c r="BK309" s="231">
        <f>ROUND(I309*H309,0)</f>
        <v>0</v>
      </c>
      <c r="BL309" s="16" t="s">
        <v>163</v>
      </c>
      <c r="BM309" s="230" t="s">
        <v>1914</v>
      </c>
    </row>
    <row r="310" s="13" customFormat="1">
      <c r="A310" s="13"/>
      <c r="B310" s="232"/>
      <c r="C310" s="233"/>
      <c r="D310" s="234" t="s">
        <v>165</v>
      </c>
      <c r="E310" s="235" t="s">
        <v>1</v>
      </c>
      <c r="F310" s="236" t="s">
        <v>1915</v>
      </c>
      <c r="G310" s="233"/>
      <c r="H310" s="237">
        <v>1340.31</v>
      </c>
      <c r="I310" s="238"/>
      <c r="J310" s="233"/>
      <c r="K310" s="233"/>
      <c r="L310" s="239"/>
      <c r="M310" s="240"/>
      <c r="N310" s="241"/>
      <c r="O310" s="241"/>
      <c r="P310" s="241"/>
      <c r="Q310" s="241"/>
      <c r="R310" s="241"/>
      <c r="S310" s="241"/>
      <c r="T310" s="242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T310" s="243" t="s">
        <v>165</v>
      </c>
      <c r="AU310" s="243" t="s">
        <v>86</v>
      </c>
      <c r="AV310" s="13" t="s">
        <v>86</v>
      </c>
      <c r="AW310" s="13" t="s">
        <v>32</v>
      </c>
      <c r="AX310" s="13" t="s">
        <v>77</v>
      </c>
      <c r="AY310" s="243" t="s">
        <v>157</v>
      </c>
    </row>
    <row r="311" s="2" customFormat="1" ht="24.15" customHeight="1">
      <c r="A311" s="37"/>
      <c r="B311" s="38"/>
      <c r="C311" s="218" t="s">
        <v>571</v>
      </c>
      <c r="D311" s="218" t="s">
        <v>159</v>
      </c>
      <c r="E311" s="219" t="s">
        <v>563</v>
      </c>
      <c r="F311" s="220" t="s">
        <v>564</v>
      </c>
      <c r="G311" s="221" t="s">
        <v>565</v>
      </c>
      <c r="H311" s="222">
        <v>2</v>
      </c>
      <c r="I311" s="223"/>
      <c r="J311" s="224">
        <f>ROUND(I311*H311,0)</f>
        <v>0</v>
      </c>
      <c r="K311" s="225"/>
      <c r="L311" s="43"/>
      <c r="M311" s="226" t="s">
        <v>1</v>
      </c>
      <c r="N311" s="227" t="s">
        <v>42</v>
      </c>
      <c r="O311" s="90"/>
      <c r="P311" s="228">
        <f>O311*H311</f>
        <v>0</v>
      </c>
      <c r="Q311" s="228">
        <v>0.017770000000000001</v>
      </c>
      <c r="R311" s="228">
        <f>Q311*H311</f>
        <v>0.035540000000000002</v>
      </c>
      <c r="S311" s="228">
        <v>0</v>
      </c>
      <c r="T311" s="229">
        <f>S311*H311</f>
        <v>0</v>
      </c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R311" s="230" t="s">
        <v>163</v>
      </c>
      <c r="AT311" s="230" t="s">
        <v>159</v>
      </c>
      <c r="AU311" s="230" t="s">
        <v>86</v>
      </c>
      <c r="AY311" s="16" t="s">
        <v>157</v>
      </c>
      <c r="BE311" s="231">
        <f>IF(N311="základní",J311,0)</f>
        <v>0</v>
      </c>
      <c r="BF311" s="231">
        <f>IF(N311="snížená",J311,0)</f>
        <v>0</v>
      </c>
      <c r="BG311" s="231">
        <f>IF(N311="zákl. přenesená",J311,0)</f>
        <v>0</v>
      </c>
      <c r="BH311" s="231">
        <f>IF(N311="sníž. přenesená",J311,0)</f>
        <v>0</v>
      </c>
      <c r="BI311" s="231">
        <f>IF(N311="nulová",J311,0)</f>
        <v>0</v>
      </c>
      <c r="BJ311" s="16" t="s">
        <v>8</v>
      </c>
      <c r="BK311" s="231">
        <f>ROUND(I311*H311,0)</f>
        <v>0</v>
      </c>
      <c r="BL311" s="16" t="s">
        <v>163</v>
      </c>
      <c r="BM311" s="230" t="s">
        <v>1916</v>
      </c>
    </row>
    <row r="312" s="13" customFormat="1">
      <c r="A312" s="13"/>
      <c r="B312" s="232"/>
      <c r="C312" s="233"/>
      <c r="D312" s="234" t="s">
        <v>165</v>
      </c>
      <c r="E312" s="235" t="s">
        <v>1</v>
      </c>
      <c r="F312" s="236" t="s">
        <v>1917</v>
      </c>
      <c r="G312" s="233"/>
      <c r="H312" s="237">
        <v>2</v>
      </c>
      <c r="I312" s="238"/>
      <c r="J312" s="233"/>
      <c r="K312" s="233"/>
      <c r="L312" s="239"/>
      <c r="M312" s="240"/>
      <c r="N312" s="241"/>
      <c r="O312" s="241"/>
      <c r="P312" s="241"/>
      <c r="Q312" s="241"/>
      <c r="R312" s="241"/>
      <c r="S312" s="241"/>
      <c r="T312" s="242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T312" s="243" t="s">
        <v>165</v>
      </c>
      <c r="AU312" s="243" t="s">
        <v>86</v>
      </c>
      <c r="AV312" s="13" t="s">
        <v>86</v>
      </c>
      <c r="AW312" s="13" t="s">
        <v>32</v>
      </c>
      <c r="AX312" s="13" t="s">
        <v>77</v>
      </c>
      <c r="AY312" s="243" t="s">
        <v>157</v>
      </c>
    </row>
    <row r="313" s="2" customFormat="1" ht="24.15" customHeight="1">
      <c r="A313" s="37"/>
      <c r="B313" s="38"/>
      <c r="C313" s="254" t="s">
        <v>575</v>
      </c>
      <c r="D313" s="254" t="s">
        <v>229</v>
      </c>
      <c r="E313" s="255" t="s">
        <v>1918</v>
      </c>
      <c r="F313" s="256" t="s">
        <v>1919</v>
      </c>
      <c r="G313" s="257" t="s">
        <v>565</v>
      </c>
      <c r="H313" s="258">
        <v>2</v>
      </c>
      <c r="I313" s="259"/>
      <c r="J313" s="260">
        <f>ROUND(I313*H313,0)</f>
        <v>0</v>
      </c>
      <c r="K313" s="261"/>
      <c r="L313" s="262"/>
      <c r="M313" s="263" t="s">
        <v>1</v>
      </c>
      <c r="N313" s="264" t="s">
        <v>42</v>
      </c>
      <c r="O313" s="90"/>
      <c r="P313" s="228">
        <f>O313*H313</f>
        <v>0</v>
      </c>
      <c r="Q313" s="228">
        <v>0.018339999999999999</v>
      </c>
      <c r="R313" s="228">
        <f>Q313*H313</f>
        <v>0.036679999999999997</v>
      </c>
      <c r="S313" s="228">
        <v>0</v>
      </c>
      <c r="T313" s="229">
        <f>S313*H313</f>
        <v>0</v>
      </c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R313" s="230" t="s">
        <v>200</v>
      </c>
      <c r="AT313" s="230" t="s">
        <v>229</v>
      </c>
      <c r="AU313" s="230" t="s">
        <v>86</v>
      </c>
      <c r="AY313" s="16" t="s">
        <v>157</v>
      </c>
      <c r="BE313" s="231">
        <f>IF(N313="základní",J313,0)</f>
        <v>0</v>
      </c>
      <c r="BF313" s="231">
        <f>IF(N313="snížená",J313,0)</f>
        <v>0</v>
      </c>
      <c r="BG313" s="231">
        <f>IF(N313="zákl. přenesená",J313,0)</f>
        <v>0</v>
      </c>
      <c r="BH313" s="231">
        <f>IF(N313="sníž. přenesená",J313,0)</f>
        <v>0</v>
      </c>
      <c r="BI313" s="231">
        <f>IF(N313="nulová",J313,0)</f>
        <v>0</v>
      </c>
      <c r="BJ313" s="16" t="s">
        <v>8</v>
      </c>
      <c r="BK313" s="231">
        <f>ROUND(I313*H313,0)</f>
        <v>0</v>
      </c>
      <c r="BL313" s="16" t="s">
        <v>163</v>
      </c>
      <c r="BM313" s="230" t="s">
        <v>1920</v>
      </c>
    </row>
    <row r="314" s="2" customFormat="1" ht="24.15" customHeight="1">
      <c r="A314" s="37"/>
      <c r="B314" s="38"/>
      <c r="C314" s="218" t="s">
        <v>583</v>
      </c>
      <c r="D314" s="218" t="s">
        <v>159</v>
      </c>
      <c r="E314" s="219" t="s">
        <v>1921</v>
      </c>
      <c r="F314" s="220" t="s">
        <v>1922</v>
      </c>
      <c r="G314" s="221" t="s">
        <v>565</v>
      </c>
      <c r="H314" s="222">
        <v>1</v>
      </c>
      <c r="I314" s="223"/>
      <c r="J314" s="224">
        <f>ROUND(I314*H314,0)</f>
        <v>0</v>
      </c>
      <c r="K314" s="225"/>
      <c r="L314" s="43"/>
      <c r="M314" s="226" t="s">
        <v>1</v>
      </c>
      <c r="N314" s="227" t="s">
        <v>42</v>
      </c>
      <c r="O314" s="90"/>
      <c r="P314" s="228">
        <f>O314*H314</f>
        <v>0</v>
      </c>
      <c r="Q314" s="228">
        <v>0.035319999999999997</v>
      </c>
      <c r="R314" s="228">
        <f>Q314*H314</f>
        <v>0.035319999999999997</v>
      </c>
      <c r="S314" s="228">
        <v>0</v>
      </c>
      <c r="T314" s="229">
        <f>S314*H314</f>
        <v>0</v>
      </c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R314" s="230" t="s">
        <v>163</v>
      </c>
      <c r="AT314" s="230" t="s">
        <v>159</v>
      </c>
      <c r="AU314" s="230" t="s">
        <v>86</v>
      </c>
      <c r="AY314" s="16" t="s">
        <v>157</v>
      </c>
      <c r="BE314" s="231">
        <f>IF(N314="základní",J314,0)</f>
        <v>0</v>
      </c>
      <c r="BF314" s="231">
        <f>IF(N314="snížená",J314,0)</f>
        <v>0</v>
      </c>
      <c r="BG314" s="231">
        <f>IF(N314="zákl. přenesená",J314,0)</f>
        <v>0</v>
      </c>
      <c r="BH314" s="231">
        <f>IF(N314="sníž. přenesená",J314,0)</f>
        <v>0</v>
      </c>
      <c r="BI314" s="231">
        <f>IF(N314="nulová",J314,0)</f>
        <v>0</v>
      </c>
      <c r="BJ314" s="16" t="s">
        <v>8</v>
      </c>
      <c r="BK314" s="231">
        <f>ROUND(I314*H314,0)</f>
        <v>0</v>
      </c>
      <c r="BL314" s="16" t="s">
        <v>163</v>
      </c>
      <c r="BM314" s="230" t="s">
        <v>1923</v>
      </c>
    </row>
    <row r="315" s="13" customFormat="1">
      <c r="A315" s="13"/>
      <c r="B315" s="232"/>
      <c r="C315" s="233"/>
      <c r="D315" s="234" t="s">
        <v>165</v>
      </c>
      <c r="E315" s="235" t="s">
        <v>1</v>
      </c>
      <c r="F315" s="236" t="s">
        <v>1924</v>
      </c>
      <c r="G315" s="233"/>
      <c r="H315" s="237">
        <v>1</v>
      </c>
      <c r="I315" s="238"/>
      <c r="J315" s="233"/>
      <c r="K315" s="233"/>
      <c r="L315" s="239"/>
      <c r="M315" s="240"/>
      <c r="N315" s="241"/>
      <c r="O315" s="241"/>
      <c r="P315" s="241"/>
      <c r="Q315" s="241"/>
      <c r="R315" s="241"/>
      <c r="S315" s="241"/>
      <c r="T315" s="242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T315" s="243" t="s">
        <v>165</v>
      </c>
      <c r="AU315" s="243" t="s">
        <v>86</v>
      </c>
      <c r="AV315" s="13" t="s">
        <v>86</v>
      </c>
      <c r="AW315" s="13" t="s">
        <v>32</v>
      </c>
      <c r="AX315" s="13" t="s">
        <v>77</v>
      </c>
      <c r="AY315" s="243" t="s">
        <v>157</v>
      </c>
    </row>
    <row r="316" s="2" customFormat="1" ht="24.15" customHeight="1">
      <c r="A316" s="37"/>
      <c r="B316" s="38"/>
      <c r="C316" s="254" t="s">
        <v>588</v>
      </c>
      <c r="D316" s="254" t="s">
        <v>229</v>
      </c>
      <c r="E316" s="255" t="s">
        <v>1925</v>
      </c>
      <c r="F316" s="256" t="s">
        <v>1926</v>
      </c>
      <c r="G316" s="257" t="s">
        <v>565</v>
      </c>
      <c r="H316" s="258">
        <v>1</v>
      </c>
      <c r="I316" s="259"/>
      <c r="J316" s="260">
        <f>ROUND(I316*H316,0)</f>
        <v>0</v>
      </c>
      <c r="K316" s="261"/>
      <c r="L316" s="262"/>
      <c r="M316" s="263" t="s">
        <v>1</v>
      </c>
      <c r="N316" s="264" t="s">
        <v>42</v>
      </c>
      <c r="O316" s="90"/>
      <c r="P316" s="228">
        <f>O316*H316</f>
        <v>0</v>
      </c>
      <c r="Q316" s="228">
        <v>0.023099999999999999</v>
      </c>
      <c r="R316" s="228">
        <f>Q316*H316</f>
        <v>0.023099999999999999</v>
      </c>
      <c r="S316" s="228">
        <v>0</v>
      </c>
      <c r="T316" s="229">
        <f>S316*H316</f>
        <v>0</v>
      </c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R316" s="230" t="s">
        <v>200</v>
      </c>
      <c r="AT316" s="230" t="s">
        <v>229</v>
      </c>
      <c r="AU316" s="230" t="s">
        <v>86</v>
      </c>
      <c r="AY316" s="16" t="s">
        <v>157</v>
      </c>
      <c r="BE316" s="231">
        <f>IF(N316="základní",J316,0)</f>
        <v>0</v>
      </c>
      <c r="BF316" s="231">
        <f>IF(N316="snížená",J316,0)</f>
        <v>0</v>
      </c>
      <c r="BG316" s="231">
        <f>IF(N316="zákl. přenesená",J316,0)</f>
        <v>0</v>
      </c>
      <c r="BH316" s="231">
        <f>IF(N316="sníž. přenesená",J316,0)</f>
        <v>0</v>
      </c>
      <c r="BI316" s="231">
        <f>IF(N316="nulová",J316,0)</f>
        <v>0</v>
      </c>
      <c r="BJ316" s="16" t="s">
        <v>8</v>
      </c>
      <c r="BK316" s="231">
        <f>ROUND(I316*H316,0)</f>
        <v>0</v>
      </c>
      <c r="BL316" s="16" t="s">
        <v>163</v>
      </c>
      <c r="BM316" s="230" t="s">
        <v>1927</v>
      </c>
    </row>
    <row r="317" s="12" customFormat="1" ht="22.8" customHeight="1">
      <c r="A317" s="12"/>
      <c r="B317" s="202"/>
      <c r="C317" s="203"/>
      <c r="D317" s="204" t="s">
        <v>76</v>
      </c>
      <c r="E317" s="216" t="s">
        <v>206</v>
      </c>
      <c r="F317" s="216" t="s">
        <v>587</v>
      </c>
      <c r="G317" s="203"/>
      <c r="H317" s="203"/>
      <c r="I317" s="206"/>
      <c r="J317" s="217">
        <f>BK317</f>
        <v>0</v>
      </c>
      <c r="K317" s="203"/>
      <c r="L317" s="208"/>
      <c r="M317" s="209"/>
      <c r="N317" s="210"/>
      <c r="O317" s="210"/>
      <c r="P317" s="211">
        <f>SUM(P318:P329)</f>
        <v>0</v>
      </c>
      <c r="Q317" s="210"/>
      <c r="R317" s="211">
        <f>SUM(R318:R329)</f>
        <v>0.48940500000000003</v>
      </c>
      <c r="S317" s="210"/>
      <c r="T317" s="212">
        <f>SUM(T318:T329)</f>
        <v>0</v>
      </c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R317" s="213" t="s">
        <v>8</v>
      </c>
      <c r="AT317" s="214" t="s">
        <v>76</v>
      </c>
      <c r="AU317" s="214" t="s">
        <v>8</v>
      </c>
      <c r="AY317" s="213" t="s">
        <v>157</v>
      </c>
      <c r="BK317" s="215">
        <f>SUM(BK318:BK329)</f>
        <v>0</v>
      </c>
    </row>
    <row r="318" s="2" customFormat="1" ht="24.15" customHeight="1">
      <c r="A318" s="37"/>
      <c r="B318" s="38"/>
      <c r="C318" s="218" t="s">
        <v>594</v>
      </c>
      <c r="D318" s="218" t="s">
        <v>159</v>
      </c>
      <c r="E318" s="219" t="s">
        <v>1928</v>
      </c>
      <c r="F318" s="220" t="s">
        <v>1929</v>
      </c>
      <c r="G318" s="221" t="s">
        <v>591</v>
      </c>
      <c r="H318" s="222">
        <v>200</v>
      </c>
      <c r="I318" s="223"/>
      <c r="J318" s="224">
        <f>ROUND(I318*H318,0)</f>
        <v>0</v>
      </c>
      <c r="K318" s="225"/>
      <c r="L318" s="43"/>
      <c r="M318" s="226" t="s">
        <v>1</v>
      </c>
      <c r="N318" s="227" t="s">
        <v>42</v>
      </c>
      <c r="O318" s="90"/>
      <c r="P318" s="228">
        <f>O318*H318</f>
        <v>0</v>
      </c>
      <c r="Q318" s="228">
        <v>0</v>
      </c>
      <c r="R318" s="228">
        <f>Q318*H318</f>
        <v>0</v>
      </c>
      <c r="S318" s="228">
        <v>0</v>
      </c>
      <c r="T318" s="229">
        <f>S318*H318</f>
        <v>0</v>
      </c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R318" s="230" t="s">
        <v>163</v>
      </c>
      <c r="AT318" s="230" t="s">
        <v>159</v>
      </c>
      <c r="AU318" s="230" t="s">
        <v>86</v>
      </c>
      <c r="AY318" s="16" t="s">
        <v>157</v>
      </c>
      <c r="BE318" s="231">
        <f>IF(N318="základní",J318,0)</f>
        <v>0</v>
      </c>
      <c r="BF318" s="231">
        <f>IF(N318="snížená",J318,0)</f>
        <v>0</v>
      </c>
      <c r="BG318" s="231">
        <f>IF(N318="zákl. přenesená",J318,0)</f>
        <v>0</v>
      </c>
      <c r="BH318" s="231">
        <f>IF(N318="sníž. přenesená",J318,0)</f>
        <v>0</v>
      </c>
      <c r="BI318" s="231">
        <f>IF(N318="nulová",J318,0)</f>
        <v>0</v>
      </c>
      <c r="BJ318" s="16" t="s">
        <v>8</v>
      </c>
      <c r="BK318" s="231">
        <f>ROUND(I318*H318,0)</f>
        <v>0</v>
      </c>
      <c r="BL318" s="16" t="s">
        <v>163</v>
      </c>
      <c r="BM318" s="230" t="s">
        <v>1930</v>
      </c>
    </row>
    <row r="319" s="13" customFormat="1">
      <c r="A319" s="13"/>
      <c r="B319" s="232"/>
      <c r="C319" s="233"/>
      <c r="D319" s="234" t="s">
        <v>165</v>
      </c>
      <c r="E319" s="235" t="s">
        <v>1</v>
      </c>
      <c r="F319" s="236" t="s">
        <v>1931</v>
      </c>
      <c r="G319" s="233"/>
      <c r="H319" s="237">
        <v>200</v>
      </c>
      <c r="I319" s="238"/>
      <c r="J319" s="233"/>
      <c r="K319" s="233"/>
      <c r="L319" s="239"/>
      <c r="M319" s="240"/>
      <c r="N319" s="241"/>
      <c r="O319" s="241"/>
      <c r="P319" s="241"/>
      <c r="Q319" s="241"/>
      <c r="R319" s="241"/>
      <c r="S319" s="241"/>
      <c r="T319" s="242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T319" s="243" t="s">
        <v>165</v>
      </c>
      <c r="AU319" s="243" t="s">
        <v>86</v>
      </c>
      <c r="AV319" s="13" t="s">
        <v>86</v>
      </c>
      <c r="AW319" s="13" t="s">
        <v>32</v>
      </c>
      <c r="AX319" s="13" t="s">
        <v>77</v>
      </c>
      <c r="AY319" s="243" t="s">
        <v>157</v>
      </c>
    </row>
    <row r="320" s="2" customFormat="1" ht="33" customHeight="1">
      <c r="A320" s="37"/>
      <c r="B320" s="38"/>
      <c r="C320" s="218" t="s">
        <v>599</v>
      </c>
      <c r="D320" s="218" t="s">
        <v>159</v>
      </c>
      <c r="E320" s="219" t="s">
        <v>1932</v>
      </c>
      <c r="F320" s="220" t="s">
        <v>1933</v>
      </c>
      <c r="G320" s="221" t="s">
        <v>565</v>
      </c>
      <c r="H320" s="222">
        <v>3</v>
      </c>
      <c r="I320" s="223"/>
      <c r="J320" s="224">
        <f>ROUND(I320*H320,0)</f>
        <v>0</v>
      </c>
      <c r="K320" s="225"/>
      <c r="L320" s="43"/>
      <c r="M320" s="226" t="s">
        <v>1</v>
      </c>
      <c r="N320" s="227" t="s">
        <v>42</v>
      </c>
      <c r="O320" s="90"/>
      <c r="P320" s="228">
        <f>O320*H320</f>
        <v>0</v>
      </c>
      <c r="Q320" s="228">
        <v>0</v>
      </c>
      <c r="R320" s="228">
        <f>Q320*H320</f>
        <v>0</v>
      </c>
      <c r="S320" s="228">
        <v>0</v>
      </c>
      <c r="T320" s="229">
        <f>S320*H320</f>
        <v>0</v>
      </c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R320" s="230" t="s">
        <v>163</v>
      </c>
      <c r="AT320" s="230" t="s">
        <v>159</v>
      </c>
      <c r="AU320" s="230" t="s">
        <v>86</v>
      </c>
      <c r="AY320" s="16" t="s">
        <v>157</v>
      </c>
      <c r="BE320" s="231">
        <f>IF(N320="základní",J320,0)</f>
        <v>0</v>
      </c>
      <c r="BF320" s="231">
        <f>IF(N320="snížená",J320,0)</f>
        <v>0</v>
      </c>
      <c r="BG320" s="231">
        <f>IF(N320="zákl. přenesená",J320,0)</f>
        <v>0</v>
      </c>
      <c r="BH320" s="231">
        <f>IF(N320="sníž. přenesená",J320,0)</f>
        <v>0</v>
      </c>
      <c r="BI320" s="231">
        <f>IF(N320="nulová",J320,0)</f>
        <v>0</v>
      </c>
      <c r="BJ320" s="16" t="s">
        <v>8</v>
      </c>
      <c r="BK320" s="231">
        <f>ROUND(I320*H320,0)</f>
        <v>0</v>
      </c>
      <c r="BL320" s="16" t="s">
        <v>163</v>
      </c>
      <c r="BM320" s="230" t="s">
        <v>1934</v>
      </c>
    </row>
    <row r="321" s="2" customFormat="1" ht="33" customHeight="1">
      <c r="A321" s="37"/>
      <c r="B321" s="38"/>
      <c r="C321" s="218" t="s">
        <v>606</v>
      </c>
      <c r="D321" s="218" t="s">
        <v>159</v>
      </c>
      <c r="E321" s="219" t="s">
        <v>1935</v>
      </c>
      <c r="F321" s="220" t="s">
        <v>1936</v>
      </c>
      <c r="G321" s="221" t="s">
        <v>565</v>
      </c>
      <c r="H321" s="222">
        <v>90</v>
      </c>
      <c r="I321" s="223"/>
      <c r="J321" s="224">
        <f>ROUND(I321*H321,0)</f>
        <v>0</v>
      </c>
      <c r="K321" s="225"/>
      <c r="L321" s="43"/>
      <c r="M321" s="226" t="s">
        <v>1</v>
      </c>
      <c r="N321" s="227" t="s">
        <v>42</v>
      </c>
      <c r="O321" s="90"/>
      <c r="P321" s="228">
        <f>O321*H321</f>
        <v>0</v>
      </c>
      <c r="Q321" s="228">
        <v>0</v>
      </c>
      <c r="R321" s="228">
        <f>Q321*H321</f>
        <v>0</v>
      </c>
      <c r="S321" s="228">
        <v>0</v>
      </c>
      <c r="T321" s="229">
        <f>S321*H321</f>
        <v>0</v>
      </c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R321" s="230" t="s">
        <v>163</v>
      </c>
      <c r="AT321" s="230" t="s">
        <v>159</v>
      </c>
      <c r="AU321" s="230" t="s">
        <v>86</v>
      </c>
      <c r="AY321" s="16" t="s">
        <v>157</v>
      </c>
      <c r="BE321" s="231">
        <f>IF(N321="základní",J321,0)</f>
        <v>0</v>
      </c>
      <c r="BF321" s="231">
        <f>IF(N321="snížená",J321,0)</f>
        <v>0</v>
      </c>
      <c r="BG321" s="231">
        <f>IF(N321="zákl. přenesená",J321,0)</f>
        <v>0</v>
      </c>
      <c r="BH321" s="231">
        <f>IF(N321="sníž. přenesená",J321,0)</f>
        <v>0</v>
      </c>
      <c r="BI321" s="231">
        <f>IF(N321="nulová",J321,0)</f>
        <v>0</v>
      </c>
      <c r="BJ321" s="16" t="s">
        <v>8</v>
      </c>
      <c r="BK321" s="231">
        <f>ROUND(I321*H321,0)</f>
        <v>0</v>
      </c>
      <c r="BL321" s="16" t="s">
        <v>163</v>
      </c>
      <c r="BM321" s="230" t="s">
        <v>1937</v>
      </c>
    </row>
    <row r="322" s="13" customFormat="1">
      <c r="A322" s="13"/>
      <c r="B322" s="232"/>
      <c r="C322" s="233"/>
      <c r="D322" s="234" t="s">
        <v>165</v>
      </c>
      <c r="E322" s="235" t="s">
        <v>1</v>
      </c>
      <c r="F322" s="236" t="s">
        <v>1938</v>
      </c>
      <c r="G322" s="233"/>
      <c r="H322" s="237">
        <v>90</v>
      </c>
      <c r="I322" s="238"/>
      <c r="J322" s="233"/>
      <c r="K322" s="233"/>
      <c r="L322" s="239"/>
      <c r="M322" s="240"/>
      <c r="N322" s="241"/>
      <c r="O322" s="241"/>
      <c r="P322" s="241"/>
      <c r="Q322" s="241"/>
      <c r="R322" s="241"/>
      <c r="S322" s="241"/>
      <c r="T322" s="242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T322" s="243" t="s">
        <v>165</v>
      </c>
      <c r="AU322" s="243" t="s">
        <v>86</v>
      </c>
      <c r="AV322" s="13" t="s">
        <v>86</v>
      </c>
      <c r="AW322" s="13" t="s">
        <v>32</v>
      </c>
      <c r="AX322" s="13" t="s">
        <v>77</v>
      </c>
      <c r="AY322" s="243" t="s">
        <v>157</v>
      </c>
    </row>
    <row r="323" s="2" customFormat="1" ht="33" customHeight="1">
      <c r="A323" s="37"/>
      <c r="B323" s="38"/>
      <c r="C323" s="218" t="s">
        <v>612</v>
      </c>
      <c r="D323" s="218" t="s">
        <v>159</v>
      </c>
      <c r="E323" s="219" t="s">
        <v>1939</v>
      </c>
      <c r="F323" s="220" t="s">
        <v>1940</v>
      </c>
      <c r="G323" s="221" t="s">
        <v>565</v>
      </c>
      <c r="H323" s="222">
        <v>3</v>
      </c>
      <c r="I323" s="223"/>
      <c r="J323" s="224">
        <f>ROUND(I323*H323,0)</f>
        <v>0</v>
      </c>
      <c r="K323" s="225"/>
      <c r="L323" s="43"/>
      <c r="M323" s="226" t="s">
        <v>1</v>
      </c>
      <c r="N323" s="227" t="s">
        <v>42</v>
      </c>
      <c r="O323" s="90"/>
      <c r="P323" s="228">
        <f>O323*H323</f>
        <v>0</v>
      </c>
      <c r="Q323" s="228">
        <v>0</v>
      </c>
      <c r="R323" s="228">
        <f>Q323*H323</f>
        <v>0</v>
      </c>
      <c r="S323" s="228">
        <v>0</v>
      </c>
      <c r="T323" s="229">
        <f>S323*H323</f>
        <v>0</v>
      </c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R323" s="230" t="s">
        <v>163</v>
      </c>
      <c r="AT323" s="230" t="s">
        <v>159</v>
      </c>
      <c r="AU323" s="230" t="s">
        <v>86</v>
      </c>
      <c r="AY323" s="16" t="s">
        <v>157</v>
      </c>
      <c r="BE323" s="231">
        <f>IF(N323="základní",J323,0)</f>
        <v>0</v>
      </c>
      <c r="BF323" s="231">
        <f>IF(N323="snížená",J323,0)</f>
        <v>0</v>
      </c>
      <c r="BG323" s="231">
        <f>IF(N323="zákl. přenesená",J323,0)</f>
        <v>0</v>
      </c>
      <c r="BH323" s="231">
        <f>IF(N323="sníž. přenesená",J323,0)</f>
        <v>0</v>
      </c>
      <c r="BI323" s="231">
        <f>IF(N323="nulová",J323,0)</f>
        <v>0</v>
      </c>
      <c r="BJ323" s="16" t="s">
        <v>8</v>
      </c>
      <c r="BK323" s="231">
        <f>ROUND(I323*H323,0)</f>
        <v>0</v>
      </c>
      <c r="BL323" s="16" t="s">
        <v>163</v>
      </c>
      <c r="BM323" s="230" t="s">
        <v>1941</v>
      </c>
    </row>
    <row r="324" s="2" customFormat="1" ht="33" customHeight="1">
      <c r="A324" s="37"/>
      <c r="B324" s="38"/>
      <c r="C324" s="218" t="s">
        <v>617</v>
      </c>
      <c r="D324" s="218" t="s">
        <v>159</v>
      </c>
      <c r="E324" s="219" t="s">
        <v>595</v>
      </c>
      <c r="F324" s="220" t="s">
        <v>596</v>
      </c>
      <c r="G324" s="221" t="s">
        <v>209</v>
      </c>
      <c r="H324" s="222">
        <v>281.988</v>
      </c>
      <c r="I324" s="223"/>
      <c r="J324" s="224">
        <f>ROUND(I324*H324,0)</f>
        <v>0</v>
      </c>
      <c r="K324" s="225"/>
      <c r="L324" s="43"/>
      <c r="M324" s="226" t="s">
        <v>1</v>
      </c>
      <c r="N324" s="227" t="s">
        <v>42</v>
      </c>
      <c r="O324" s="90"/>
      <c r="P324" s="228">
        <f>O324*H324</f>
        <v>0</v>
      </c>
      <c r="Q324" s="228">
        <v>0</v>
      </c>
      <c r="R324" s="228">
        <f>Q324*H324</f>
        <v>0</v>
      </c>
      <c r="S324" s="228">
        <v>0</v>
      </c>
      <c r="T324" s="229">
        <f>S324*H324</f>
        <v>0</v>
      </c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R324" s="230" t="s">
        <v>163</v>
      </c>
      <c r="AT324" s="230" t="s">
        <v>159</v>
      </c>
      <c r="AU324" s="230" t="s">
        <v>86</v>
      </c>
      <c r="AY324" s="16" t="s">
        <v>157</v>
      </c>
      <c r="BE324" s="231">
        <f>IF(N324="základní",J324,0)</f>
        <v>0</v>
      </c>
      <c r="BF324" s="231">
        <f>IF(N324="snížená",J324,0)</f>
        <v>0</v>
      </c>
      <c r="BG324" s="231">
        <f>IF(N324="zákl. přenesená",J324,0)</f>
        <v>0</v>
      </c>
      <c r="BH324" s="231">
        <f>IF(N324="sníž. přenesená",J324,0)</f>
        <v>0</v>
      </c>
      <c r="BI324" s="231">
        <f>IF(N324="nulová",J324,0)</f>
        <v>0</v>
      </c>
      <c r="BJ324" s="16" t="s">
        <v>8</v>
      </c>
      <c r="BK324" s="231">
        <f>ROUND(I324*H324,0)</f>
        <v>0</v>
      </c>
      <c r="BL324" s="16" t="s">
        <v>163</v>
      </c>
      <c r="BM324" s="230" t="s">
        <v>1942</v>
      </c>
    </row>
    <row r="325" s="13" customFormat="1">
      <c r="A325" s="13"/>
      <c r="B325" s="232"/>
      <c r="C325" s="233"/>
      <c r="D325" s="234" t="s">
        <v>165</v>
      </c>
      <c r="E325" s="235" t="s">
        <v>1</v>
      </c>
      <c r="F325" s="236" t="s">
        <v>1943</v>
      </c>
      <c r="G325" s="233"/>
      <c r="H325" s="237">
        <v>259.428</v>
      </c>
      <c r="I325" s="238"/>
      <c r="J325" s="233"/>
      <c r="K325" s="233"/>
      <c r="L325" s="239"/>
      <c r="M325" s="240"/>
      <c r="N325" s="241"/>
      <c r="O325" s="241"/>
      <c r="P325" s="241"/>
      <c r="Q325" s="241"/>
      <c r="R325" s="241"/>
      <c r="S325" s="241"/>
      <c r="T325" s="242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T325" s="243" t="s">
        <v>165</v>
      </c>
      <c r="AU325" s="243" t="s">
        <v>86</v>
      </c>
      <c r="AV325" s="13" t="s">
        <v>86</v>
      </c>
      <c r="AW325" s="13" t="s">
        <v>32</v>
      </c>
      <c r="AX325" s="13" t="s">
        <v>77</v>
      </c>
      <c r="AY325" s="243" t="s">
        <v>157</v>
      </c>
    </row>
    <row r="326" s="13" customFormat="1">
      <c r="A326" s="13"/>
      <c r="B326" s="232"/>
      <c r="C326" s="233"/>
      <c r="D326" s="234" t="s">
        <v>165</v>
      </c>
      <c r="E326" s="235" t="s">
        <v>1</v>
      </c>
      <c r="F326" s="236" t="s">
        <v>1944</v>
      </c>
      <c r="G326" s="233"/>
      <c r="H326" s="237">
        <v>22.559999999999999</v>
      </c>
      <c r="I326" s="238"/>
      <c r="J326" s="233"/>
      <c r="K326" s="233"/>
      <c r="L326" s="239"/>
      <c r="M326" s="240"/>
      <c r="N326" s="241"/>
      <c r="O326" s="241"/>
      <c r="P326" s="241"/>
      <c r="Q326" s="241"/>
      <c r="R326" s="241"/>
      <c r="S326" s="241"/>
      <c r="T326" s="242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T326" s="243" t="s">
        <v>165</v>
      </c>
      <c r="AU326" s="243" t="s">
        <v>86</v>
      </c>
      <c r="AV326" s="13" t="s">
        <v>86</v>
      </c>
      <c r="AW326" s="13" t="s">
        <v>32</v>
      </c>
      <c r="AX326" s="13" t="s">
        <v>77</v>
      </c>
      <c r="AY326" s="243" t="s">
        <v>157</v>
      </c>
    </row>
    <row r="327" s="2" customFormat="1" ht="24.15" customHeight="1">
      <c r="A327" s="37"/>
      <c r="B327" s="38"/>
      <c r="C327" s="218" t="s">
        <v>622</v>
      </c>
      <c r="D327" s="218" t="s">
        <v>159</v>
      </c>
      <c r="E327" s="219" t="s">
        <v>1945</v>
      </c>
      <c r="F327" s="220" t="s">
        <v>1946</v>
      </c>
      <c r="G327" s="221" t="s">
        <v>209</v>
      </c>
      <c r="H327" s="222">
        <v>6625.5</v>
      </c>
      <c r="I327" s="223"/>
      <c r="J327" s="224">
        <f>ROUND(I327*H327,0)</f>
        <v>0</v>
      </c>
      <c r="K327" s="225"/>
      <c r="L327" s="43"/>
      <c r="M327" s="226" t="s">
        <v>1</v>
      </c>
      <c r="N327" s="227" t="s">
        <v>42</v>
      </c>
      <c r="O327" s="90"/>
      <c r="P327" s="228">
        <f>O327*H327</f>
        <v>0</v>
      </c>
      <c r="Q327" s="228">
        <v>3.0000000000000001E-05</v>
      </c>
      <c r="R327" s="228">
        <f>Q327*H327</f>
        <v>0.198765</v>
      </c>
      <c r="S327" s="228">
        <v>0</v>
      </c>
      <c r="T327" s="229">
        <f>S327*H327</f>
        <v>0</v>
      </c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R327" s="230" t="s">
        <v>163</v>
      </c>
      <c r="AT327" s="230" t="s">
        <v>159</v>
      </c>
      <c r="AU327" s="230" t="s">
        <v>86</v>
      </c>
      <c r="AY327" s="16" t="s">
        <v>157</v>
      </c>
      <c r="BE327" s="231">
        <f>IF(N327="základní",J327,0)</f>
        <v>0</v>
      </c>
      <c r="BF327" s="231">
        <f>IF(N327="snížená",J327,0)</f>
        <v>0</v>
      </c>
      <c r="BG327" s="231">
        <f>IF(N327="zákl. přenesená",J327,0)</f>
        <v>0</v>
      </c>
      <c r="BH327" s="231">
        <f>IF(N327="sníž. přenesená",J327,0)</f>
        <v>0</v>
      </c>
      <c r="BI327" s="231">
        <f>IF(N327="nulová",J327,0)</f>
        <v>0</v>
      </c>
      <c r="BJ327" s="16" t="s">
        <v>8</v>
      </c>
      <c r="BK327" s="231">
        <f>ROUND(I327*H327,0)</f>
        <v>0</v>
      </c>
      <c r="BL327" s="16" t="s">
        <v>163</v>
      </c>
      <c r="BM327" s="230" t="s">
        <v>1947</v>
      </c>
    </row>
    <row r="328" s="2" customFormat="1" ht="16.5" customHeight="1">
      <c r="A328" s="37"/>
      <c r="B328" s="38"/>
      <c r="C328" s="218" t="s">
        <v>626</v>
      </c>
      <c r="D328" s="218" t="s">
        <v>159</v>
      </c>
      <c r="E328" s="219" t="s">
        <v>623</v>
      </c>
      <c r="F328" s="220" t="s">
        <v>624</v>
      </c>
      <c r="G328" s="221" t="s">
        <v>565</v>
      </c>
      <c r="H328" s="222">
        <v>24</v>
      </c>
      <c r="I328" s="223"/>
      <c r="J328" s="224">
        <f>ROUND(I328*H328,0)</f>
        <v>0</v>
      </c>
      <c r="K328" s="225"/>
      <c r="L328" s="43"/>
      <c r="M328" s="226" t="s">
        <v>1</v>
      </c>
      <c r="N328" s="227" t="s">
        <v>42</v>
      </c>
      <c r="O328" s="90"/>
      <c r="P328" s="228">
        <f>O328*H328</f>
        <v>0</v>
      </c>
      <c r="Q328" s="228">
        <v>0.00011</v>
      </c>
      <c r="R328" s="228">
        <f>Q328*H328</f>
        <v>0.00264</v>
      </c>
      <c r="S328" s="228">
        <v>0</v>
      </c>
      <c r="T328" s="229">
        <f>S328*H328</f>
        <v>0</v>
      </c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R328" s="230" t="s">
        <v>163</v>
      </c>
      <c r="AT328" s="230" t="s">
        <v>159</v>
      </c>
      <c r="AU328" s="230" t="s">
        <v>86</v>
      </c>
      <c r="AY328" s="16" t="s">
        <v>157</v>
      </c>
      <c r="BE328" s="231">
        <f>IF(N328="základní",J328,0)</f>
        <v>0</v>
      </c>
      <c r="BF328" s="231">
        <f>IF(N328="snížená",J328,0)</f>
        <v>0</v>
      </c>
      <c r="BG328" s="231">
        <f>IF(N328="zákl. přenesená",J328,0)</f>
        <v>0</v>
      </c>
      <c r="BH328" s="231">
        <f>IF(N328="sníž. přenesená",J328,0)</f>
        <v>0</v>
      </c>
      <c r="BI328" s="231">
        <f>IF(N328="nulová",J328,0)</f>
        <v>0</v>
      </c>
      <c r="BJ328" s="16" t="s">
        <v>8</v>
      </c>
      <c r="BK328" s="231">
        <f>ROUND(I328*H328,0)</f>
        <v>0</v>
      </c>
      <c r="BL328" s="16" t="s">
        <v>163</v>
      </c>
      <c r="BM328" s="230" t="s">
        <v>1948</v>
      </c>
    </row>
    <row r="329" s="2" customFormat="1" ht="24.15" customHeight="1">
      <c r="A329" s="37"/>
      <c r="B329" s="38"/>
      <c r="C329" s="254" t="s">
        <v>632</v>
      </c>
      <c r="D329" s="254" t="s">
        <v>229</v>
      </c>
      <c r="E329" s="255" t="s">
        <v>1949</v>
      </c>
      <c r="F329" s="256" t="s">
        <v>1950</v>
      </c>
      <c r="G329" s="257" t="s">
        <v>565</v>
      </c>
      <c r="H329" s="258">
        <v>24</v>
      </c>
      <c r="I329" s="259"/>
      <c r="J329" s="260">
        <f>ROUND(I329*H329,0)</f>
        <v>0</v>
      </c>
      <c r="K329" s="261"/>
      <c r="L329" s="262"/>
      <c r="M329" s="263" t="s">
        <v>1</v>
      </c>
      <c r="N329" s="264" t="s">
        <v>42</v>
      </c>
      <c r="O329" s="90"/>
      <c r="P329" s="228">
        <f>O329*H329</f>
        <v>0</v>
      </c>
      <c r="Q329" s="228">
        <v>0.012</v>
      </c>
      <c r="R329" s="228">
        <f>Q329*H329</f>
        <v>0.28800000000000003</v>
      </c>
      <c r="S329" s="228">
        <v>0</v>
      </c>
      <c r="T329" s="229">
        <f>S329*H329</f>
        <v>0</v>
      </c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R329" s="230" t="s">
        <v>200</v>
      </c>
      <c r="AT329" s="230" t="s">
        <v>229</v>
      </c>
      <c r="AU329" s="230" t="s">
        <v>86</v>
      </c>
      <c r="AY329" s="16" t="s">
        <v>157</v>
      </c>
      <c r="BE329" s="231">
        <f>IF(N329="základní",J329,0)</f>
        <v>0</v>
      </c>
      <c r="BF329" s="231">
        <f>IF(N329="snížená",J329,0)</f>
        <v>0</v>
      </c>
      <c r="BG329" s="231">
        <f>IF(N329="zákl. přenesená",J329,0)</f>
        <v>0</v>
      </c>
      <c r="BH329" s="231">
        <f>IF(N329="sníž. přenesená",J329,0)</f>
        <v>0</v>
      </c>
      <c r="BI329" s="231">
        <f>IF(N329="nulová",J329,0)</f>
        <v>0</v>
      </c>
      <c r="BJ329" s="16" t="s">
        <v>8</v>
      </c>
      <c r="BK329" s="231">
        <f>ROUND(I329*H329,0)</f>
        <v>0</v>
      </c>
      <c r="BL329" s="16" t="s">
        <v>163</v>
      </c>
      <c r="BM329" s="230" t="s">
        <v>1951</v>
      </c>
    </row>
    <row r="330" s="12" customFormat="1" ht="22.8" customHeight="1">
      <c r="A330" s="12"/>
      <c r="B330" s="202"/>
      <c r="C330" s="203"/>
      <c r="D330" s="204" t="s">
        <v>76</v>
      </c>
      <c r="E330" s="216" t="s">
        <v>630</v>
      </c>
      <c r="F330" s="216" t="s">
        <v>631</v>
      </c>
      <c r="G330" s="203"/>
      <c r="H330" s="203"/>
      <c r="I330" s="206"/>
      <c r="J330" s="217">
        <f>BK330</f>
        <v>0</v>
      </c>
      <c r="K330" s="203"/>
      <c r="L330" s="208"/>
      <c r="M330" s="209"/>
      <c r="N330" s="210"/>
      <c r="O330" s="210"/>
      <c r="P330" s="211">
        <f>P331</f>
        <v>0</v>
      </c>
      <c r="Q330" s="210"/>
      <c r="R330" s="211">
        <f>R331</f>
        <v>0</v>
      </c>
      <c r="S330" s="210"/>
      <c r="T330" s="212">
        <f>T331</f>
        <v>0</v>
      </c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R330" s="213" t="s">
        <v>8</v>
      </c>
      <c r="AT330" s="214" t="s">
        <v>76</v>
      </c>
      <c r="AU330" s="214" t="s">
        <v>8</v>
      </c>
      <c r="AY330" s="213" t="s">
        <v>157</v>
      </c>
      <c r="BK330" s="215">
        <f>BK331</f>
        <v>0</v>
      </c>
    </row>
    <row r="331" s="2" customFormat="1" ht="24.15" customHeight="1">
      <c r="A331" s="37"/>
      <c r="B331" s="38"/>
      <c r="C331" s="218" t="s">
        <v>640</v>
      </c>
      <c r="D331" s="218" t="s">
        <v>159</v>
      </c>
      <c r="E331" s="219" t="s">
        <v>1952</v>
      </c>
      <c r="F331" s="220" t="s">
        <v>1953</v>
      </c>
      <c r="G331" s="221" t="s">
        <v>193</v>
      </c>
      <c r="H331" s="222">
        <v>14541.567999999999</v>
      </c>
      <c r="I331" s="223"/>
      <c r="J331" s="224">
        <f>ROUND(I331*H331,0)</f>
        <v>0</v>
      </c>
      <c r="K331" s="225"/>
      <c r="L331" s="43"/>
      <c r="M331" s="226" t="s">
        <v>1</v>
      </c>
      <c r="N331" s="227" t="s">
        <v>42</v>
      </c>
      <c r="O331" s="90"/>
      <c r="P331" s="228">
        <f>O331*H331</f>
        <v>0</v>
      </c>
      <c r="Q331" s="228">
        <v>0</v>
      </c>
      <c r="R331" s="228">
        <f>Q331*H331</f>
        <v>0</v>
      </c>
      <c r="S331" s="228">
        <v>0</v>
      </c>
      <c r="T331" s="229">
        <f>S331*H331</f>
        <v>0</v>
      </c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R331" s="230" t="s">
        <v>163</v>
      </c>
      <c r="AT331" s="230" t="s">
        <v>159</v>
      </c>
      <c r="AU331" s="230" t="s">
        <v>86</v>
      </c>
      <c r="AY331" s="16" t="s">
        <v>157</v>
      </c>
      <c r="BE331" s="231">
        <f>IF(N331="základní",J331,0)</f>
        <v>0</v>
      </c>
      <c r="BF331" s="231">
        <f>IF(N331="snížená",J331,0)</f>
        <v>0</v>
      </c>
      <c r="BG331" s="231">
        <f>IF(N331="zákl. přenesená",J331,0)</f>
        <v>0</v>
      </c>
      <c r="BH331" s="231">
        <f>IF(N331="sníž. přenesená",J331,0)</f>
        <v>0</v>
      </c>
      <c r="BI331" s="231">
        <f>IF(N331="nulová",J331,0)</f>
        <v>0</v>
      </c>
      <c r="BJ331" s="16" t="s">
        <v>8</v>
      </c>
      <c r="BK331" s="231">
        <f>ROUND(I331*H331,0)</f>
        <v>0</v>
      </c>
      <c r="BL331" s="16" t="s">
        <v>163</v>
      </c>
      <c r="BM331" s="230" t="s">
        <v>1954</v>
      </c>
    </row>
    <row r="332" s="12" customFormat="1" ht="25.92" customHeight="1">
      <c r="A332" s="12"/>
      <c r="B332" s="202"/>
      <c r="C332" s="203"/>
      <c r="D332" s="204" t="s">
        <v>76</v>
      </c>
      <c r="E332" s="205" t="s">
        <v>636</v>
      </c>
      <c r="F332" s="205" t="s">
        <v>637</v>
      </c>
      <c r="G332" s="203"/>
      <c r="H332" s="203"/>
      <c r="I332" s="206"/>
      <c r="J332" s="207">
        <f>BK332</f>
        <v>0</v>
      </c>
      <c r="K332" s="203"/>
      <c r="L332" s="208"/>
      <c r="M332" s="209"/>
      <c r="N332" s="210"/>
      <c r="O332" s="210"/>
      <c r="P332" s="211">
        <f>P333+P351+P375+P393+P405+P441</f>
        <v>0</v>
      </c>
      <c r="Q332" s="210"/>
      <c r="R332" s="211">
        <f>R333+R351+R375+R393+R405+R441</f>
        <v>361.18558774999997</v>
      </c>
      <c r="S332" s="210"/>
      <c r="T332" s="212">
        <f>T333+T351+T375+T393+T405+T441</f>
        <v>0</v>
      </c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R332" s="213" t="s">
        <v>86</v>
      </c>
      <c r="AT332" s="214" t="s">
        <v>76</v>
      </c>
      <c r="AU332" s="214" t="s">
        <v>77</v>
      </c>
      <c r="AY332" s="213" t="s">
        <v>157</v>
      </c>
      <c r="BK332" s="215">
        <f>BK333+BK351+BK375+BK393+BK405+BK441</f>
        <v>0</v>
      </c>
    </row>
    <row r="333" s="12" customFormat="1" ht="22.8" customHeight="1">
      <c r="A333" s="12"/>
      <c r="B333" s="202"/>
      <c r="C333" s="203"/>
      <c r="D333" s="204" t="s">
        <v>76</v>
      </c>
      <c r="E333" s="216" t="s">
        <v>638</v>
      </c>
      <c r="F333" s="216" t="s">
        <v>639</v>
      </c>
      <c r="G333" s="203"/>
      <c r="H333" s="203"/>
      <c r="I333" s="206"/>
      <c r="J333" s="217">
        <f>BK333</f>
        <v>0</v>
      </c>
      <c r="K333" s="203"/>
      <c r="L333" s="208"/>
      <c r="M333" s="209"/>
      <c r="N333" s="210"/>
      <c r="O333" s="210"/>
      <c r="P333" s="211">
        <f>SUM(P334:P350)</f>
        <v>0</v>
      </c>
      <c r="Q333" s="210"/>
      <c r="R333" s="211">
        <f>SUM(R334:R350)</f>
        <v>27.766950290000004</v>
      </c>
      <c r="S333" s="210"/>
      <c r="T333" s="212">
        <f>SUM(T334:T350)</f>
        <v>0</v>
      </c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R333" s="213" t="s">
        <v>86</v>
      </c>
      <c r="AT333" s="214" t="s">
        <v>76</v>
      </c>
      <c r="AU333" s="214" t="s">
        <v>8</v>
      </c>
      <c r="AY333" s="213" t="s">
        <v>157</v>
      </c>
      <c r="BK333" s="215">
        <f>SUM(BK334:BK350)</f>
        <v>0</v>
      </c>
    </row>
    <row r="334" s="2" customFormat="1" ht="24.15" customHeight="1">
      <c r="A334" s="37"/>
      <c r="B334" s="38"/>
      <c r="C334" s="218" t="s">
        <v>646</v>
      </c>
      <c r="D334" s="218" t="s">
        <v>159</v>
      </c>
      <c r="E334" s="219" t="s">
        <v>1955</v>
      </c>
      <c r="F334" s="220" t="s">
        <v>1956</v>
      </c>
      <c r="G334" s="221" t="s">
        <v>209</v>
      </c>
      <c r="H334" s="222">
        <v>392.14800000000002</v>
      </c>
      <c r="I334" s="223"/>
      <c r="J334" s="224">
        <f>ROUND(I334*H334,0)</f>
        <v>0</v>
      </c>
      <c r="K334" s="225"/>
      <c r="L334" s="43"/>
      <c r="M334" s="226" t="s">
        <v>1</v>
      </c>
      <c r="N334" s="227" t="s">
        <v>42</v>
      </c>
      <c r="O334" s="90"/>
      <c r="P334" s="228">
        <f>O334*H334</f>
        <v>0</v>
      </c>
      <c r="Q334" s="228">
        <v>0.00040000000000000002</v>
      </c>
      <c r="R334" s="228">
        <f>Q334*H334</f>
        <v>0.1568592</v>
      </c>
      <c r="S334" s="228">
        <v>0</v>
      </c>
      <c r="T334" s="229">
        <f>S334*H334</f>
        <v>0</v>
      </c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R334" s="230" t="s">
        <v>246</v>
      </c>
      <c r="AT334" s="230" t="s">
        <v>159</v>
      </c>
      <c r="AU334" s="230" t="s">
        <v>86</v>
      </c>
      <c r="AY334" s="16" t="s">
        <v>157</v>
      </c>
      <c r="BE334" s="231">
        <f>IF(N334="základní",J334,0)</f>
        <v>0</v>
      </c>
      <c r="BF334" s="231">
        <f>IF(N334="snížená",J334,0)</f>
        <v>0</v>
      </c>
      <c r="BG334" s="231">
        <f>IF(N334="zákl. přenesená",J334,0)</f>
        <v>0</v>
      </c>
      <c r="BH334" s="231">
        <f>IF(N334="sníž. přenesená",J334,0)</f>
        <v>0</v>
      </c>
      <c r="BI334" s="231">
        <f>IF(N334="nulová",J334,0)</f>
        <v>0</v>
      </c>
      <c r="BJ334" s="16" t="s">
        <v>8</v>
      </c>
      <c r="BK334" s="231">
        <f>ROUND(I334*H334,0)</f>
        <v>0</v>
      </c>
      <c r="BL334" s="16" t="s">
        <v>246</v>
      </c>
      <c r="BM334" s="230" t="s">
        <v>1957</v>
      </c>
    </row>
    <row r="335" s="13" customFormat="1">
      <c r="A335" s="13"/>
      <c r="B335" s="232"/>
      <c r="C335" s="233"/>
      <c r="D335" s="234" t="s">
        <v>165</v>
      </c>
      <c r="E335" s="235" t="s">
        <v>1</v>
      </c>
      <c r="F335" s="236" t="s">
        <v>1874</v>
      </c>
      <c r="G335" s="233"/>
      <c r="H335" s="237">
        <v>392.14800000000002</v>
      </c>
      <c r="I335" s="238"/>
      <c r="J335" s="233"/>
      <c r="K335" s="233"/>
      <c r="L335" s="239"/>
      <c r="M335" s="240"/>
      <c r="N335" s="241"/>
      <c r="O335" s="241"/>
      <c r="P335" s="241"/>
      <c r="Q335" s="241"/>
      <c r="R335" s="241"/>
      <c r="S335" s="241"/>
      <c r="T335" s="242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T335" s="243" t="s">
        <v>165</v>
      </c>
      <c r="AU335" s="243" t="s">
        <v>86</v>
      </c>
      <c r="AV335" s="13" t="s">
        <v>86</v>
      </c>
      <c r="AW335" s="13" t="s">
        <v>32</v>
      </c>
      <c r="AX335" s="13" t="s">
        <v>77</v>
      </c>
      <c r="AY335" s="243" t="s">
        <v>157</v>
      </c>
    </row>
    <row r="336" s="2" customFormat="1" ht="24.15" customHeight="1">
      <c r="A336" s="37"/>
      <c r="B336" s="38"/>
      <c r="C336" s="218" t="s">
        <v>652</v>
      </c>
      <c r="D336" s="218" t="s">
        <v>159</v>
      </c>
      <c r="E336" s="219" t="s">
        <v>664</v>
      </c>
      <c r="F336" s="220" t="s">
        <v>665</v>
      </c>
      <c r="G336" s="221" t="s">
        <v>209</v>
      </c>
      <c r="H336" s="222">
        <v>6701.5500000000002</v>
      </c>
      <c r="I336" s="223"/>
      <c r="J336" s="224">
        <f>ROUND(I336*H336,0)</f>
        <v>0</v>
      </c>
      <c r="K336" s="225"/>
      <c r="L336" s="43"/>
      <c r="M336" s="226" t="s">
        <v>1</v>
      </c>
      <c r="N336" s="227" t="s">
        <v>42</v>
      </c>
      <c r="O336" s="90"/>
      <c r="P336" s="228">
        <f>O336*H336</f>
        <v>0</v>
      </c>
      <c r="Q336" s="228">
        <v>3.0000000000000001E-05</v>
      </c>
      <c r="R336" s="228">
        <f>Q336*H336</f>
        <v>0.20104650000000002</v>
      </c>
      <c r="S336" s="228">
        <v>0</v>
      </c>
      <c r="T336" s="229">
        <f>S336*H336</f>
        <v>0</v>
      </c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R336" s="230" t="s">
        <v>246</v>
      </c>
      <c r="AT336" s="230" t="s">
        <v>159</v>
      </c>
      <c r="AU336" s="230" t="s">
        <v>86</v>
      </c>
      <c r="AY336" s="16" t="s">
        <v>157</v>
      </c>
      <c r="BE336" s="231">
        <f>IF(N336="základní",J336,0)</f>
        <v>0</v>
      </c>
      <c r="BF336" s="231">
        <f>IF(N336="snížená",J336,0)</f>
        <v>0</v>
      </c>
      <c r="BG336" s="231">
        <f>IF(N336="zákl. přenesená",J336,0)</f>
        <v>0</v>
      </c>
      <c r="BH336" s="231">
        <f>IF(N336="sníž. přenesená",J336,0)</f>
        <v>0</v>
      </c>
      <c r="BI336" s="231">
        <f>IF(N336="nulová",J336,0)</f>
        <v>0</v>
      </c>
      <c r="BJ336" s="16" t="s">
        <v>8</v>
      </c>
      <c r="BK336" s="231">
        <f>ROUND(I336*H336,0)</f>
        <v>0</v>
      </c>
      <c r="BL336" s="16" t="s">
        <v>246</v>
      </c>
      <c r="BM336" s="230" t="s">
        <v>1958</v>
      </c>
    </row>
    <row r="337" s="13" customFormat="1">
      <c r="A337" s="13"/>
      <c r="B337" s="232"/>
      <c r="C337" s="233"/>
      <c r="D337" s="234" t="s">
        <v>165</v>
      </c>
      <c r="E337" s="235" t="s">
        <v>1</v>
      </c>
      <c r="F337" s="236" t="s">
        <v>1959</v>
      </c>
      <c r="G337" s="233"/>
      <c r="H337" s="237">
        <v>6701.5500000000002</v>
      </c>
      <c r="I337" s="238"/>
      <c r="J337" s="233"/>
      <c r="K337" s="233"/>
      <c r="L337" s="239"/>
      <c r="M337" s="240"/>
      <c r="N337" s="241"/>
      <c r="O337" s="241"/>
      <c r="P337" s="241"/>
      <c r="Q337" s="241"/>
      <c r="R337" s="241"/>
      <c r="S337" s="241"/>
      <c r="T337" s="242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T337" s="243" t="s">
        <v>165</v>
      </c>
      <c r="AU337" s="243" t="s">
        <v>86</v>
      </c>
      <c r="AV337" s="13" t="s">
        <v>86</v>
      </c>
      <c r="AW337" s="13" t="s">
        <v>32</v>
      </c>
      <c r="AX337" s="13" t="s">
        <v>77</v>
      </c>
      <c r="AY337" s="243" t="s">
        <v>157</v>
      </c>
    </row>
    <row r="338" s="2" customFormat="1" ht="24.15" customHeight="1">
      <c r="A338" s="37"/>
      <c r="B338" s="38"/>
      <c r="C338" s="218" t="s">
        <v>658</v>
      </c>
      <c r="D338" s="218" t="s">
        <v>159</v>
      </c>
      <c r="E338" s="219" t="s">
        <v>668</v>
      </c>
      <c r="F338" s="220" t="s">
        <v>669</v>
      </c>
      <c r="G338" s="221" t="s">
        <v>209</v>
      </c>
      <c r="H338" s="222">
        <v>972.00099999999998</v>
      </c>
      <c r="I338" s="223"/>
      <c r="J338" s="224">
        <f>ROUND(I338*H338,0)</f>
        <v>0</v>
      </c>
      <c r="K338" s="225"/>
      <c r="L338" s="43"/>
      <c r="M338" s="226" t="s">
        <v>1</v>
      </c>
      <c r="N338" s="227" t="s">
        <v>42</v>
      </c>
      <c r="O338" s="90"/>
      <c r="P338" s="228">
        <f>O338*H338</f>
        <v>0</v>
      </c>
      <c r="Q338" s="228">
        <v>5.0000000000000002E-05</v>
      </c>
      <c r="R338" s="228">
        <f>Q338*H338</f>
        <v>0.048600049999999999</v>
      </c>
      <c r="S338" s="228">
        <v>0</v>
      </c>
      <c r="T338" s="229">
        <f>S338*H338</f>
        <v>0</v>
      </c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R338" s="230" t="s">
        <v>246</v>
      </c>
      <c r="AT338" s="230" t="s">
        <v>159</v>
      </c>
      <c r="AU338" s="230" t="s">
        <v>86</v>
      </c>
      <c r="AY338" s="16" t="s">
        <v>157</v>
      </c>
      <c r="BE338" s="231">
        <f>IF(N338="základní",J338,0)</f>
        <v>0</v>
      </c>
      <c r="BF338" s="231">
        <f>IF(N338="snížená",J338,0)</f>
        <v>0</v>
      </c>
      <c r="BG338" s="231">
        <f>IF(N338="zákl. přenesená",J338,0)</f>
        <v>0</v>
      </c>
      <c r="BH338" s="231">
        <f>IF(N338="sníž. přenesená",J338,0)</f>
        <v>0</v>
      </c>
      <c r="BI338" s="231">
        <f>IF(N338="nulová",J338,0)</f>
        <v>0</v>
      </c>
      <c r="BJ338" s="16" t="s">
        <v>8</v>
      </c>
      <c r="BK338" s="231">
        <f>ROUND(I338*H338,0)</f>
        <v>0</v>
      </c>
      <c r="BL338" s="16" t="s">
        <v>246</v>
      </c>
      <c r="BM338" s="230" t="s">
        <v>1960</v>
      </c>
    </row>
    <row r="339" s="13" customFormat="1">
      <c r="A339" s="13"/>
      <c r="B339" s="232"/>
      <c r="C339" s="233"/>
      <c r="D339" s="234" t="s">
        <v>165</v>
      </c>
      <c r="E339" s="235" t="s">
        <v>1</v>
      </c>
      <c r="F339" s="236" t="s">
        <v>1961</v>
      </c>
      <c r="G339" s="233"/>
      <c r="H339" s="237">
        <v>972.00099999999998</v>
      </c>
      <c r="I339" s="238"/>
      <c r="J339" s="233"/>
      <c r="K339" s="233"/>
      <c r="L339" s="239"/>
      <c r="M339" s="240"/>
      <c r="N339" s="241"/>
      <c r="O339" s="241"/>
      <c r="P339" s="241"/>
      <c r="Q339" s="241"/>
      <c r="R339" s="241"/>
      <c r="S339" s="241"/>
      <c r="T339" s="242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T339" s="243" t="s">
        <v>165</v>
      </c>
      <c r="AU339" s="243" t="s">
        <v>86</v>
      </c>
      <c r="AV339" s="13" t="s">
        <v>86</v>
      </c>
      <c r="AW339" s="13" t="s">
        <v>32</v>
      </c>
      <c r="AX339" s="13" t="s">
        <v>77</v>
      </c>
      <c r="AY339" s="243" t="s">
        <v>157</v>
      </c>
    </row>
    <row r="340" s="2" customFormat="1" ht="21.75" customHeight="1">
      <c r="A340" s="37"/>
      <c r="B340" s="38"/>
      <c r="C340" s="254" t="s">
        <v>663</v>
      </c>
      <c r="D340" s="254" t="s">
        <v>229</v>
      </c>
      <c r="E340" s="255" t="s">
        <v>673</v>
      </c>
      <c r="F340" s="256" t="s">
        <v>674</v>
      </c>
      <c r="G340" s="257" t="s">
        <v>209</v>
      </c>
      <c r="H340" s="258">
        <v>7673.5510000000004</v>
      </c>
      <c r="I340" s="259"/>
      <c r="J340" s="260">
        <f>ROUND(I340*H340,0)</f>
        <v>0</v>
      </c>
      <c r="K340" s="261"/>
      <c r="L340" s="262"/>
      <c r="M340" s="263" t="s">
        <v>1</v>
      </c>
      <c r="N340" s="264" t="s">
        <v>42</v>
      </c>
      <c r="O340" s="90"/>
      <c r="P340" s="228">
        <f>O340*H340</f>
        <v>0</v>
      </c>
      <c r="Q340" s="228">
        <v>0.0025400000000000002</v>
      </c>
      <c r="R340" s="228">
        <f>Q340*H340</f>
        <v>19.490819540000004</v>
      </c>
      <c r="S340" s="228">
        <v>0</v>
      </c>
      <c r="T340" s="229">
        <f>S340*H340</f>
        <v>0</v>
      </c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R340" s="230" t="s">
        <v>329</v>
      </c>
      <c r="AT340" s="230" t="s">
        <v>229</v>
      </c>
      <c r="AU340" s="230" t="s">
        <v>86</v>
      </c>
      <c r="AY340" s="16" t="s">
        <v>157</v>
      </c>
      <c r="BE340" s="231">
        <f>IF(N340="základní",J340,0)</f>
        <v>0</v>
      </c>
      <c r="BF340" s="231">
        <f>IF(N340="snížená",J340,0)</f>
        <v>0</v>
      </c>
      <c r="BG340" s="231">
        <f>IF(N340="zákl. přenesená",J340,0)</f>
        <v>0</v>
      </c>
      <c r="BH340" s="231">
        <f>IF(N340="sníž. přenesená",J340,0)</f>
        <v>0</v>
      </c>
      <c r="BI340" s="231">
        <f>IF(N340="nulová",J340,0)</f>
        <v>0</v>
      </c>
      <c r="BJ340" s="16" t="s">
        <v>8</v>
      </c>
      <c r="BK340" s="231">
        <f>ROUND(I340*H340,0)</f>
        <v>0</v>
      </c>
      <c r="BL340" s="16" t="s">
        <v>246</v>
      </c>
      <c r="BM340" s="230" t="s">
        <v>1962</v>
      </c>
    </row>
    <row r="341" s="13" customFormat="1">
      <c r="A341" s="13"/>
      <c r="B341" s="232"/>
      <c r="C341" s="233"/>
      <c r="D341" s="234" t="s">
        <v>165</v>
      </c>
      <c r="E341" s="235" t="s">
        <v>1</v>
      </c>
      <c r="F341" s="236" t="s">
        <v>1963</v>
      </c>
      <c r="G341" s="233"/>
      <c r="H341" s="237">
        <v>7673.5510000000004</v>
      </c>
      <c r="I341" s="238"/>
      <c r="J341" s="233"/>
      <c r="K341" s="233"/>
      <c r="L341" s="239"/>
      <c r="M341" s="240"/>
      <c r="N341" s="241"/>
      <c r="O341" s="241"/>
      <c r="P341" s="241"/>
      <c r="Q341" s="241"/>
      <c r="R341" s="241"/>
      <c r="S341" s="241"/>
      <c r="T341" s="242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T341" s="243" t="s">
        <v>165</v>
      </c>
      <c r="AU341" s="243" t="s">
        <v>86</v>
      </c>
      <c r="AV341" s="13" t="s">
        <v>86</v>
      </c>
      <c r="AW341" s="13" t="s">
        <v>32</v>
      </c>
      <c r="AX341" s="13" t="s">
        <v>8</v>
      </c>
      <c r="AY341" s="243" t="s">
        <v>157</v>
      </c>
    </row>
    <row r="342" s="2" customFormat="1" ht="24.15" customHeight="1">
      <c r="A342" s="37"/>
      <c r="B342" s="38"/>
      <c r="C342" s="218" t="s">
        <v>667</v>
      </c>
      <c r="D342" s="218" t="s">
        <v>159</v>
      </c>
      <c r="E342" s="219" t="s">
        <v>678</v>
      </c>
      <c r="F342" s="220" t="s">
        <v>679</v>
      </c>
      <c r="G342" s="221" t="s">
        <v>209</v>
      </c>
      <c r="H342" s="222">
        <v>6701.5500000000002</v>
      </c>
      <c r="I342" s="223"/>
      <c r="J342" s="224">
        <f>ROUND(I342*H342,0)</f>
        <v>0</v>
      </c>
      <c r="K342" s="225"/>
      <c r="L342" s="43"/>
      <c r="M342" s="226" t="s">
        <v>1</v>
      </c>
      <c r="N342" s="227" t="s">
        <v>42</v>
      </c>
      <c r="O342" s="90"/>
      <c r="P342" s="228">
        <f>O342*H342</f>
        <v>0</v>
      </c>
      <c r="Q342" s="228">
        <v>0</v>
      </c>
      <c r="R342" s="228">
        <f>Q342*H342</f>
        <v>0</v>
      </c>
      <c r="S342" s="228">
        <v>0</v>
      </c>
      <c r="T342" s="229">
        <f>S342*H342</f>
        <v>0</v>
      </c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R342" s="230" t="s">
        <v>246</v>
      </c>
      <c r="AT342" s="230" t="s">
        <v>159</v>
      </c>
      <c r="AU342" s="230" t="s">
        <v>86</v>
      </c>
      <c r="AY342" s="16" t="s">
        <v>157</v>
      </c>
      <c r="BE342" s="231">
        <f>IF(N342="základní",J342,0)</f>
        <v>0</v>
      </c>
      <c r="BF342" s="231">
        <f>IF(N342="snížená",J342,0)</f>
        <v>0</v>
      </c>
      <c r="BG342" s="231">
        <f>IF(N342="zákl. přenesená",J342,0)</f>
        <v>0</v>
      </c>
      <c r="BH342" s="231">
        <f>IF(N342="sníž. přenesená",J342,0)</f>
        <v>0</v>
      </c>
      <c r="BI342" s="231">
        <f>IF(N342="nulová",J342,0)</f>
        <v>0</v>
      </c>
      <c r="BJ342" s="16" t="s">
        <v>8</v>
      </c>
      <c r="BK342" s="231">
        <f>ROUND(I342*H342,0)</f>
        <v>0</v>
      </c>
      <c r="BL342" s="16" t="s">
        <v>246</v>
      </c>
      <c r="BM342" s="230" t="s">
        <v>1964</v>
      </c>
    </row>
    <row r="343" s="2" customFormat="1" ht="24.15" customHeight="1">
      <c r="A343" s="37"/>
      <c r="B343" s="38"/>
      <c r="C343" s="218" t="s">
        <v>672</v>
      </c>
      <c r="D343" s="218" t="s">
        <v>159</v>
      </c>
      <c r="E343" s="219" t="s">
        <v>682</v>
      </c>
      <c r="F343" s="220" t="s">
        <v>683</v>
      </c>
      <c r="G343" s="221" t="s">
        <v>209</v>
      </c>
      <c r="H343" s="222">
        <v>6701.5500000000002</v>
      </c>
      <c r="I343" s="223"/>
      <c r="J343" s="224">
        <f>ROUND(I343*H343,0)</f>
        <v>0</v>
      </c>
      <c r="K343" s="225"/>
      <c r="L343" s="43"/>
      <c r="M343" s="226" t="s">
        <v>1</v>
      </c>
      <c r="N343" s="227" t="s">
        <v>42</v>
      </c>
      <c r="O343" s="90"/>
      <c r="P343" s="228">
        <f>O343*H343</f>
        <v>0</v>
      </c>
      <c r="Q343" s="228">
        <v>0</v>
      </c>
      <c r="R343" s="228">
        <f>Q343*H343</f>
        <v>0</v>
      </c>
      <c r="S343" s="228">
        <v>0</v>
      </c>
      <c r="T343" s="229">
        <f>S343*H343</f>
        <v>0</v>
      </c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R343" s="230" t="s">
        <v>246</v>
      </c>
      <c r="AT343" s="230" t="s">
        <v>159</v>
      </c>
      <c r="AU343" s="230" t="s">
        <v>86</v>
      </c>
      <c r="AY343" s="16" t="s">
        <v>157</v>
      </c>
      <c r="BE343" s="231">
        <f>IF(N343="základní",J343,0)</f>
        <v>0</v>
      </c>
      <c r="BF343" s="231">
        <f>IF(N343="snížená",J343,0)</f>
        <v>0</v>
      </c>
      <c r="BG343" s="231">
        <f>IF(N343="zákl. přenesená",J343,0)</f>
        <v>0</v>
      </c>
      <c r="BH343" s="231">
        <f>IF(N343="sníž. přenesená",J343,0)</f>
        <v>0</v>
      </c>
      <c r="BI343" s="231">
        <f>IF(N343="nulová",J343,0)</f>
        <v>0</v>
      </c>
      <c r="BJ343" s="16" t="s">
        <v>8</v>
      </c>
      <c r="BK343" s="231">
        <f>ROUND(I343*H343,0)</f>
        <v>0</v>
      </c>
      <c r="BL343" s="16" t="s">
        <v>246</v>
      </c>
      <c r="BM343" s="230" t="s">
        <v>1965</v>
      </c>
    </row>
    <row r="344" s="2" customFormat="1" ht="24.15" customHeight="1">
      <c r="A344" s="37"/>
      <c r="B344" s="38"/>
      <c r="C344" s="218" t="s">
        <v>677</v>
      </c>
      <c r="D344" s="218" t="s">
        <v>159</v>
      </c>
      <c r="E344" s="219" t="s">
        <v>686</v>
      </c>
      <c r="F344" s="220" t="s">
        <v>687</v>
      </c>
      <c r="G344" s="221" t="s">
        <v>209</v>
      </c>
      <c r="H344" s="222">
        <v>972.00099999999998</v>
      </c>
      <c r="I344" s="223"/>
      <c r="J344" s="224">
        <f>ROUND(I344*H344,0)</f>
        <v>0</v>
      </c>
      <c r="K344" s="225"/>
      <c r="L344" s="43"/>
      <c r="M344" s="226" t="s">
        <v>1</v>
      </c>
      <c r="N344" s="227" t="s">
        <v>42</v>
      </c>
      <c r="O344" s="90"/>
      <c r="P344" s="228">
        <f>O344*H344</f>
        <v>0</v>
      </c>
      <c r="Q344" s="228">
        <v>0</v>
      </c>
      <c r="R344" s="228">
        <f>Q344*H344</f>
        <v>0</v>
      </c>
      <c r="S344" s="228">
        <v>0</v>
      </c>
      <c r="T344" s="229">
        <f>S344*H344</f>
        <v>0</v>
      </c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R344" s="230" t="s">
        <v>246</v>
      </c>
      <c r="AT344" s="230" t="s">
        <v>159</v>
      </c>
      <c r="AU344" s="230" t="s">
        <v>86</v>
      </c>
      <c r="AY344" s="16" t="s">
        <v>157</v>
      </c>
      <c r="BE344" s="231">
        <f>IF(N344="základní",J344,0)</f>
        <v>0</v>
      </c>
      <c r="BF344" s="231">
        <f>IF(N344="snížená",J344,0)</f>
        <v>0</v>
      </c>
      <c r="BG344" s="231">
        <f>IF(N344="zákl. přenesená",J344,0)</f>
        <v>0</v>
      </c>
      <c r="BH344" s="231">
        <f>IF(N344="sníž. přenesená",J344,0)</f>
        <v>0</v>
      </c>
      <c r="BI344" s="231">
        <f>IF(N344="nulová",J344,0)</f>
        <v>0</v>
      </c>
      <c r="BJ344" s="16" t="s">
        <v>8</v>
      </c>
      <c r="BK344" s="231">
        <f>ROUND(I344*H344,0)</f>
        <v>0</v>
      </c>
      <c r="BL344" s="16" t="s">
        <v>246</v>
      </c>
      <c r="BM344" s="230" t="s">
        <v>1966</v>
      </c>
    </row>
    <row r="345" s="2" customFormat="1" ht="24.15" customHeight="1">
      <c r="A345" s="37"/>
      <c r="B345" s="38"/>
      <c r="C345" s="218" t="s">
        <v>681</v>
      </c>
      <c r="D345" s="218" t="s">
        <v>159</v>
      </c>
      <c r="E345" s="219" t="s">
        <v>692</v>
      </c>
      <c r="F345" s="220" t="s">
        <v>693</v>
      </c>
      <c r="G345" s="221" t="s">
        <v>209</v>
      </c>
      <c r="H345" s="222">
        <v>1364.1489999999999</v>
      </c>
      <c r="I345" s="223"/>
      <c r="J345" s="224">
        <f>ROUND(I345*H345,0)</f>
        <v>0</v>
      </c>
      <c r="K345" s="225"/>
      <c r="L345" s="43"/>
      <c r="M345" s="226" t="s">
        <v>1</v>
      </c>
      <c r="N345" s="227" t="s">
        <v>42</v>
      </c>
      <c r="O345" s="90"/>
      <c r="P345" s="228">
        <f>O345*H345</f>
        <v>0</v>
      </c>
      <c r="Q345" s="228">
        <v>0</v>
      </c>
      <c r="R345" s="228">
        <f>Q345*H345</f>
        <v>0</v>
      </c>
      <c r="S345" s="228">
        <v>0</v>
      </c>
      <c r="T345" s="229">
        <f>S345*H345</f>
        <v>0</v>
      </c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R345" s="230" t="s">
        <v>246</v>
      </c>
      <c r="AT345" s="230" t="s">
        <v>159</v>
      </c>
      <c r="AU345" s="230" t="s">
        <v>86</v>
      </c>
      <c r="AY345" s="16" t="s">
        <v>157</v>
      </c>
      <c r="BE345" s="231">
        <f>IF(N345="základní",J345,0)</f>
        <v>0</v>
      </c>
      <c r="BF345" s="231">
        <f>IF(N345="snížená",J345,0)</f>
        <v>0</v>
      </c>
      <c r="BG345" s="231">
        <f>IF(N345="zákl. přenesená",J345,0)</f>
        <v>0</v>
      </c>
      <c r="BH345" s="231">
        <f>IF(N345="sníž. přenesená",J345,0)</f>
        <v>0</v>
      </c>
      <c r="BI345" s="231">
        <f>IF(N345="nulová",J345,0)</f>
        <v>0</v>
      </c>
      <c r="BJ345" s="16" t="s">
        <v>8</v>
      </c>
      <c r="BK345" s="231">
        <f>ROUND(I345*H345,0)</f>
        <v>0</v>
      </c>
      <c r="BL345" s="16" t="s">
        <v>246</v>
      </c>
      <c r="BM345" s="230" t="s">
        <v>1967</v>
      </c>
    </row>
    <row r="346" s="13" customFormat="1">
      <c r="A346" s="13"/>
      <c r="B346" s="232"/>
      <c r="C346" s="233"/>
      <c r="D346" s="234" t="s">
        <v>165</v>
      </c>
      <c r="E346" s="235" t="s">
        <v>1</v>
      </c>
      <c r="F346" s="236" t="s">
        <v>1961</v>
      </c>
      <c r="G346" s="233"/>
      <c r="H346" s="237">
        <v>972.00099999999998</v>
      </c>
      <c r="I346" s="238"/>
      <c r="J346" s="233"/>
      <c r="K346" s="233"/>
      <c r="L346" s="239"/>
      <c r="M346" s="240"/>
      <c r="N346" s="241"/>
      <c r="O346" s="241"/>
      <c r="P346" s="241"/>
      <c r="Q346" s="241"/>
      <c r="R346" s="241"/>
      <c r="S346" s="241"/>
      <c r="T346" s="242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T346" s="243" t="s">
        <v>165</v>
      </c>
      <c r="AU346" s="243" t="s">
        <v>86</v>
      </c>
      <c r="AV346" s="13" t="s">
        <v>86</v>
      </c>
      <c r="AW346" s="13" t="s">
        <v>32</v>
      </c>
      <c r="AX346" s="13" t="s">
        <v>77</v>
      </c>
      <c r="AY346" s="243" t="s">
        <v>157</v>
      </c>
    </row>
    <row r="347" s="13" customFormat="1">
      <c r="A347" s="13"/>
      <c r="B347" s="232"/>
      <c r="C347" s="233"/>
      <c r="D347" s="234" t="s">
        <v>165</v>
      </c>
      <c r="E347" s="235" t="s">
        <v>1</v>
      </c>
      <c r="F347" s="236" t="s">
        <v>1968</v>
      </c>
      <c r="G347" s="233"/>
      <c r="H347" s="237">
        <v>392.14800000000002</v>
      </c>
      <c r="I347" s="238"/>
      <c r="J347" s="233"/>
      <c r="K347" s="233"/>
      <c r="L347" s="239"/>
      <c r="M347" s="240"/>
      <c r="N347" s="241"/>
      <c r="O347" s="241"/>
      <c r="P347" s="241"/>
      <c r="Q347" s="241"/>
      <c r="R347" s="241"/>
      <c r="S347" s="241"/>
      <c r="T347" s="242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T347" s="243" t="s">
        <v>165</v>
      </c>
      <c r="AU347" s="243" t="s">
        <v>86</v>
      </c>
      <c r="AV347" s="13" t="s">
        <v>86</v>
      </c>
      <c r="AW347" s="13" t="s">
        <v>32</v>
      </c>
      <c r="AX347" s="13" t="s">
        <v>77</v>
      </c>
      <c r="AY347" s="243" t="s">
        <v>157</v>
      </c>
    </row>
    <row r="348" s="2" customFormat="1" ht="24.15" customHeight="1">
      <c r="A348" s="37"/>
      <c r="B348" s="38"/>
      <c r="C348" s="254" t="s">
        <v>685</v>
      </c>
      <c r="D348" s="254" t="s">
        <v>229</v>
      </c>
      <c r="E348" s="255" t="s">
        <v>696</v>
      </c>
      <c r="F348" s="256" t="s">
        <v>697</v>
      </c>
      <c r="G348" s="257" t="s">
        <v>209</v>
      </c>
      <c r="H348" s="258">
        <v>15739.25</v>
      </c>
      <c r="I348" s="259"/>
      <c r="J348" s="260">
        <f>ROUND(I348*H348,0)</f>
        <v>0</v>
      </c>
      <c r="K348" s="261"/>
      <c r="L348" s="262"/>
      <c r="M348" s="263" t="s">
        <v>1</v>
      </c>
      <c r="N348" s="264" t="s">
        <v>42</v>
      </c>
      <c r="O348" s="90"/>
      <c r="P348" s="228">
        <f>O348*H348</f>
        <v>0</v>
      </c>
      <c r="Q348" s="228">
        <v>0.00050000000000000001</v>
      </c>
      <c r="R348" s="228">
        <f>Q348*H348</f>
        <v>7.8696250000000001</v>
      </c>
      <c r="S348" s="228">
        <v>0</v>
      </c>
      <c r="T348" s="229">
        <f>S348*H348</f>
        <v>0</v>
      </c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R348" s="230" t="s">
        <v>329</v>
      </c>
      <c r="AT348" s="230" t="s">
        <v>229</v>
      </c>
      <c r="AU348" s="230" t="s">
        <v>86</v>
      </c>
      <c r="AY348" s="16" t="s">
        <v>157</v>
      </c>
      <c r="BE348" s="231">
        <f>IF(N348="základní",J348,0)</f>
        <v>0</v>
      </c>
      <c r="BF348" s="231">
        <f>IF(N348="snížená",J348,0)</f>
        <v>0</v>
      </c>
      <c r="BG348" s="231">
        <f>IF(N348="zákl. přenesená",J348,0)</f>
        <v>0</v>
      </c>
      <c r="BH348" s="231">
        <f>IF(N348="sníž. přenesená",J348,0)</f>
        <v>0</v>
      </c>
      <c r="BI348" s="231">
        <f>IF(N348="nulová",J348,0)</f>
        <v>0</v>
      </c>
      <c r="BJ348" s="16" t="s">
        <v>8</v>
      </c>
      <c r="BK348" s="231">
        <f>ROUND(I348*H348,0)</f>
        <v>0</v>
      </c>
      <c r="BL348" s="16" t="s">
        <v>246</v>
      </c>
      <c r="BM348" s="230" t="s">
        <v>1969</v>
      </c>
    </row>
    <row r="349" s="13" customFormat="1">
      <c r="A349" s="13"/>
      <c r="B349" s="232"/>
      <c r="C349" s="233"/>
      <c r="D349" s="234" t="s">
        <v>165</v>
      </c>
      <c r="E349" s="235" t="s">
        <v>1</v>
      </c>
      <c r="F349" s="236" t="s">
        <v>1970</v>
      </c>
      <c r="G349" s="233"/>
      <c r="H349" s="237">
        <v>15739.25</v>
      </c>
      <c r="I349" s="238"/>
      <c r="J349" s="233"/>
      <c r="K349" s="233"/>
      <c r="L349" s="239"/>
      <c r="M349" s="240"/>
      <c r="N349" s="241"/>
      <c r="O349" s="241"/>
      <c r="P349" s="241"/>
      <c r="Q349" s="241"/>
      <c r="R349" s="241"/>
      <c r="S349" s="241"/>
      <c r="T349" s="242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T349" s="243" t="s">
        <v>165</v>
      </c>
      <c r="AU349" s="243" t="s">
        <v>86</v>
      </c>
      <c r="AV349" s="13" t="s">
        <v>86</v>
      </c>
      <c r="AW349" s="13" t="s">
        <v>32</v>
      </c>
      <c r="AX349" s="13" t="s">
        <v>77</v>
      </c>
      <c r="AY349" s="243" t="s">
        <v>157</v>
      </c>
    </row>
    <row r="350" s="2" customFormat="1" ht="33" customHeight="1">
      <c r="A350" s="37"/>
      <c r="B350" s="38"/>
      <c r="C350" s="218" t="s">
        <v>691</v>
      </c>
      <c r="D350" s="218" t="s">
        <v>159</v>
      </c>
      <c r="E350" s="219" t="s">
        <v>702</v>
      </c>
      <c r="F350" s="220" t="s">
        <v>703</v>
      </c>
      <c r="G350" s="221" t="s">
        <v>193</v>
      </c>
      <c r="H350" s="222">
        <v>27.766999999999999</v>
      </c>
      <c r="I350" s="223"/>
      <c r="J350" s="224">
        <f>ROUND(I350*H350,0)</f>
        <v>0</v>
      </c>
      <c r="K350" s="225"/>
      <c r="L350" s="43"/>
      <c r="M350" s="226" t="s">
        <v>1</v>
      </c>
      <c r="N350" s="227" t="s">
        <v>42</v>
      </c>
      <c r="O350" s="90"/>
      <c r="P350" s="228">
        <f>O350*H350</f>
        <v>0</v>
      </c>
      <c r="Q350" s="228">
        <v>0</v>
      </c>
      <c r="R350" s="228">
        <f>Q350*H350</f>
        <v>0</v>
      </c>
      <c r="S350" s="228">
        <v>0</v>
      </c>
      <c r="T350" s="229">
        <f>S350*H350</f>
        <v>0</v>
      </c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R350" s="230" t="s">
        <v>246</v>
      </c>
      <c r="AT350" s="230" t="s">
        <v>159</v>
      </c>
      <c r="AU350" s="230" t="s">
        <v>86</v>
      </c>
      <c r="AY350" s="16" t="s">
        <v>157</v>
      </c>
      <c r="BE350" s="231">
        <f>IF(N350="základní",J350,0)</f>
        <v>0</v>
      </c>
      <c r="BF350" s="231">
        <f>IF(N350="snížená",J350,0)</f>
        <v>0</v>
      </c>
      <c r="BG350" s="231">
        <f>IF(N350="zákl. přenesená",J350,0)</f>
        <v>0</v>
      </c>
      <c r="BH350" s="231">
        <f>IF(N350="sníž. přenesená",J350,0)</f>
        <v>0</v>
      </c>
      <c r="BI350" s="231">
        <f>IF(N350="nulová",J350,0)</f>
        <v>0</v>
      </c>
      <c r="BJ350" s="16" t="s">
        <v>8</v>
      </c>
      <c r="BK350" s="231">
        <f>ROUND(I350*H350,0)</f>
        <v>0</v>
      </c>
      <c r="BL350" s="16" t="s">
        <v>246</v>
      </c>
      <c r="BM350" s="230" t="s">
        <v>1971</v>
      </c>
    </row>
    <row r="351" s="12" customFormat="1" ht="22.8" customHeight="1">
      <c r="A351" s="12"/>
      <c r="B351" s="202"/>
      <c r="C351" s="203"/>
      <c r="D351" s="204" t="s">
        <v>76</v>
      </c>
      <c r="E351" s="216" t="s">
        <v>705</v>
      </c>
      <c r="F351" s="216" t="s">
        <v>706</v>
      </c>
      <c r="G351" s="203"/>
      <c r="H351" s="203"/>
      <c r="I351" s="206"/>
      <c r="J351" s="217">
        <f>BK351</f>
        <v>0</v>
      </c>
      <c r="K351" s="203"/>
      <c r="L351" s="208"/>
      <c r="M351" s="209"/>
      <c r="N351" s="210"/>
      <c r="O351" s="210"/>
      <c r="P351" s="211">
        <f>SUM(P352:P374)</f>
        <v>0</v>
      </c>
      <c r="Q351" s="210"/>
      <c r="R351" s="211">
        <f>SUM(R352:R374)</f>
        <v>29.390148700000005</v>
      </c>
      <c r="S351" s="210"/>
      <c r="T351" s="212">
        <f>SUM(T352:T374)</f>
        <v>0</v>
      </c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R351" s="213" t="s">
        <v>86</v>
      </c>
      <c r="AT351" s="214" t="s">
        <v>76</v>
      </c>
      <c r="AU351" s="214" t="s">
        <v>8</v>
      </c>
      <c r="AY351" s="213" t="s">
        <v>157</v>
      </c>
      <c r="BK351" s="215">
        <f>SUM(BK352:BK374)</f>
        <v>0</v>
      </c>
    </row>
    <row r="352" s="2" customFormat="1" ht="24.15" customHeight="1">
      <c r="A352" s="37"/>
      <c r="B352" s="38"/>
      <c r="C352" s="218" t="s">
        <v>695</v>
      </c>
      <c r="D352" s="218" t="s">
        <v>159</v>
      </c>
      <c r="E352" s="219" t="s">
        <v>726</v>
      </c>
      <c r="F352" s="220" t="s">
        <v>727</v>
      </c>
      <c r="G352" s="221" t="s">
        <v>209</v>
      </c>
      <c r="H352" s="222">
        <v>6980.3729999999996</v>
      </c>
      <c r="I352" s="223"/>
      <c r="J352" s="224">
        <f>ROUND(I352*H352,0)</f>
        <v>0</v>
      </c>
      <c r="K352" s="225"/>
      <c r="L352" s="43"/>
      <c r="M352" s="226" t="s">
        <v>1</v>
      </c>
      <c r="N352" s="227" t="s">
        <v>42</v>
      </c>
      <c r="O352" s="90"/>
      <c r="P352" s="228">
        <f>O352*H352</f>
        <v>0</v>
      </c>
      <c r="Q352" s="228">
        <v>0.00019000000000000001</v>
      </c>
      <c r="R352" s="228">
        <f>Q352*H352</f>
        <v>1.3262708700000001</v>
      </c>
      <c r="S352" s="228">
        <v>0</v>
      </c>
      <c r="T352" s="229">
        <f>S352*H352</f>
        <v>0</v>
      </c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R352" s="230" t="s">
        <v>246</v>
      </c>
      <c r="AT352" s="230" t="s">
        <v>159</v>
      </c>
      <c r="AU352" s="230" t="s">
        <v>86</v>
      </c>
      <c r="AY352" s="16" t="s">
        <v>157</v>
      </c>
      <c r="BE352" s="231">
        <f>IF(N352="základní",J352,0)</f>
        <v>0</v>
      </c>
      <c r="BF352" s="231">
        <f>IF(N352="snížená",J352,0)</f>
        <v>0</v>
      </c>
      <c r="BG352" s="231">
        <f>IF(N352="zákl. přenesená",J352,0)</f>
        <v>0</v>
      </c>
      <c r="BH352" s="231">
        <f>IF(N352="sníž. přenesená",J352,0)</f>
        <v>0</v>
      </c>
      <c r="BI352" s="231">
        <f>IF(N352="nulová",J352,0)</f>
        <v>0</v>
      </c>
      <c r="BJ352" s="16" t="s">
        <v>8</v>
      </c>
      <c r="BK352" s="231">
        <f>ROUND(I352*H352,0)</f>
        <v>0</v>
      </c>
      <c r="BL352" s="16" t="s">
        <v>246</v>
      </c>
      <c r="BM352" s="230" t="s">
        <v>1972</v>
      </c>
    </row>
    <row r="353" s="13" customFormat="1">
      <c r="A353" s="13"/>
      <c r="B353" s="232"/>
      <c r="C353" s="233"/>
      <c r="D353" s="234" t="s">
        <v>165</v>
      </c>
      <c r="E353" s="235" t="s">
        <v>1</v>
      </c>
      <c r="F353" s="236" t="s">
        <v>1973</v>
      </c>
      <c r="G353" s="233"/>
      <c r="H353" s="237">
        <v>6755.9250000000002</v>
      </c>
      <c r="I353" s="238"/>
      <c r="J353" s="233"/>
      <c r="K353" s="233"/>
      <c r="L353" s="239"/>
      <c r="M353" s="240"/>
      <c r="N353" s="241"/>
      <c r="O353" s="241"/>
      <c r="P353" s="241"/>
      <c r="Q353" s="241"/>
      <c r="R353" s="241"/>
      <c r="S353" s="241"/>
      <c r="T353" s="242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T353" s="243" t="s">
        <v>165</v>
      </c>
      <c r="AU353" s="243" t="s">
        <v>86</v>
      </c>
      <c r="AV353" s="13" t="s">
        <v>86</v>
      </c>
      <c r="AW353" s="13" t="s">
        <v>32</v>
      </c>
      <c r="AX353" s="13" t="s">
        <v>77</v>
      </c>
      <c r="AY353" s="243" t="s">
        <v>157</v>
      </c>
    </row>
    <row r="354" s="13" customFormat="1">
      <c r="A354" s="13"/>
      <c r="B354" s="232"/>
      <c r="C354" s="233"/>
      <c r="D354" s="234" t="s">
        <v>165</v>
      </c>
      <c r="E354" s="235" t="s">
        <v>1</v>
      </c>
      <c r="F354" s="236" t="s">
        <v>1974</v>
      </c>
      <c r="G354" s="233"/>
      <c r="H354" s="237">
        <v>224.44800000000001</v>
      </c>
      <c r="I354" s="238"/>
      <c r="J354" s="233"/>
      <c r="K354" s="233"/>
      <c r="L354" s="239"/>
      <c r="M354" s="240"/>
      <c r="N354" s="241"/>
      <c r="O354" s="241"/>
      <c r="P354" s="241"/>
      <c r="Q354" s="241"/>
      <c r="R354" s="241"/>
      <c r="S354" s="241"/>
      <c r="T354" s="242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T354" s="243" t="s">
        <v>165</v>
      </c>
      <c r="AU354" s="243" t="s">
        <v>86</v>
      </c>
      <c r="AV354" s="13" t="s">
        <v>86</v>
      </c>
      <c r="AW354" s="13" t="s">
        <v>32</v>
      </c>
      <c r="AX354" s="13" t="s">
        <v>77</v>
      </c>
      <c r="AY354" s="243" t="s">
        <v>157</v>
      </c>
    </row>
    <row r="355" s="2" customFormat="1" ht="24.15" customHeight="1">
      <c r="A355" s="37"/>
      <c r="B355" s="38"/>
      <c r="C355" s="254" t="s">
        <v>701</v>
      </c>
      <c r="D355" s="254" t="s">
        <v>229</v>
      </c>
      <c r="E355" s="255" t="s">
        <v>1975</v>
      </c>
      <c r="F355" s="256" t="s">
        <v>1976</v>
      </c>
      <c r="G355" s="257" t="s">
        <v>209</v>
      </c>
      <c r="H355" s="258">
        <v>8135.625</v>
      </c>
      <c r="I355" s="259"/>
      <c r="J355" s="260">
        <f>ROUND(I355*H355,0)</f>
        <v>0</v>
      </c>
      <c r="K355" s="261"/>
      <c r="L355" s="262"/>
      <c r="M355" s="263" t="s">
        <v>1</v>
      </c>
      <c r="N355" s="264" t="s">
        <v>42</v>
      </c>
      <c r="O355" s="90"/>
      <c r="P355" s="228">
        <f>O355*H355</f>
        <v>0</v>
      </c>
      <c r="Q355" s="228">
        <v>0.00019000000000000001</v>
      </c>
      <c r="R355" s="228">
        <f>Q355*H355</f>
        <v>1.5457687500000001</v>
      </c>
      <c r="S355" s="228">
        <v>0</v>
      </c>
      <c r="T355" s="229">
        <f>S355*H355</f>
        <v>0</v>
      </c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R355" s="230" t="s">
        <v>329</v>
      </c>
      <c r="AT355" s="230" t="s">
        <v>229</v>
      </c>
      <c r="AU355" s="230" t="s">
        <v>86</v>
      </c>
      <c r="AY355" s="16" t="s">
        <v>157</v>
      </c>
      <c r="BE355" s="231">
        <f>IF(N355="základní",J355,0)</f>
        <v>0</v>
      </c>
      <c r="BF355" s="231">
        <f>IF(N355="snížená",J355,0)</f>
        <v>0</v>
      </c>
      <c r="BG355" s="231">
        <f>IF(N355="zákl. přenesená",J355,0)</f>
        <v>0</v>
      </c>
      <c r="BH355" s="231">
        <f>IF(N355="sníž. přenesená",J355,0)</f>
        <v>0</v>
      </c>
      <c r="BI355" s="231">
        <f>IF(N355="nulová",J355,0)</f>
        <v>0</v>
      </c>
      <c r="BJ355" s="16" t="s">
        <v>8</v>
      </c>
      <c r="BK355" s="231">
        <f>ROUND(I355*H355,0)</f>
        <v>0</v>
      </c>
      <c r="BL355" s="16" t="s">
        <v>246</v>
      </c>
      <c r="BM355" s="230" t="s">
        <v>1977</v>
      </c>
    </row>
    <row r="356" s="13" customFormat="1">
      <c r="A356" s="13"/>
      <c r="B356" s="232"/>
      <c r="C356" s="233"/>
      <c r="D356" s="234" t="s">
        <v>165</v>
      </c>
      <c r="E356" s="235" t="s">
        <v>1</v>
      </c>
      <c r="F356" s="236" t="s">
        <v>1978</v>
      </c>
      <c r="G356" s="233"/>
      <c r="H356" s="237">
        <v>6980.3729999999996</v>
      </c>
      <c r="I356" s="238"/>
      <c r="J356" s="233"/>
      <c r="K356" s="233"/>
      <c r="L356" s="239"/>
      <c r="M356" s="240"/>
      <c r="N356" s="241"/>
      <c r="O356" s="241"/>
      <c r="P356" s="241"/>
      <c r="Q356" s="241"/>
      <c r="R356" s="241"/>
      <c r="S356" s="241"/>
      <c r="T356" s="242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T356" s="243" t="s">
        <v>165</v>
      </c>
      <c r="AU356" s="243" t="s">
        <v>86</v>
      </c>
      <c r="AV356" s="13" t="s">
        <v>86</v>
      </c>
      <c r="AW356" s="13" t="s">
        <v>32</v>
      </c>
      <c r="AX356" s="13" t="s">
        <v>8</v>
      </c>
      <c r="AY356" s="243" t="s">
        <v>157</v>
      </c>
    </row>
    <row r="357" s="13" customFormat="1">
      <c r="A357" s="13"/>
      <c r="B357" s="232"/>
      <c r="C357" s="233"/>
      <c r="D357" s="234" t="s">
        <v>165</v>
      </c>
      <c r="E357" s="233"/>
      <c r="F357" s="236" t="s">
        <v>1979</v>
      </c>
      <c r="G357" s="233"/>
      <c r="H357" s="237">
        <v>8135.625</v>
      </c>
      <c r="I357" s="238"/>
      <c r="J357" s="233"/>
      <c r="K357" s="233"/>
      <c r="L357" s="239"/>
      <c r="M357" s="240"/>
      <c r="N357" s="241"/>
      <c r="O357" s="241"/>
      <c r="P357" s="241"/>
      <c r="Q357" s="241"/>
      <c r="R357" s="241"/>
      <c r="S357" s="241"/>
      <c r="T357" s="242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T357" s="243" t="s">
        <v>165</v>
      </c>
      <c r="AU357" s="243" t="s">
        <v>86</v>
      </c>
      <c r="AV357" s="13" t="s">
        <v>86</v>
      </c>
      <c r="AW357" s="13" t="s">
        <v>4</v>
      </c>
      <c r="AX357" s="13" t="s">
        <v>8</v>
      </c>
      <c r="AY357" s="243" t="s">
        <v>157</v>
      </c>
    </row>
    <row r="358" s="2" customFormat="1" ht="37.8" customHeight="1">
      <c r="A358" s="37"/>
      <c r="B358" s="38"/>
      <c r="C358" s="218" t="s">
        <v>707</v>
      </c>
      <c r="D358" s="218" t="s">
        <v>159</v>
      </c>
      <c r="E358" s="219" t="s">
        <v>752</v>
      </c>
      <c r="F358" s="220" t="s">
        <v>753</v>
      </c>
      <c r="G358" s="221" t="s">
        <v>216</v>
      </c>
      <c r="H358" s="222">
        <v>363.10000000000002</v>
      </c>
      <c r="I358" s="223"/>
      <c r="J358" s="224">
        <f>ROUND(I358*H358,0)</f>
        <v>0</v>
      </c>
      <c r="K358" s="225"/>
      <c r="L358" s="43"/>
      <c r="M358" s="226" t="s">
        <v>1</v>
      </c>
      <c r="N358" s="227" t="s">
        <v>42</v>
      </c>
      <c r="O358" s="90"/>
      <c r="P358" s="228">
        <f>O358*H358</f>
        <v>0</v>
      </c>
      <c r="Q358" s="228">
        <v>0.00115</v>
      </c>
      <c r="R358" s="228">
        <f>Q358*H358</f>
        <v>0.41756500000000002</v>
      </c>
      <c r="S358" s="228">
        <v>0</v>
      </c>
      <c r="T358" s="229">
        <f>S358*H358</f>
        <v>0</v>
      </c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R358" s="230" t="s">
        <v>246</v>
      </c>
      <c r="AT358" s="230" t="s">
        <v>159</v>
      </c>
      <c r="AU358" s="230" t="s">
        <v>86</v>
      </c>
      <c r="AY358" s="16" t="s">
        <v>157</v>
      </c>
      <c r="BE358" s="231">
        <f>IF(N358="základní",J358,0)</f>
        <v>0</v>
      </c>
      <c r="BF358" s="231">
        <f>IF(N358="snížená",J358,0)</f>
        <v>0</v>
      </c>
      <c r="BG358" s="231">
        <f>IF(N358="zákl. přenesená",J358,0)</f>
        <v>0</v>
      </c>
      <c r="BH358" s="231">
        <f>IF(N358="sníž. přenesená",J358,0)</f>
        <v>0</v>
      </c>
      <c r="BI358" s="231">
        <f>IF(N358="nulová",J358,0)</f>
        <v>0</v>
      </c>
      <c r="BJ358" s="16" t="s">
        <v>8</v>
      </c>
      <c r="BK358" s="231">
        <f>ROUND(I358*H358,0)</f>
        <v>0</v>
      </c>
      <c r="BL358" s="16" t="s">
        <v>246</v>
      </c>
      <c r="BM358" s="230" t="s">
        <v>1980</v>
      </c>
    </row>
    <row r="359" s="13" customFormat="1">
      <c r="A359" s="13"/>
      <c r="B359" s="232"/>
      <c r="C359" s="233"/>
      <c r="D359" s="234" t="s">
        <v>165</v>
      </c>
      <c r="E359" s="235" t="s">
        <v>1</v>
      </c>
      <c r="F359" s="236" t="s">
        <v>1981</v>
      </c>
      <c r="G359" s="233"/>
      <c r="H359" s="237">
        <v>363.10000000000002</v>
      </c>
      <c r="I359" s="238"/>
      <c r="J359" s="233"/>
      <c r="K359" s="233"/>
      <c r="L359" s="239"/>
      <c r="M359" s="240"/>
      <c r="N359" s="241"/>
      <c r="O359" s="241"/>
      <c r="P359" s="241"/>
      <c r="Q359" s="241"/>
      <c r="R359" s="241"/>
      <c r="S359" s="241"/>
      <c r="T359" s="242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T359" s="243" t="s">
        <v>165</v>
      </c>
      <c r="AU359" s="243" t="s">
        <v>86</v>
      </c>
      <c r="AV359" s="13" t="s">
        <v>86</v>
      </c>
      <c r="AW359" s="13" t="s">
        <v>32</v>
      </c>
      <c r="AX359" s="13" t="s">
        <v>77</v>
      </c>
      <c r="AY359" s="243" t="s">
        <v>157</v>
      </c>
    </row>
    <row r="360" s="2" customFormat="1" ht="37.8" customHeight="1">
      <c r="A360" s="37"/>
      <c r="B360" s="38"/>
      <c r="C360" s="218" t="s">
        <v>711</v>
      </c>
      <c r="D360" s="218" t="s">
        <v>159</v>
      </c>
      <c r="E360" s="219" t="s">
        <v>758</v>
      </c>
      <c r="F360" s="220" t="s">
        <v>759</v>
      </c>
      <c r="G360" s="221" t="s">
        <v>216</v>
      </c>
      <c r="H360" s="222">
        <v>363.10000000000002</v>
      </c>
      <c r="I360" s="223"/>
      <c r="J360" s="224">
        <f>ROUND(I360*H360,0)</f>
        <v>0</v>
      </c>
      <c r="K360" s="225"/>
      <c r="L360" s="43"/>
      <c r="M360" s="226" t="s">
        <v>1</v>
      </c>
      <c r="N360" s="227" t="s">
        <v>42</v>
      </c>
      <c r="O360" s="90"/>
      <c r="P360" s="228">
        <f>O360*H360</f>
        <v>0</v>
      </c>
      <c r="Q360" s="228">
        <v>0.00063000000000000003</v>
      </c>
      <c r="R360" s="228">
        <f>Q360*H360</f>
        <v>0.22875300000000001</v>
      </c>
      <c r="S360" s="228">
        <v>0</v>
      </c>
      <c r="T360" s="229">
        <f>S360*H360</f>
        <v>0</v>
      </c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R360" s="230" t="s">
        <v>246</v>
      </c>
      <c r="AT360" s="230" t="s">
        <v>159</v>
      </c>
      <c r="AU360" s="230" t="s">
        <v>86</v>
      </c>
      <c r="AY360" s="16" t="s">
        <v>157</v>
      </c>
      <c r="BE360" s="231">
        <f>IF(N360="základní",J360,0)</f>
        <v>0</v>
      </c>
      <c r="BF360" s="231">
        <f>IF(N360="snížená",J360,0)</f>
        <v>0</v>
      </c>
      <c r="BG360" s="231">
        <f>IF(N360="zákl. přenesená",J360,0)</f>
        <v>0</v>
      </c>
      <c r="BH360" s="231">
        <f>IF(N360="sníž. přenesená",J360,0)</f>
        <v>0</v>
      </c>
      <c r="BI360" s="231">
        <f>IF(N360="nulová",J360,0)</f>
        <v>0</v>
      </c>
      <c r="BJ360" s="16" t="s">
        <v>8</v>
      </c>
      <c r="BK360" s="231">
        <f>ROUND(I360*H360,0)</f>
        <v>0</v>
      </c>
      <c r="BL360" s="16" t="s">
        <v>246</v>
      </c>
      <c r="BM360" s="230" t="s">
        <v>1982</v>
      </c>
    </row>
    <row r="361" s="13" customFormat="1">
      <c r="A361" s="13"/>
      <c r="B361" s="232"/>
      <c r="C361" s="233"/>
      <c r="D361" s="234" t="s">
        <v>165</v>
      </c>
      <c r="E361" s="235" t="s">
        <v>1</v>
      </c>
      <c r="F361" s="236" t="s">
        <v>1981</v>
      </c>
      <c r="G361" s="233"/>
      <c r="H361" s="237">
        <v>363.10000000000002</v>
      </c>
      <c r="I361" s="238"/>
      <c r="J361" s="233"/>
      <c r="K361" s="233"/>
      <c r="L361" s="239"/>
      <c r="M361" s="240"/>
      <c r="N361" s="241"/>
      <c r="O361" s="241"/>
      <c r="P361" s="241"/>
      <c r="Q361" s="241"/>
      <c r="R361" s="241"/>
      <c r="S361" s="241"/>
      <c r="T361" s="242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T361" s="243" t="s">
        <v>165</v>
      </c>
      <c r="AU361" s="243" t="s">
        <v>86</v>
      </c>
      <c r="AV361" s="13" t="s">
        <v>86</v>
      </c>
      <c r="AW361" s="13" t="s">
        <v>32</v>
      </c>
      <c r="AX361" s="13" t="s">
        <v>77</v>
      </c>
      <c r="AY361" s="243" t="s">
        <v>157</v>
      </c>
    </row>
    <row r="362" s="2" customFormat="1" ht="33" customHeight="1">
      <c r="A362" s="37"/>
      <c r="B362" s="38"/>
      <c r="C362" s="218" t="s">
        <v>716</v>
      </c>
      <c r="D362" s="218" t="s">
        <v>159</v>
      </c>
      <c r="E362" s="219" t="s">
        <v>772</v>
      </c>
      <c r="F362" s="220" t="s">
        <v>773</v>
      </c>
      <c r="G362" s="221" t="s">
        <v>216</v>
      </c>
      <c r="H362" s="222">
        <v>364.30000000000001</v>
      </c>
      <c r="I362" s="223"/>
      <c r="J362" s="224">
        <f>ROUND(I362*H362,0)</f>
        <v>0</v>
      </c>
      <c r="K362" s="225"/>
      <c r="L362" s="43"/>
      <c r="M362" s="226" t="s">
        <v>1</v>
      </c>
      <c r="N362" s="227" t="s">
        <v>42</v>
      </c>
      <c r="O362" s="90"/>
      <c r="P362" s="228">
        <f>O362*H362</f>
        <v>0</v>
      </c>
      <c r="Q362" s="228">
        <v>0.00165</v>
      </c>
      <c r="R362" s="228">
        <f>Q362*H362</f>
        <v>0.60109500000000005</v>
      </c>
      <c r="S362" s="228">
        <v>0</v>
      </c>
      <c r="T362" s="229">
        <f>S362*H362</f>
        <v>0</v>
      </c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R362" s="230" t="s">
        <v>246</v>
      </c>
      <c r="AT362" s="230" t="s">
        <v>159</v>
      </c>
      <c r="AU362" s="230" t="s">
        <v>86</v>
      </c>
      <c r="AY362" s="16" t="s">
        <v>157</v>
      </c>
      <c r="BE362" s="231">
        <f>IF(N362="základní",J362,0)</f>
        <v>0</v>
      </c>
      <c r="BF362" s="231">
        <f>IF(N362="snížená",J362,0)</f>
        <v>0</v>
      </c>
      <c r="BG362" s="231">
        <f>IF(N362="zákl. přenesená",J362,0)</f>
        <v>0</v>
      </c>
      <c r="BH362" s="231">
        <f>IF(N362="sníž. přenesená",J362,0)</f>
        <v>0</v>
      </c>
      <c r="BI362" s="231">
        <f>IF(N362="nulová",J362,0)</f>
        <v>0</v>
      </c>
      <c r="BJ362" s="16" t="s">
        <v>8</v>
      </c>
      <c r="BK362" s="231">
        <f>ROUND(I362*H362,0)</f>
        <v>0</v>
      </c>
      <c r="BL362" s="16" t="s">
        <v>246</v>
      </c>
      <c r="BM362" s="230" t="s">
        <v>1983</v>
      </c>
    </row>
    <row r="363" s="13" customFormat="1">
      <c r="A363" s="13"/>
      <c r="B363" s="232"/>
      <c r="C363" s="233"/>
      <c r="D363" s="234" t="s">
        <v>165</v>
      </c>
      <c r="E363" s="235" t="s">
        <v>1</v>
      </c>
      <c r="F363" s="236" t="s">
        <v>1984</v>
      </c>
      <c r="G363" s="233"/>
      <c r="H363" s="237">
        <v>364.30000000000001</v>
      </c>
      <c r="I363" s="238"/>
      <c r="J363" s="233"/>
      <c r="K363" s="233"/>
      <c r="L363" s="239"/>
      <c r="M363" s="240"/>
      <c r="N363" s="241"/>
      <c r="O363" s="241"/>
      <c r="P363" s="241"/>
      <c r="Q363" s="241"/>
      <c r="R363" s="241"/>
      <c r="S363" s="241"/>
      <c r="T363" s="242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T363" s="243" t="s">
        <v>165</v>
      </c>
      <c r="AU363" s="243" t="s">
        <v>86</v>
      </c>
      <c r="AV363" s="13" t="s">
        <v>86</v>
      </c>
      <c r="AW363" s="13" t="s">
        <v>32</v>
      </c>
      <c r="AX363" s="13" t="s">
        <v>77</v>
      </c>
      <c r="AY363" s="243" t="s">
        <v>157</v>
      </c>
    </row>
    <row r="364" s="2" customFormat="1" ht="37.8" customHeight="1">
      <c r="A364" s="37"/>
      <c r="B364" s="38"/>
      <c r="C364" s="218" t="s">
        <v>720</v>
      </c>
      <c r="D364" s="218" t="s">
        <v>159</v>
      </c>
      <c r="E364" s="219" t="s">
        <v>782</v>
      </c>
      <c r="F364" s="220" t="s">
        <v>783</v>
      </c>
      <c r="G364" s="221" t="s">
        <v>209</v>
      </c>
      <c r="H364" s="222">
        <v>6980.3729999999996</v>
      </c>
      <c r="I364" s="223"/>
      <c r="J364" s="224">
        <f>ROUND(I364*H364,0)</f>
        <v>0</v>
      </c>
      <c r="K364" s="225"/>
      <c r="L364" s="43"/>
      <c r="M364" s="226" t="s">
        <v>1</v>
      </c>
      <c r="N364" s="227" t="s">
        <v>42</v>
      </c>
      <c r="O364" s="90"/>
      <c r="P364" s="228">
        <f>O364*H364</f>
        <v>0</v>
      </c>
      <c r="Q364" s="228">
        <v>0.00036000000000000002</v>
      </c>
      <c r="R364" s="228">
        <f>Q364*H364</f>
        <v>2.5129342800000001</v>
      </c>
      <c r="S364" s="228">
        <v>0</v>
      </c>
      <c r="T364" s="229">
        <f>S364*H364</f>
        <v>0</v>
      </c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R364" s="230" t="s">
        <v>246</v>
      </c>
      <c r="AT364" s="230" t="s">
        <v>159</v>
      </c>
      <c r="AU364" s="230" t="s">
        <v>86</v>
      </c>
      <c r="AY364" s="16" t="s">
        <v>157</v>
      </c>
      <c r="BE364" s="231">
        <f>IF(N364="základní",J364,0)</f>
        <v>0</v>
      </c>
      <c r="BF364" s="231">
        <f>IF(N364="snížená",J364,0)</f>
        <v>0</v>
      </c>
      <c r="BG364" s="231">
        <f>IF(N364="zákl. přenesená",J364,0)</f>
        <v>0</v>
      </c>
      <c r="BH364" s="231">
        <f>IF(N364="sníž. přenesená",J364,0)</f>
        <v>0</v>
      </c>
      <c r="BI364" s="231">
        <f>IF(N364="nulová",J364,0)</f>
        <v>0</v>
      </c>
      <c r="BJ364" s="16" t="s">
        <v>8</v>
      </c>
      <c r="BK364" s="231">
        <f>ROUND(I364*H364,0)</f>
        <v>0</v>
      </c>
      <c r="BL364" s="16" t="s">
        <v>246</v>
      </c>
      <c r="BM364" s="230" t="s">
        <v>1985</v>
      </c>
    </row>
    <row r="365" s="13" customFormat="1">
      <c r="A365" s="13"/>
      <c r="B365" s="232"/>
      <c r="C365" s="233"/>
      <c r="D365" s="234" t="s">
        <v>165</v>
      </c>
      <c r="E365" s="235" t="s">
        <v>1</v>
      </c>
      <c r="F365" s="236" t="s">
        <v>1973</v>
      </c>
      <c r="G365" s="233"/>
      <c r="H365" s="237">
        <v>6755.9250000000002</v>
      </c>
      <c r="I365" s="238"/>
      <c r="J365" s="233"/>
      <c r="K365" s="233"/>
      <c r="L365" s="239"/>
      <c r="M365" s="240"/>
      <c r="N365" s="241"/>
      <c r="O365" s="241"/>
      <c r="P365" s="241"/>
      <c r="Q365" s="241"/>
      <c r="R365" s="241"/>
      <c r="S365" s="241"/>
      <c r="T365" s="242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T365" s="243" t="s">
        <v>165</v>
      </c>
      <c r="AU365" s="243" t="s">
        <v>86</v>
      </c>
      <c r="AV365" s="13" t="s">
        <v>86</v>
      </c>
      <c r="AW365" s="13" t="s">
        <v>32</v>
      </c>
      <c r="AX365" s="13" t="s">
        <v>77</v>
      </c>
      <c r="AY365" s="243" t="s">
        <v>157</v>
      </c>
    </row>
    <row r="366" s="13" customFormat="1">
      <c r="A366" s="13"/>
      <c r="B366" s="232"/>
      <c r="C366" s="233"/>
      <c r="D366" s="234" t="s">
        <v>165</v>
      </c>
      <c r="E366" s="235" t="s">
        <v>1</v>
      </c>
      <c r="F366" s="236" t="s">
        <v>1974</v>
      </c>
      <c r="G366" s="233"/>
      <c r="H366" s="237">
        <v>224.44800000000001</v>
      </c>
      <c r="I366" s="238"/>
      <c r="J366" s="233"/>
      <c r="K366" s="233"/>
      <c r="L366" s="239"/>
      <c r="M366" s="240"/>
      <c r="N366" s="241"/>
      <c r="O366" s="241"/>
      <c r="P366" s="241"/>
      <c r="Q366" s="241"/>
      <c r="R366" s="241"/>
      <c r="S366" s="241"/>
      <c r="T366" s="242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T366" s="243" t="s">
        <v>165</v>
      </c>
      <c r="AU366" s="243" t="s">
        <v>86</v>
      </c>
      <c r="AV366" s="13" t="s">
        <v>86</v>
      </c>
      <c r="AW366" s="13" t="s">
        <v>32</v>
      </c>
      <c r="AX366" s="13" t="s">
        <v>77</v>
      </c>
      <c r="AY366" s="243" t="s">
        <v>157</v>
      </c>
    </row>
    <row r="367" s="2" customFormat="1" ht="24.15" customHeight="1">
      <c r="A367" s="37"/>
      <c r="B367" s="38"/>
      <c r="C367" s="254" t="s">
        <v>725</v>
      </c>
      <c r="D367" s="254" t="s">
        <v>229</v>
      </c>
      <c r="E367" s="255" t="s">
        <v>789</v>
      </c>
      <c r="F367" s="256" t="s">
        <v>790</v>
      </c>
      <c r="G367" s="257" t="s">
        <v>209</v>
      </c>
      <c r="H367" s="258">
        <v>8135.625</v>
      </c>
      <c r="I367" s="259"/>
      <c r="J367" s="260">
        <f>ROUND(I367*H367,0)</f>
        <v>0</v>
      </c>
      <c r="K367" s="261"/>
      <c r="L367" s="262"/>
      <c r="M367" s="263" t="s">
        <v>1</v>
      </c>
      <c r="N367" s="264" t="s">
        <v>42</v>
      </c>
      <c r="O367" s="90"/>
      <c r="P367" s="228">
        <f>O367*H367</f>
        <v>0</v>
      </c>
      <c r="Q367" s="228">
        <v>0.0025000000000000001</v>
      </c>
      <c r="R367" s="228">
        <f>Q367*H367</f>
        <v>20.339062500000001</v>
      </c>
      <c r="S367" s="228">
        <v>0</v>
      </c>
      <c r="T367" s="229">
        <f>S367*H367</f>
        <v>0</v>
      </c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R367" s="230" t="s">
        <v>329</v>
      </c>
      <c r="AT367" s="230" t="s">
        <v>229</v>
      </c>
      <c r="AU367" s="230" t="s">
        <v>86</v>
      </c>
      <c r="AY367" s="16" t="s">
        <v>157</v>
      </c>
      <c r="BE367" s="231">
        <f>IF(N367="základní",J367,0)</f>
        <v>0</v>
      </c>
      <c r="BF367" s="231">
        <f>IF(N367="snížená",J367,0)</f>
        <v>0</v>
      </c>
      <c r="BG367" s="231">
        <f>IF(N367="zákl. přenesená",J367,0)</f>
        <v>0</v>
      </c>
      <c r="BH367" s="231">
        <f>IF(N367="sníž. přenesená",J367,0)</f>
        <v>0</v>
      </c>
      <c r="BI367" s="231">
        <f>IF(N367="nulová",J367,0)</f>
        <v>0</v>
      </c>
      <c r="BJ367" s="16" t="s">
        <v>8</v>
      </c>
      <c r="BK367" s="231">
        <f>ROUND(I367*H367,0)</f>
        <v>0</v>
      </c>
      <c r="BL367" s="16" t="s">
        <v>246</v>
      </c>
      <c r="BM367" s="230" t="s">
        <v>1986</v>
      </c>
    </row>
    <row r="368" s="13" customFormat="1">
      <c r="A368" s="13"/>
      <c r="B368" s="232"/>
      <c r="C368" s="233"/>
      <c r="D368" s="234" t="s">
        <v>165</v>
      </c>
      <c r="E368" s="235" t="s">
        <v>1</v>
      </c>
      <c r="F368" s="236" t="s">
        <v>1978</v>
      </c>
      <c r="G368" s="233"/>
      <c r="H368" s="237">
        <v>6980.3729999999996</v>
      </c>
      <c r="I368" s="238"/>
      <c r="J368" s="233"/>
      <c r="K368" s="233"/>
      <c r="L368" s="239"/>
      <c r="M368" s="240"/>
      <c r="N368" s="241"/>
      <c r="O368" s="241"/>
      <c r="P368" s="241"/>
      <c r="Q368" s="241"/>
      <c r="R368" s="241"/>
      <c r="S368" s="241"/>
      <c r="T368" s="242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T368" s="243" t="s">
        <v>165</v>
      </c>
      <c r="AU368" s="243" t="s">
        <v>86</v>
      </c>
      <c r="AV368" s="13" t="s">
        <v>86</v>
      </c>
      <c r="AW368" s="13" t="s">
        <v>32</v>
      </c>
      <c r="AX368" s="13" t="s">
        <v>8</v>
      </c>
      <c r="AY368" s="243" t="s">
        <v>157</v>
      </c>
    </row>
    <row r="369" s="13" customFormat="1">
      <c r="A369" s="13"/>
      <c r="B369" s="232"/>
      <c r="C369" s="233"/>
      <c r="D369" s="234" t="s">
        <v>165</v>
      </c>
      <c r="E369" s="233"/>
      <c r="F369" s="236" t="s">
        <v>1979</v>
      </c>
      <c r="G369" s="233"/>
      <c r="H369" s="237">
        <v>8135.625</v>
      </c>
      <c r="I369" s="238"/>
      <c r="J369" s="233"/>
      <c r="K369" s="233"/>
      <c r="L369" s="239"/>
      <c r="M369" s="240"/>
      <c r="N369" s="241"/>
      <c r="O369" s="241"/>
      <c r="P369" s="241"/>
      <c r="Q369" s="241"/>
      <c r="R369" s="241"/>
      <c r="S369" s="241"/>
      <c r="T369" s="242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T369" s="243" t="s">
        <v>165</v>
      </c>
      <c r="AU369" s="243" t="s">
        <v>86</v>
      </c>
      <c r="AV369" s="13" t="s">
        <v>86</v>
      </c>
      <c r="AW369" s="13" t="s">
        <v>4</v>
      </c>
      <c r="AX369" s="13" t="s">
        <v>8</v>
      </c>
      <c r="AY369" s="243" t="s">
        <v>157</v>
      </c>
    </row>
    <row r="370" s="2" customFormat="1" ht="24.15" customHeight="1">
      <c r="A370" s="37"/>
      <c r="B370" s="38"/>
      <c r="C370" s="218" t="s">
        <v>732</v>
      </c>
      <c r="D370" s="218" t="s">
        <v>159</v>
      </c>
      <c r="E370" s="219" t="s">
        <v>795</v>
      </c>
      <c r="F370" s="220" t="s">
        <v>796</v>
      </c>
      <c r="G370" s="221" t="s">
        <v>209</v>
      </c>
      <c r="H370" s="222">
        <v>6980.3729999999996</v>
      </c>
      <c r="I370" s="223"/>
      <c r="J370" s="224">
        <f>ROUND(I370*H370,0)</f>
        <v>0</v>
      </c>
      <c r="K370" s="225"/>
      <c r="L370" s="43"/>
      <c r="M370" s="226" t="s">
        <v>1</v>
      </c>
      <c r="N370" s="227" t="s">
        <v>42</v>
      </c>
      <c r="O370" s="90"/>
      <c r="P370" s="228">
        <f>O370*H370</f>
        <v>0</v>
      </c>
      <c r="Q370" s="228">
        <v>0</v>
      </c>
      <c r="R370" s="228">
        <f>Q370*H370</f>
        <v>0</v>
      </c>
      <c r="S370" s="228">
        <v>0</v>
      </c>
      <c r="T370" s="229">
        <f>S370*H370</f>
        <v>0</v>
      </c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R370" s="230" t="s">
        <v>246</v>
      </c>
      <c r="AT370" s="230" t="s">
        <v>159</v>
      </c>
      <c r="AU370" s="230" t="s">
        <v>86</v>
      </c>
      <c r="AY370" s="16" t="s">
        <v>157</v>
      </c>
      <c r="BE370" s="231">
        <f>IF(N370="základní",J370,0)</f>
        <v>0</v>
      </c>
      <c r="BF370" s="231">
        <f>IF(N370="snížená",J370,0)</f>
        <v>0</v>
      </c>
      <c r="BG370" s="231">
        <f>IF(N370="zákl. přenesená",J370,0)</f>
        <v>0</v>
      </c>
      <c r="BH370" s="231">
        <f>IF(N370="sníž. přenesená",J370,0)</f>
        <v>0</v>
      </c>
      <c r="BI370" s="231">
        <f>IF(N370="nulová",J370,0)</f>
        <v>0</v>
      </c>
      <c r="BJ370" s="16" t="s">
        <v>8</v>
      </c>
      <c r="BK370" s="231">
        <f>ROUND(I370*H370,0)</f>
        <v>0</v>
      </c>
      <c r="BL370" s="16" t="s">
        <v>246</v>
      </c>
      <c r="BM370" s="230" t="s">
        <v>1987</v>
      </c>
    </row>
    <row r="371" s="2" customFormat="1" ht="24.15" customHeight="1">
      <c r="A371" s="37"/>
      <c r="B371" s="38"/>
      <c r="C371" s="254" t="s">
        <v>738</v>
      </c>
      <c r="D371" s="254" t="s">
        <v>229</v>
      </c>
      <c r="E371" s="255" t="s">
        <v>800</v>
      </c>
      <c r="F371" s="256" t="s">
        <v>801</v>
      </c>
      <c r="G371" s="257" t="s">
        <v>209</v>
      </c>
      <c r="H371" s="258">
        <v>8062.3310000000001</v>
      </c>
      <c r="I371" s="259"/>
      <c r="J371" s="260">
        <f>ROUND(I371*H371,0)</f>
        <v>0</v>
      </c>
      <c r="K371" s="261"/>
      <c r="L371" s="262"/>
      <c r="M371" s="263" t="s">
        <v>1</v>
      </c>
      <c r="N371" s="264" t="s">
        <v>42</v>
      </c>
      <c r="O371" s="90"/>
      <c r="P371" s="228">
        <f>O371*H371</f>
        <v>0</v>
      </c>
      <c r="Q371" s="228">
        <v>0.00029999999999999997</v>
      </c>
      <c r="R371" s="228">
        <f>Q371*H371</f>
        <v>2.4186992999999997</v>
      </c>
      <c r="S371" s="228">
        <v>0</v>
      </c>
      <c r="T371" s="229">
        <f>S371*H371</f>
        <v>0</v>
      </c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R371" s="230" t="s">
        <v>329</v>
      </c>
      <c r="AT371" s="230" t="s">
        <v>229</v>
      </c>
      <c r="AU371" s="230" t="s">
        <v>86</v>
      </c>
      <c r="AY371" s="16" t="s">
        <v>157</v>
      </c>
      <c r="BE371" s="231">
        <f>IF(N371="základní",J371,0)</f>
        <v>0</v>
      </c>
      <c r="BF371" s="231">
        <f>IF(N371="snížená",J371,0)</f>
        <v>0</v>
      </c>
      <c r="BG371" s="231">
        <f>IF(N371="zákl. přenesená",J371,0)</f>
        <v>0</v>
      </c>
      <c r="BH371" s="231">
        <f>IF(N371="sníž. přenesená",J371,0)</f>
        <v>0</v>
      </c>
      <c r="BI371" s="231">
        <f>IF(N371="nulová",J371,0)</f>
        <v>0</v>
      </c>
      <c r="BJ371" s="16" t="s">
        <v>8</v>
      </c>
      <c r="BK371" s="231">
        <f>ROUND(I371*H371,0)</f>
        <v>0</v>
      </c>
      <c r="BL371" s="16" t="s">
        <v>246</v>
      </c>
      <c r="BM371" s="230" t="s">
        <v>1988</v>
      </c>
    </row>
    <row r="372" s="13" customFormat="1">
      <c r="A372" s="13"/>
      <c r="B372" s="232"/>
      <c r="C372" s="233"/>
      <c r="D372" s="234" t="s">
        <v>165</v>
      </c>
      <c r="E372" s="235" t="s">
        <v>1</v>
      </c>
      <c r="F372" s="236" t="s">
        <v>1978</v>
      </c>
      <c r="G372" s="233"/>
      <c r="H372" s="237">
        <v>6980.3729999999996</v>
      </c>
      <c r="I372" s="238"/>
      <c r="J372" s="233"/>
      <c r="K372" s="233"/>
      <c r="L372" s="239"/>
      <c r="M372" s="240"/>
      <c r="N372" s="241"/>
      <c r="O372" s="241"/>
      <c r="P372" s="241"/>
      <c r="Q372" s="241"/>
      <c r="R372" s="241"/>
      <c r="S372" s="241"/>
      <c r="T372" s="242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T372" s="243" t="s">
        <v>165</v>
      </c>
      <c r="AU372" s="243" t="s">
        <v>86</v>
      </c>
      <c r="AV372" s="13" t="s">
        <v>86</v>
      </c>
      <c r="AW372" s="13" t="s">
        <v>32</v>
      </c>
      <c r="AX372" s="13" t="s">
        <v>8</v>
      </c>
      <c r="AY372" s="243" t="s">
        <v>157</v>
      </c>
    </row>
    <row r="373" s="13" customFormat="1">
      <c r="A373" s="13"/>
      <c r="B373" s="232"/>
      <c r="C373" s="233"/>
      <c r="D373" s="234" t="s">
        <v>165</v>
      </c>
      <c r="E373" s="233"/>
      <c r="F373" s="236" t="s">
        <v>1989</v>
      </c>
      <c r="G373" s="233"/>
      <c r="H373" s="237">
        <v>8062.3310000000001</v>
      </c>
      <c r="I373" s="238"/>
      <c r="J373" s="233"/>
      <c r="K373" s="233"/>
      <c r="L373" s="239"/>
      <c r="M373" s="240"/>
      <c r="N373" s="241"/>
      <c r="O373" s="241"/>
      <c r="P373" s="241"/>
      <c r="Q373" s="241"/>
      <c r="R373" s="241"/>
      <c r="S373" s="241"/>
      <c r="T373" s="242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T373" s="243" t="s">
        <v>165</v>
      </c>
      <c r="AU373" s="243" t="s">
        <v>86</v>
      </c>
      <c r="AV373" s="13" t="s">
        <v>86</v>
      </c>
      <c r="AW373" s="13" t="s">
        <v>4</v>
      </c>
      <c r="AX373" s="13" t="s">
        <v>8</v>
      </c>
      <c r="AY373" s="243" t="s">
        <v>157</v>
      </c>
    </row>
    <row r="374" s="2" customFormat="1" ht="24.15" customHeight="1">
      <c r="A374" s="37"/>
      <c r="B374" s="38"/>
      <c r="C374" s="218" t="s">
        <v>742</v>
      </c>
      <c r="D374" s="218" t="s">
        <v>159</v>
      </c>
      <c r="E374" s="219" t="s">
        <v>806</v>
      </c>
      <c r="F374" s="220" t="s">
        <v>807</v>
      </c>
      <c r="G374" s="221" t="s">
        <v>193</v>
      </c>
      <c r="H374" s="222">
        <v>29.390000000000001</v>
      </c>
      <c r="I374" s="223"/>
      <c r="J374" s="224">
        <f>ROUND(I374*H374,0)</f>
        <v>0</v>
      </c>
      <c r="K374" s="225"/>
      <c r="L374" s="43"/>
      <c r="M374" s="226" t="s">
        <v>1</v>
      </c>
      <c r="N374" s="227" t="s">
        <v>42</v>
      </c>
      <c r="O374" s="90"/>
      <c r="P374" s="228">
        <f>O374*H374</f>
        <v>0</v>
      </c>
      <c r="Q374" s="228">
        <v>0</v>
      </c>
      <c r="R374" s="228">
        <f>Q374*H374</f>
        <v>0</v>
      </c>
      <c r="S374" s="228">
        <v>0</v>
      </c>
      <c r="T374" s="229">
        <f>S374*H374</f>
        <v>0</v>
      </c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R374" s="230" t="s">
        <v>246</v>
      </c>
      <c r="AT374" s="230" t="s">
        <v>159</v>
      </c>
      <c r="AU374" s="230" t="s">
        <v>86</v>
      </c>
      <c r="AY374" s="16" t="s">
        <v>157</v>
      </c>
      <c r="BE374" s="231">
        <f>IF(N374="základní",J374,0)</f>
        <v>0</v>
      </c>
      <c r="BF374" s="231">
        <f>IF(N374="snížená",J374,0)</f>
        <v>0</v>
      </c>
      <c r="BG374" s="231">
        <f>IF(N374="zákl. přenesená",J374,0)</f>
        <v>0</v>
      </c>
      <c r="BH374" s="231">
        <f>IF(N374="sníž. přenesená",J374,0)</f>
        <v>0</v>
      </c>
      <c r="BI374" s="231">
        <f>IF(N374="nulová",J374,0)</f>
        <v>0</v>
      </c>
      <c r="BJ374" s="16" t="s">
        <v>8</v>
      </c>
      <c r="BK374" s="231">
        <f>ROUND(I374*H374,0)</f>
        <v>0</v>
      </c>
      <c r="BL374" s="16" t="s">
        <v>246</v>
      </c>
      <c r="BM374" s="230" t="s">
        <v>1990</v>
      </c>
    </row>
    <row r="375" s="12" customFormat="1" ht="22.8" customHeight="1">
      <c r="A375" s="12"/>
      <c r="B375" s="202"/>
      <c r="C375" s="203"/>
      <c r="D375" s="204" t="s">
        <v>76</v>
      </c>
      <c r="E375" s="216" t="s">
        <v>809</v>
      </c>
      <c r="F375" s="216" t="s">
        <v>810</v>
      </c>
      <c r="G375" s="203"/>
      <c r="H375" s="203"/>
      <c r="I375" s="206"/>
      <c r="J375" s="217">
        <f>BK375</f>
        <v>0</v>
      </c>
      <c r="K375" s="203"/>
      <c r="L375" s="208"/>
      <c r="M375" s="209"/>
      <c r="N375" s="210"/>
      <c r="O375" s="210"/>
      <c r="P375" s="211">
        <f>SUM(P376:P392)</f>
        <v>0</v>
      </c>
      <c r="Q375" s="210"/>
      <c r="R375" s="211">
        <f>SUM(R376:R392)</f>
        <v>302.91237619999998</v>
      </c>
      <c r="S375" s="210"/>
      <c r="T375" s="212">
        <f>SUM(T376:T392)</f>
        <v>0</v>
      </c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R375" s="213" t="s">
        <v>86</v>
      </c>
      <c r="AT375" s="214" t="s">
        <v>76</v>
      </c>
      <c r="AU375" s="214" t="s">
        <v>8</v>
      </c>
      <c r="AY375" s="213" t="s">
        <v>157</v>
      </c>
      <c r="BK375" s="215">
        <f>SUM(BK376:BK392)</f>
        <v>0</v>
      </c>
    </row>
    <row r="376" s="2" customFormat="1" ht="37.8" customHeight="1">
      <c r="A376" s="37"/>
      <c r="B376" s="38"/>
      <c r="C376" s="218" t="s">
        <v>746</v>
      </c>
      <c r="D376" s="218" t="s">
        <v>159</v>
      </c>
      <c r="E376" s="219" t="s">
        <v>861</v>
      </c>
      <c r="F376" s="220" t="s">
        <v>862</v>
      </c>
      <c r="G376" s="221" t="s">
        <v>209</v>
      </c>
      <c r="H376" s="222">
        <v>392.14800000000002</v>
      </c>
      <c r="I376" s="223"/>
      <c r="J376" s="224">
        <f>ROUND(I376*H376,0)</f>
        <v>0</v>
      </c>
      <c r="K376" s="225"/>
      <c r="L376" s="43"/>
      <c r="M376" s="226" t="s">
        <v>1</v>
      </c>
      <c r="N376" s="227" t="s">
        <v>42</v>
      </c>
      <c r="O376" s="90"/>
      <c r="P376" s="228">
        <f>O376*H376</f>
        <v>0</v>
      </c>
      <c r="Q376" s="228">
        <v>5.0000000000000002E-05</v>
      </c>
      <c r="R376" s="228">
        <f>Q376*H376</f>
        <v>0.019607400000000001</v>
      </c>
      <c r="S376" s="228">
        <v>0</v>
      </c>
      <c r="T376" s="229">
        <f>S376*H376</f>
        <v>0</v>
      </c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R376" s="230" t="s">
        <v>246</v>
      </c>
      <c r="AT376" s="230" t="s">
        <v>159</v>
      </c>
      <c r="AU376" s="230" t="s">
        <v>86</v>
      </c>
      <c r="AY376" s="16" t="s">
        <v>157</v>
      </c>
      <c r="BE376" s="231">
        <f>IF(N376="základní",J376,0)</f>
        <v>0</v>
      </c>
      <c r="BF376" s="231">
        <f>IF(N376="snížená",J376,0)</f>
        <v>0</v>
      </c>
      <c r="BG376" s="231">
        <f>IF(N376="zákl. přenesená",J376,0)</f>
        <v>0</v>
      </c>
      <c r="BH376" s="231">
        <f>IF(N376="sníž. přenesená",J376,0)</f>
        <v>0</v>
      </c>
      <c r="BI376" s="231">
        <f>IF(N376="nulová",J376,0)</f>
        <v>0</v>
      </c>
      <c r="BJ376" s="16" t="s">
        <v>8</v>
      </c>
      <c r="BK376" s="231">
        <f>ROUND(I376*H376,0)</f>
        <v>0</v>
      </c>
      <c r="BL376" s="16" t="s">
        <v>246</v>
      </c>
      <c r="BM376" s="230" t="s">
        <v>1991</v>
      </c>
    </row>
    <row r="377" s="13" customFormat="1">
      <c r="A377" s="13"/>
      <c r="B377" s="232"/>
      <c r="C377" s="233"/>
      <c r="D377" s="234" t="s">
        <v>165</v>
      </c>
      <c r="E377" s="235" t="s">
        <v>1</v>
      </c>
      <c r="F377" s="236" t="s">
        <v>1874</v>
      </c>
      <c r="G377" s="233"/>
      <c r="H377" s="237">
        <v>392.14800000000002</v>
      </c>
      <c r="I377" s="238"/>
      <c r="J377" s="233"/>
      <c r="K377" s="233"/>
      <c r="L377" s="239"/>
      <c r="M377" s="240"/>
      <c r="N377" s="241"/>
      <c r="O377" s="241"/>
      <c r="P377" s="241"/>
      <c r="Q377" s="241"/>
      <c r="R377" s="241"/>
      <c r="S377" s="241"/>
      <c r="T377" s="242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T377" s="243" t="s">
        <v>165</v>
      </c>
      <c r="AU377" s="243" t="s">
        <v>86</v>
      </c>
      <c r="AV377" s="13" t="s">
        <v>86</v>
      </c>
      <c r="AW377" s="13" t="s">
        <v>32</v>
      </c>
      <c r="AX377" s="13" t="s">
        <v>77</v>
      </c>
      <c r="AY377" s="243" t="s">
        <v>157</v>
      </c>
    </row>
    <row r="378" s="2" customFormat="1" ht="24.15" customHeight="1">
      <c r="A378" s="37"/>
      <c r="B378" s="38"/>
      <c r="C378" s="254" t="s">
        <v>751</v>
      </c>
      <c r="D378" s="254" t="s">
        <v>229</v>
      </c>
      <c r="E378" s="255" t="s">
        <v>1992</v>
      </c>
      <c r="F378" s="256" t="s">
        <v>1993</v>
      </c>
      <c r="G378" s="257" t="s">
        <v>209</v>
      </c>
      <c r="H378" s="258">
        <v>423.51999999999998</v>
      </c>
      <c r="I378" s="259"/>
      <c r="J378" s="260">
        <f>ROUND(I378*H378,0)</f>
        <v>0</v>
      </c>
      <c r="K378" s="261"/>
      <c r="L378" s="262"/>
      <c r="M378" s="263" t="s">
        <v>1</v>
      </c>
      <c r="N378" s="264" t="s">
        <v>42</v>
      </c>
      <c r="O378" s="90"/>
      <c r="P378" s="228">
        <f>O378*H378</f>
        <v>0</v>
      </c>
      <c r="Q378" s="228">
        <v>0.0041000000000000003</v>
      </c>
      <c r="R378" s="228">
        <f>Q378*H378</f>
        <v>1.736432</v>
      </c>
      <c r="S378" s="228">
        <v>0</v>
      </c>
      <c r="T378" s="229">
        <f>S378*H378</f>
        <v>0</v>
      </c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R378" s="230" t="s">
        <v>329</v>
      </c>
      <c r="AT378" s="230" t="s">
        <v>229</v>
      </c>
      <c r="AU378" s="230" t="s">
        <v>86</v>
      </c>
      <c r="AY378" s="16" t="s">
        <v>157</v>
      </c>
      <c r="BE378" s="231">
        <f>IF(N378="základní",J378,0)</f>
        <v>0</v>
      </c>
      <c r="BF378" s="231">
        <f>IF(N378="snížená",J378,0)</f>
        <v>0</v>
      </c>
      <c r="BG378" s="231">
        <f>IF(N378="zákl. přenesená",J378,0)</f>
        <v>0</v>
      </c>
      <c r="BH378" s="231">
        <f>IF(N378="sníž. přenesená",J378,0)</f>
        <v>0</v>
      </c>
      <c r="BI378" s="231">
        <f>IF(N378="nulová",J378,0)</f>
        <v>0</v>
      </c>
      <c r="BJ378" s="16" t="s">
        <v>8</v>
      </c>
      <c r="BK378" s="231">
        <f>ROUND(I378*H378,0)</f>
        <v>0</v>
      </c>
      <c r="BL378" s="16" t="s">
        <v>246</v>
      </c>
      <c r="BM378" s="230" t="s">
        <v>1994</v>
      </c>
    </row>
    <row r="379" s="13" customFormat="1">
      <c r="A379" s="13"/>
      <c r="B379" s="232"/>
      <c r="C379" s="233"/>
      <c r="D379" s="234" t="s">
        <v>165</v>
      </c>
      <c r="E379" s="235" t="s">
        <v>1</v>
      </c>
      <c r="F379" s="236" t="s">
        <v>1995</v>
      </c>
      <c r="G379" s="233"/>
      <c r="H379" s="237">
        <v>392.14800000000002</v>
      </c>
      <c r="I379" s="238"/>
      <c r="J379" s="233"/>
      <c r="K379" s="233"/>
      <c r="L379" s="239"/>
      <c r="M379" s="240"/>
      <c r="N379" s="241"/>
      <c r="O379" s="241"/>
      <c r="P379" s="241"/>
      <c r="Q379" s="241"/>
      <c r="R379" s="241"/>
      <c r="S379" s="241"/>
      <c r="T379" s="242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T379" s="243" t="s">
        <v>165</v>
      </c>
      <c r="AU379" s="243" t="s">
        <v>86</v>
      </c>
      <c r="AV379" s="13" t="s">
        <v>86</v>
      </c>
      <c r="AW379" s="13" t="s">
        <v>32</v>
      </c>
      <c r="AX379" s="13" t="s">
        <v>8</v>
      </c>
      <c r="AY379" s="243" t="s">
        <v>157</v>
      </c>
    </row>
    <row r="380" s="13" customFormat="1">
      <c r="A380" s="13"/>
      <c r="B380" s="232"/>
      <c r="C380" s="233"/>
      <c r="D380" s="234" t="s">
        <v>165</v>
      </c>
      <c r="E380" s="233"/>
      <c r="F380" s="236" t="s">
        <v>1996</v>
      </c>
      <c r="G380" s="233"/>
      <c r="H380" s="237">
        <v>423.51999999999998</v>
      </c>
      <c r="I380" s="238"/>
      <c r="J380" s="233"/>
      <c r="K380" s="233"/>
      <c r="L380" s="239"/>
      <c r="M380" s="240"/>
      <c r="N380" s="241"/>
      <c r="O380" s="241"/>
      <c r="P380" s="241"/>
      <c r="Q380" s="241"/>
      <c r="R380" s="241"/>
      <c r="S380" s="241"/>
      <c r="T380" s="242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T380" s="243" t="s">
        <v>165</v>
      </c>
      <c r="AU380" s="243" t="s">
        <v>86</v>
      </c>
      <c r="AV380" s="13" t="s">
        <v>86</v>
      </c>
      <c r="AW380" s="13" t="s">
        <v>4</v>
      </c>
      <c r="AX380" s="13" t="s">
        <v>8</v>
      </c>
      <c r="AY380" s="243" t="s">
        <v>157</v>
      </c>
    </row>
    <row r="381" s="2" customFormat="1" ht="37.8" customHeight="1">
      <c r="A381" s="37"/>
      <c r="B381" s="38"/>
      <c r="C381" s="218" t="s">
        <v>757</v>
      </c>
      <c r="D381" s="218" t="s">
        <v>159</v>
      </c>
      <c r="E381" s="219" t="s">
        <v>891</v>
      </c>
      <c r="F381" s="220" t="s">
        <v>892</v>
      </c>
      <c r="G381" s="221" t="s">
        <v>209</v>
      </c>
      <c r="H381" s="222">
        <v>20157.720000000001</v>
      </c>
      <c r="I381" s="223"/>
      <c r="J381" s="224">
        <f>ROUND(I381*H381,0)</f>
        <v>0</v>
      </c>
      <c r="K381" s="225"/>
      <c r="L381" s="43"/>
      <c r="M381" s="226" t="s">
        <v>1</v>
      </c>
      <c r="N381" s="227" t="s">
        <v>42</v>
      </c>
      <c r="O381" s="90"/>
      <c r="P381" s="228">
        <f>O381*H381</f>
        <v>0</v>
      </c>
      <c r="Q381" s="228">
        <v>0.00024000000000000001</v>
      </c>
      <c r="R381" s="228">
        <f>Q381*H381</f>
        <v>4.8378528000000003</v>
      </c>
      <c r="S381" s="228">
        <v>0</v>
      </c>
      <c r="T381" s="229">
        <f>S381*H381</f>
        <v>0</v>
      </c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R381" s="230" t="s">
        <v>246</v>
      </c>
      <c r="AT381" s="230" t="s">
        <v>159</v>
      </c>
      <c r="AU381" s="230" t="s">
        <v>86</v>
      </c>
      <c r="AY381" s="16" t="s">
        <v>157</v>
      </c>
      <c r="BE381" s="231">
        <f>IF(N381="základní",J381,0)</f>
        <v>0</v>
      </c>
      <c r="BF381" s="231">
        <f>IF(N381="snížená",J381,0)</f>
        <v>0</v>
      </c>
      <c r="BG381" s="231">
        <f>IF(N381="zákl. přenesená",J381,0)</f>
        <v>0</v>
      </c>
      <c r="BH381" s="231">
        <f>IF(N381="sníž. přenesená",J381,0)</f>
        <v>0</v>
      </c>
      <c r="BI381" s="231">
        <f>IF(N381="nulová",J381,0)</f>
        <v>0</v>
      </c>
      <c r="BJ381" s="16" t="s">
        <v>8</v>
      </c>
      <c r="BK381" s="231">
        <f>ROUND(I381*H381,0)</f>
        <v>0</v>
      </c>
      <c r="BL381" s="16" t="s">
        <v>246</v>
      </c>
      <c r="BM381" s="230" t="s">
        <v>1997</v>
      </c>
    </row>
    <row r="382" s="13" customFormat="1">
      <c r="A382" s="13"/>
      <c r="B382" s="232"/>
      <c r="C382" s="233"/>
      <c r="D382" s="234" t="s">
        <v>165</v>
      </c>
      <c r="E382" s="235" t="s">
        <v>1</v>
      </c>
      <c r="F382" s="236" t="s">
        <v>1998</v>
      </c>
      <c r="G382" s="233"/>
      <c r="H382" s="237">
        <v>20157.720000000001</v>
      </c>
      <c r="I382" s="238"/>
      <c r="J382" s="233"/>
      <c r="K382" s="233"/>
      <c r="L382" s="239"/>
      <c r="M382" s="240"/>
      <c r="N382" s="241"/>
      <c r="O382" s="241"/>
      <c r="P382" s="241"/>
      <c r="Q382" s="241"/>
      <c r="R382" s="241"/>
      <c r="S382" s="241"/>
      <c r="T382" s="242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T382" s="243" t="s">
        <v>165</v>
      </c>
      <c r="AU382" s="243" t="s">
        <v>86</v>
      </c>
      <c r="AV382" s="13" t="s">
        <v>86</v>
      </c>
      <c r="AW382" s="13" t="s">
        <v>32</v>
      </c>
      <c r="AX382" s="13" t="s">
        <v>77</v>
      </c>
      <c r="AY382" s="243" t="s">
        <v>157</v>
      </c>
    </row>
    <row r="383" s="2" customFormat="1" ht="24.15" customHeight="1">
      <c r="A383" s="37"/>
      <c r="B383" s="38"/>
      <c r="C383" s="254" t="s">
        <v>762</v>
      </c>
      <c r="D383" s="254" t="s">
        <v>229</v>
      </c>
      <c r="E383" s="255" t="s">
        <v>1999</v>
      </c>
      <c r="F383" s="256" t="s">
        <v>2000</v>
      </c>
      <c r="G383" s="257" t="s">
        <v>209</v>
      </c>
      <c r="H383" s="258">
        <v>7055.2020000000002</v>
      </c>
      <c r="I383" s="259"/>
      <c r="J383" s="260">
        <f>ROUND(I383*H383,0)</f>
        <v>0</v>
      </c>
      <c r="K383" s="261"/>
      <c r="L383" s="262"/>
      <c r="M383" s="263" t="s">
        <v>1</v>
      </c>
      <c r="N383" s="264" t="s">
        <v>42</v>
      </c>
      <c r="O383" s="90"/>
      <c r="P383" s="228">
        <f>O383*H383</f>
        <v>0</v>
      </c>
      <c r="Q383" s="228">
        <v>0.017999999999999999</v>
      </c>
      <c r="R383" s="228">
        <f>Q383*H383</f>
        <v>126.993636</v>
      </c>
      <c r="S383" s="228">
        <v>0</v>
      </c>
      <c r="T383" s="229">
        <f>S383*H383</f>
        <v>0</v>
      </c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R383" s="230" t="s">
        <v>200</v>
      </c>
      <c r="AT383" s="230" t="s">
        <v>229</v>
      </c>
      <c r="AU383" s="230" t="s">
        <v>86</v>
      </c>
      <c r="AY383" s="16" t="s">
        <v>157</v>
      </c>
      <c r="BE383" s="231">
        <f>IF(N383="základní",J383,0)</f>
        <v>0</v>
      </c>
      <c r="BF383" s="231">
        <f>IF(N383="snížená",J383,0)</f>
        <v>0</v>
      </c>
      <c r="BG383" s="231">
        <f>IF(N383="zákl. přenesená",J383,0)</f>
        <v>0</v>
      </c>
      <c r="BH383" s="231">
        <f>IF(N383="sníž. přenesená",J383,0)</f>
        <v>0</v>
      </c>
      <c r="BI383" s="231">
        <f>IF(N383="nulová",J383,0)</f>
        <v>0</v>
      </c>
      <c r="BJ383" s="16" t="s">
        <v>8</v>
      </c>
      <c r="BK383" s="231">
        <f>ROUND(I383*H383,0)</f>
        <v>0</v>
      </c>
      <c r="BL383" s="16" t="s">
        <v>163</v>
      </c>
      <c r="BM383" s="230" t="s">
        <v>2001</v>
      </c>
    </row>
    <row r="384" s="13" customFormat="1">
      <c r="A384" s="13"/>
      <c r="B384" s="232"/>
      <c r="C384" s="233"/>
      <c r="D384" s="234" t="s">
        <v>165</v>
      </c>
      <c r="E384" s="235" t="s">
        <v>1</v>
      </c>
      <c r="F384" s="236" t="s">
        <v>2002</v>
      </c>
      <c r="G384" s="233"/>
      <c r="H384" s="237">
        <v>6719.2399999999998</v>
      </c>
      <c r="I384" s="238"/>
      <c r="J384" s="233"/>
      <c r="K384" s="233"/>
      <c r="L384" s="239"/>
      <c r="M384" s="240"/>
      <c r="N384" s="241"/>
      <c r="O384" s="241"/>
      <c r="P384" s="241"/>
      <c r="Q384" s="241"/>
      <c r="R384" s="241"/>
      <c r="S384" s="241"/>
      <c r="T384" s="242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T384" s="243" t="s">
        <v>165</v>
      </c>
      <c r="AU384" s="243" t="s">
        <v>86</v>
      </c>
      <c r="AV384" s="13" t="s">
        <v>86</v>
      </c>
      <c r="AW384" s="13" t="s">
        <v>32</v>
      </c>
      <c r="AX384" s="13" t="s">
        <v>8</v>
      </c>
      <c r="AY384" s="243" t="s">
        <v>157</v>
      </c>
    </row>
    <row r="385" s="13" customFormat="1">
      <c r="A385" s="13"/>
      <c r="B385" s="232"/>
      <c r="C385" s="233"/>
      <c r="D385" s="234" t="s">
        <v>165</v>
      </c>
      <c r="E385" s="233"/>
      <c r="F385" s="236" t="s">
        <v>2003</v>
      </c>
      <c r="G385" s="233"/>
      <c r="H385" s="237">
        <v>7055.2020000000002</v>
      </c>
      <c r="I385" s="238"/>
      <c r="J385" s="233"/>
      <c r="K385" s="233"/>
      <c r="L385" s="239"/>
      <c r="M385" s="240"/>
      <c r="N385" s="241"/>
      <c r="O385" s="241"/>
      <c r="P385" s="241"/>
      <c r="Q385" s="241"/>
      <c r="R385" s="241"/>
      <c r="S385" s="241"/>
      <c r="T385" s="242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T385" s="243" t="s">
        <v>165</v>
      </c>
      <c r="AU385" s="243" t="s">
        <v>86</v>
      </c>
      <c r="AV385" s="13" t="s">
        <v>86</v>
      </c>
      <c r="AW385" s="13" t="s">
        <v>4</v>
      </c>
      <c r="AX385" s="13" t="s">
        <v>8</v>
      </c>
      <c r="AY385" s="243" t="s">
        <v>157</v>
      </c>
    </row>
    <row r="386" s="2" customFormat="1" ht="24.15" customHeight="1">
      <c r="A386" s="37"/>
      <c r="B386" s="38"/>
      <c r="C386" s="254" t="s">
        <v>766</v>
      </c>
      <c r="D386" s="254" t="s">
        <v>229</v>
      </c>
      <c r="E386" s="255" t="s">
        <v>2004</v>
      </c>
      <c r="F386" s="256" t="s">
        <v>2005</v>
      </c>
      <c r="G386" s="257" t="s">
        <v>209</v>
      </c>
      <c r="H386" s="258">
        <v>7055.2020000000002</v>
      </c>
      <c r="I386" s="259"/>
      <c r="J386" s="260">
        <f>ROUND(I386*H386,0)</f>
        <v>0</v>
      </c>
      <c r="K386" s="261"/>
      <c r="L386" s="262"/>
      <c r="M386" s="263" t="s">
        <v>1</v>
      </c>
      <c r="N386" s="264" t="s">
        <v>42</v>
      </c>
      <c r="O386" s="90"/>
      <c r="P386" s="228">
        <f>O386*H386</f>
        <v>0</v>
      </c>
      <c r="Q386" s="228">
        <v>0.012</v>
      </c>
      <c r="R386" s="228">
        <f>Q386*H386</f>
        <v>84.662424000000001</v>
      </c>
      <c r="S386" s="228">
        <v>0</v>
      </c>
      <c r="T386" s="229">
        <f>S386*H386</f>
        <v>0</v>
      </c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R386" s="230" t="s">
        <v>329</v>
      </c>
      <c r="AT386" s="230" t="s">
        <v>229</v>
      </c>
      <c r="AU386" s="230" t="s">
        <v>86</v>
      </c>
      <c r="AY386" s="16" t="s">
        <v>157</v>
      </c>
      <c r="BE386" s="231">
        <f>IF(N386="základní",J386,0)</f>
        <v>0</v>
      </c>
      <c r="BF386" s="231">
        <f>IF(N386="snížená",J386,0)</f>
        <v>0</v>
      </c>
      <c r="BG386" s="231">
        <f>IF(N386="zákl. přenesená",J386,0)</f>
        <v>0</v>
      </c>
      <c r="BH386" s="231">
        <f>IF(N386="sníž. přenesená",J386,0)</f>
        <v>0</v>
      </c>
      <c r="BI386" s="231">
        <f>IF(N386="nulová",J386,0)</f>
        <v>0</v>
      </c>
      <c r="BJ386" s="16" t="s">
        <v>8</v>
      </c>
      <c r="BK386" s="231">
        <f>ROUND(I386*H386,0)</f>
        <v>0</v>
      </c>
      <c r="BL386" s="16" t="s">
        <v>246</v>
      </c>
      <c r="BM386" s="230" t="s">
        <v>2006</v>
      </c>
    </row>
    <row r="387" s="13" customFormat="1">
      <c r="A387" s="13"/>
      <c r="B387" s="232"/>
      <c r="C387" s="233"/>
      <c r="D387" s="234" t="s">
        <v>165</v>
      </c>
      <c r="E387" s="235" t="s">
        <v>1</v>
      </c>
      <c r="F387" s="236" t="s">
        <v>2002</v>
      </c>
      <c r="G387" s="233"/>
      <c r="H387" s="237">
        <v>6719.2399999999998</v>
      </c>
      <c r="I387" s="238"/>
      <c r="J387" s="233"/>
      <c r="K387" s="233"/>
      <c r="L387" s="239"/>
      <c r="M387" s="240"/>
      <c r="N387" s="241"/>
      <c r="O387" s="241"/>
      <c r="P387" s="241"/>
      <c r="Q387" s="241"/>
      <c r="R387" s="241"/>
      <c r="S387" s="241"/>
      <c r="T387" s="242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T387" s="243" t="s">
        <v>165</v>
      </c>
      <c r="AU387" s="243" t="s">
        <v>86</v>
      </c>
      <c r="AV387" s="13" t="s">
        <v>86</v>
      </c>
      <c r="AW387" s="13" t="s">
        <v>32</v>
      </c>
      <c r="AX387" s="13" t="s">
        <v>8</v>
      </c>
      <c r="AY387" s="243" t="s">
        <v>157</v>
      </c>
    </row>
    <row r="388" s="13" customFormat="1">
      <c r="A388" s="13"/>
      <c r="B388" s="232"/>
      <c r="C388" s="233"/>
      <c r="D388" s="234" t="s">
        <v>165</v>
      </c>
      <c r="E388" s="233"/>
      <c r="F388" s="236" t="s">
        <v>2003</v>
      </c>
      <c r="G388" s="233"/>
      <c r="H388" s="237">
        <v>7055.2020000000002</v>
      </c>
      <c r="I388" s="238"/>
      <c r="J388" s="233"/>
      <c r="K388" s="233"/>
      <c r="L388" s="239"/>
      <c r="M388" s="240"/>
      <c r="N388" s="241"/>
      <c r="O388" s="241"/>
      <c r="P388" s="241"/>
      <c r="Q388" s="241"/>
      <c r="R388" s="241"/>
      <c r="S388" s="241"/>
      <c r="T388" s="242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T388" s="243" t="s">
        <v>165</v>
      </c>
      <c r="AU388" s="243" t="s">
        <v>86</v>
      </c>
      <c r="AV388" s="13" t="s">
        <v>86</v>
      </c>
      <c r="AW388" s="13" t="s">
        <v>4</v>
      </c>
      <c r="AX388" s="13" t="s">
        <v>8</v>
      </c>
      <c r="AY388" s="243" t="s">
        <v>157</v>
      </c>
    </row>
    <row r="389" s="2" customFormat="1" ht="24.15" customHeight="1">
      <c r="A389" s="37"/>
      <c r="B389" s="38"/>
      <c r="C389" s="254" t="s">
        <v>771</v>
      </c>
      <c r="D389" s="254" t="s">
        <v>229</v>
      </c>
      <c r="E389" s="255" t="s">
        <v>2007</v>
      </c>
      <c r="F389" s="256" t="s">
        <v>2008</v>
      </c>
      <c r="G389" s="257" t="s">
        <v>209</v>
      </c>
      <c r="H389" s="258">
        <v>7055.2020000000002</v>
      </c>
      <c r="I389" s="259"/>
      <c r="J389" s="260">
        <f>ROUND(I389*H389,0)</f>
        <v>0</v>
      </c>
      <c r="K389" s="261"/>
      <c r="L389" s="262"/>
      <c r="M389" s="263" t="s">
        <v>1</v>
      </c>
      <c r="N389" s="264" t="s">
        <v>42</v>
      </c>
      <c r="O389" s="90"/>
      <c r="P389" s="228">
        <f>O389*H389</f>
        <v>0</v>
      </c>
      <c r="Q389" s="228">
        <v>0.012</v>
      </c>
      <c r="R389" s="228">
        <f>Q389*H389</f>
        <v>84.662424000000001</v>
      </c>
      <c r="S389" s="228">
        <v>0</v>
      </c>
      <c r="T389" s="229">
        <f>S389*H389</f>
        <v>0</v>
      </c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R389" s="230" t="s">
        <v>329</v>
      </c>
      <c r="AT389" s="230" t="s">
        <v>229</v>
      </c>
      <c r="AU389" s="230" t="s">
        <v>86</v>
      </c>
      <c r="AY389" s="16" t="s">
        <v>157</v>
      </c>
      <c r="BE389" s="231">
        <f>IF(N389="základní",J389,0)</f>
        <v>0</v>
      </c>
      <c r="BF389" s="231">
        <f>IF(N389="snížená",J389,0)</f>
        <v>0</v>
      </c>
      <c r="BG389" s="231">
        <f>IF(N389="zákl. přenesená",J389,0)</f>
        <v>0</v>
      </c>
      <c r="BH389" s="231">
        <f>IF(N389="sníž. přenesená",J389,0)</f>
        <v>0</v>
      </c>
      <c r="BI389" s="231">
        <f>IF(N389="nulová",J389,0)</f>
        <v>0</v>
      </c>
      <c r="BJ389" s="16" t="s">
        <v>8</v>
      </c>
      <c r="BK389" s="231">
        <f>ROUND(I389*H389,0)</f>
        <v>0</v>
      </c>
      <c r="BL389" s="16" t="s">
        <v>246</v>
      </c>
      <c r="BM389" s="230" t="s">
        <v>2009</v>
      </c>
    </row>
    <row r="390" s="13" customFormat="1">
      <c r="A390" s="13"/>
      <c r="B390" s="232"/>
      <c r="C390" s="233"/>
      <c r="D390" s="234" t="s">
        <v>165</v>
      </c>
      <c r="E390" s="235" t="s">
        <v>1</v>
      </c>
      <c r="F390" s="236" t="s">
        <v>2002</v>
      </c>
      <c r="G390" s="233"/>
      <c r="H390" s="237">
        <v>6719.2399999999998</v>
      </c>
      <c r="I390" s="238"/>
      <c r="J390" s="233"/>
      <c r="K390" s="233"/>
      <c r="L390" s="239"/>
      <c r="M390" s="240"/>
      <c r="N390" s="241"/>
      <c r="O390" s="241"/>
      <c r="P390" s="241"/>
      <c r="Q390" s="241"/>
      <c r="R390" s="241"/>
      <c r="S390" s="241"/>
      <c r="T390" s="242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T390" s="243" t="s">
        <v>165</v>
      </c>
      <c r="AU390" s="243" t="s">
        <v>86</v>
      </c>
      <c r="AV390" s="13" t="s">
        <v>86</v>
      </c>
      <c r="AW390" s="13" t="s">
        <v>32</v>
      </c>
      <c r="AX390" s="13" t="s">
        <v>8</v>
      </c>
      <c r="AY390" s="243" t="s">
        <v>157</v>
      </c>
    </row>
    <row r="391" s="13" customFormat="1">
      <c r="A391" s="13"/>
      <c r="B391" s="232"/>
      <c r="C391" s="233"/>
      <c r="D391" s="234" t="s">
        <v>165</v>
      </c>
      <c r="E391" s="233"/>
      <c r="F391" s="236" t="s">
        <v>2003</v>
      </c>
      <c r="G391" s="233"/>
      <c r="H391" s="237">
        <v>7055.2020000000002</v>
      </c>
      <c r="I391" s="238"/>
      <c r="J391" s="233"/>
      <c r="K391" s="233"/>
      <c r="L391" s="239"/>
      <c r="M391" s="240"/>
      <c r="N391" s="241"/>
      <c r="O391" s="241"/>
      <c r="P391" s="241"/>
      <c r="Q391" s="241"/>
      <c r="R391" s="241"/>
      <c r="S391" s="241"/>
      <c r="T391" s="242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T391" s="243" t="s">
        <v>165</v>
      </c>
      <c r="AU391" s="243" t="s">
        <v>86</v>
      </c>
      <c r="AV391" s="13" t="s">
        <v>86</v>
      </c>
      <c r="AW391" s="13" t="s">
        <v>4</v>
      </c>
      <c r="AX391" s="13" t="s">
        <v>8</v>
      </c>
      <c r="AY391" s="243" t="s">
        <v>157</v>
      </c>
    </row>
    <row r="392" s="2" customFormat="1" ht="24.15" customHeight="1">
      <c r="A392" s="37"/>
      <c r="B392" s="38"/>
      <c r="C392" s="218" t="s">
        <v>776</v>
      </c>
      <c r="D392" s="218" t="s">
        <v>159</v>
      </c>
      <c r="E392" s="219" t="s">
        <v>2010</v>
      </c>
      <c r="F392" s="220" t="s">
        <v>2011</v>
      </c>
      <c r="G392" s="221" t="s">
        <v>193</v>
      </c>
      <c r="H392" s="222">
        <v>175.91900000000001</v>
      </c>
      <c r="I392" s="223"/>
      <c r="J392" s="224">
        <f>ROUND(I392*H392,0)</f>
        <v>0</v>
      </c>
      <c r="K392" s="225"/>
      <c r="L392" s="43"/>
      <c r="M392" s="226" t="s">
        <v>1</v>
      </c>
      <c r="N392" s="227" t="s">
        <v>42</v>
      </c>
      <c r="O392" s="90"/>
      <c r="P392" s="228">
        <f>O392*H392</f>
        <v>0</v>
      </c>
      <c r="Q392" s="228">
        <v>0</v>
      </c>
      <c r="R392" s="228">
        <f>Q392*H392</f>
        <v>0</v>
      </c>
      <c r="S392" s="228">
        <v>0</v>
      </c>
      <c r="T392" s="229">
        <f>S392*H392</f>
        <v>0</v>
      </c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R392" s="230" t="s">
        <v>246</v>
      </c>
      <c r="AT392" s="230" t="s">
        <v>159</v>
      </c>
      <c r="AU392" s="230" t="s">
        <v>86</v>
      </c>
      <c r="AY392" s="16" t="s">
        <v>157</v>
      </c>
      <c r="BE392" s="231">
        <f>IF(N392="základní",J392,0)</f>
        <v>0</v>
      </c>
      <c r="BF392" s="231">
        <f>IF(N392="snížená",J392,0)</f>
        <v>0</v>
      </c>
      <c r="BG392" s="231">
        <f>IF(N392="zákl. přenesená",J392,0)</f>
        <v>0</v>
      </c>
      <c r="BH392" s="231">
        <f>IF(N392="sníž. přenesená",J392,0)</f>
        <v>0</v>
      </c>
      <c r="BI392" s="231">
        <f>IF(N392="nulová",J392,0)</f>
        <v>0</v>
      </c>
      <c r="BJ392" s="16" t="s">
        <v>8</v>
      </c>
      <c r="BK392" s="231">
        <f>ROUND(I392*H392,0)</f>
        <v>0</v>
      </c>
      <c r="BL392" s="16" t="s">
        <v>246</v>
      </c>
      <c r="BM392" s="230" t="s">
        <v>2012</v>
      </c>
    </row>
    <row r="393" s="12" customFormat="1" ht="22.8" customHeight="1">
      <c r="A393" s="12"/>
      <c r="B393" s="202"/>
      <c r="C393" s="203"/>
      <c r="D393" s="204" t="s">
        <v>76</v>
      </c>
      <c r="E393" s="216" t="s">
        <v>1230</v>
      </c>
      <c r="F393" s="216" t="s">
        <v>1231</v>
      </c>
      <c r="G393" s="203"/>
      <c r="H393" s="203"/>
      <c r="I393" s="206"/>
      <c r="J393" s="217">
        <f>BK393</f>
        <v>0</v>
      </c>
      <c r="K393" s="203"/>
      <c r="L393" s="208"/>
      <c r="M393" s="209"/>
      <c r="N393" s="210"/>
      <c r="O393" s="210"/>
      <c r="P393" s="211">
        <f>SUM(P394:P404)</f>
        <v>0</v>
      </c>
      <c r="Q393" s="210"/>
      <c r="R393" s="211">
        <f>SUM(R394:R404)</f>
        <v>0.088050000000000003</v>
      </c>
      <c r="S393" s="210"/>
      <c r="T393" s="212">
        <f>SUM(T394:T404)</f>
        <v>0</v>
      </c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R393" s="213" t="s">
        <v>86</v>
      </c>
      <c r="AT393" s="214" t="s">
        <v>76</v>
      </c>
      <c r="AU393" s="214" t="s">
        <v>8</v>
      </c>
      <c r="AY393" s="213" t="s">
        <v>157</v>
      </c>
      <c r="BK393" s="215">
        <f>SUM(BK394:BK404)</f>
        <v>0</v>
      </c>
    </row>
    <row r="394" s="2" customFormat="1" ht="24.15" customHeight="1">
      <c r="A394" s="37"/>
      <c r="B394" s="38"/>
      <c r="C394" s="218" t="s">
        <v>781</v>
      </c>
      <c r="D394" s="218" t="s">
        <v>159</v>
      </c>
      <c r="E394" s="219" t="s">
        <v>1245</v>
      </c>
      <c r="F394" s="220" t="s">
        <v>1246</v>
      </c>
      <c r="G394" s="221" t="s">
        <v>565</v>
      </c>
      <c r="H394" s="222">
        <v>2</v>
      </c>
      <c r="I394" s="223"/>
      <c r="J394" s="224">
        <f>ROUND(I394*H394,0)</f>
        <v>0</v>
      </c>
      <c r="K394" s="225"/>
      <c r="L394" s="43"/>
      <c r="M394" s="226" t="s">
        <v>1</v>
      </c>
      <c r="N394" s="227" t="s">
        <v>42</v>
      </c>
      <c r="O394" s="90"/>
      <c r="P394" s="228">
        <f>O394*H394</f>
        <v>0</v>
      </c>
      <c r="Q394" s="228">
        <v>0</v>
      </c>
      <c r="R394" s="228">
        <f>Q394*H394</f>
        <v>0</v>
      </c>
      <c r="S394" s="228">
        <v>0</v>
      </c>
      <c r="T394" s="229">
        <f>S394*H394</f>
        <v>0</v>
      </c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R394" s="230" t="s">
        <v>246</v>
      </c>
      <c r="AT394" s="230" t="s">
        <v>159</v>
      </c>
      <c r="AU394" s="230" t="s">
        <v>86</v>
      </c>
      <c r="AY394" s="16" t="s">
        <v>157</v>
      </c>
      <c r="BE394" s="231">
        <f>IF(N394="základní",J394,0)</f>
        <v>0</v>
      </c>
      <c r="BF394" s="231">
        <f>IF(N394="snížená",J394,0)</f>
        <v>0</v>
      </c>
      <c r="BG394" s="231">
        <f>IF(N394="zákl. přenesená",J394,0)</f>
        <v>0</v>
      </c>
      <c r="BH394" s="231">
        <f>IF(N394="sníž. přenesená",J394,0)</f>
        <v>0</v>
      </c>
      <c r="BI394" s="231">
        <f>IF(N394="nulová",J394,0)</f>
        <v>0</v>
      </c>
      <c r="BJ394" s="16" t="s">
        <v>8</v>
      </c>
      <c r="BK394" s="231">
        <f>ROUND(I394*H394,0)</f>
        <v>0</v>
      </c>
      <c r="BL394" s="16" t="s">
        <v>246</v>
      </c>
      <c r="BM394" s="230" t="s">
        <v>2013</v>
      </c>
    </row>
    <row r="395" s="13" customFormat="1">
      <c r="A395" s="13"/>
      <c r="B395" s="232"/>
      <c r="C395" s="233"/>
      <c r="D395" s="234" t="s">
        <v>165</v>
      </c>
      <c r="E395" s="235" t="s">
        <v>1</v>
      </c>
      <c r="F395" s="236" t="s">
        <v>2014</v>
      </c>
      <c r="G395" s="233"/>
      <c r="H395" s="237">
        <v>2</v>
      </c>
      <c r="I395" s="238"/>
      <c r="J395" s="233"/>
      <c r="K395" s="233"/>
      <c r="L395" s="239"/>
      <c r="M395" s="240"/>
      <c r="N395" s="241"/>
      <c r="O395" s="241"/>
      <c r="P395" s="241"/>
      <c r="Q395" s="241"/>
      <c r="R395" s="241"/>
      <c r="S395" s="241"/>
      <c r="T395" s="242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T395" s="243" t="s">
        <v>165</v>
      </c>
      <c r="AU395" s="243" t="s">
        <v>86</v>
      </c>
      <c r="AV395" s="13" t="s">
        <v>86</v>
      </c>
      <c r="AW395" s="13" t="s">
        <v>32</v>
      </c>
      <c r="AX395" s="13" t="s">
        <v>77</v>
      </c>
      <c r="AY395" s="243" t="s">
        <v>157</v>
      </c>
    </row>
    <row r="396" s="2" customFormat="1" ht="24.15" customHeight="1">
      <c r="A396" s="37"/>
      <c r="B396" s="38"/>
      <c r="C396" s="254" t="s">
        <v>788</v>
      </c>
      <c r="D396" s="254" t="s">
        <v>229</v>
      </c>
      <c r="E396" s="255" t="s">
        <v>2015</v>
      </c>
      <c r="F396" s="256" t="s">
        <v>2016</v>
      </c>
      <c r="G396" s="257" t="s">
        <v>565</v>
      </c>
      <c r="H396" s="258">
        <v>2</v>
      </c>
      <c r="I396" s="259"/>
      <c r="J396" s="260">
        <f>ROUND(I396*H396,0)</f>
        <v>0</v>
      </c>
      <c r="K396" s="261"/>
      <c r="L396" s="262"/>
      <c r="M396" s="263" t="s">
        <v>1</v>
      </c>
      <c r="N396" s="264" t="s">
        <v>42</v>
      </c>
      <c r="O396" s="90"/>
      <c r="P396" s="228">
        <f>O396*H396</f>
        <v>0</v>
      </c>
      <c r="Q396" s="228">
        <v>0.020500000000000001</v>
      </c>
      <c r="R396" s="228">
        <f>Q396*H396</f>
        <v>0.041000000000000002</v>
      </c>
      <c r="S396" s="228">
        <v>0</v>
      </c>
      <c r="T396" s="229">
        <f>S396*H396</f>
        <v>0</v>
      </c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R396" s="230" t="s">
        <v>329</v>
      </c>
      <c r="AT396" s="230" t="s">
        <v>229</v>
      </c>
      <c r="AU396" s="230" t="s">
        <v>86</v>
      </c>
      <c r="AY396" s="16" t="s">
        <v>157</v>
      </c>
      <c r="BE396" s="231">
        <f>IF(N396="základní",J396,0)</f>
        <v>0</v>
      </c>
      <c r="BF396" s="231">
        <f>IF(N396="snížená",J396,0)</f>
        <v>0</v>
      </c>
      <c r="BG396" s="231">
        <f>IF(N396="zákl. přenesená",J396,0)</f>
        <v>0</v>
      </c>
      <c r="BH396" s="231">
        <f>IF(N396="sníž. přenesená",J396,0)</f>
        <v>0</v>
      </c>
      <c r="BI396" s="231">
        <f>IF(N396="nulová",J396,0)</f>
        <v>0</v>
      </c>
      <c r="BJ396" s="16" t="s">
        <v>8</v>
      </c>
      <c r="BK396" s="231">
        <f>ROUND(I396*H396,0)</f>
        <v>0</v>
      </c>
      <c r="BL396" s="16" t="s">
        <v>246</v>
      </c>
      <c r="BM396" s="230" t="s">
        <v>2017</v>
      </c>
    </row>
    <row r="397" s="2" customFormat="1" ht="24.15" customHeight="1">
      <c r="A397" s="37"/>
      <c r="B397" s="38"/>
      <c r="C397" s="218" t="s">
        <v>794</v>
      </c>
      <c r="D397" s="218" t="s">
        <v>159</v>
      </c>
      <c r="E397" s="219" t="s">
        <v>2018</v>
      </c>
      <c r="F397" s="220" t="s">
        <v>2019</v>
      </c>
      <c r="G397" s="221" t="s">
        <v>565</v>
      </c>
      <c r="H397" s="222">
        <v>1</v>
      </c>
      <c r="I397" s="223"/>
      <c r="J397" s="224">
        <f>ROUND(I397*H397,0)</f>
        <v>0</v>
      </c>
      <c r="K397" s="225"/>
      <c r="L397" s="43"/>
      <c r="M397" s="226" t="s">
        <v>1</v>
      </c>
      <c r="N397" s="227" t="s">
        <v>42</v>
      </c>
      <c r="O397" s="90"/>
      <c r="P397" s="228">
        <f>O397*H397</f>
        <v>0</v>
      </c>
      <c r="Q397" s="228">
        <v>0</v>
      </c>
      <c r="R397" s="228">
        <f>Q397*H397</f>
        <v>0</v>
      </c>
      <c r="S397" s="228">
        <v>0</v>
      </c>
      <c r="T397" s="229">
        <f>S397*H397</f>
        <v>0</v>
      </c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R397" s="230" t="s">
        <v>246</v>
      </c>
      <c r="AT397" s="230" t="s">
        <v>159</v>
      </c>
      <c r="AU397" s="230" t="s">
        <v>86</v>
      </c>
      <c r="AY397" s="16" t="s">
        <v>157</v>
      </c>
      <c r="BE397" s="231">
        <f>IF(N397="základní",J397,0)</f>
        <v>0</v>
      </c>
      <c r="BF397" s="231">
        <f>IF(N397="snížená",J397,0)</f>
        <v>0</v>
      </c>
      <c r="BG397" s="231">
        <f>IF(N397="zákl. přenesená",J397,0)</f>
        <v>0</v>
      </c>
      <c r="BH397" s="231">
        <f>IF(N397="sníž. přenesená",J397,0)</f>
        <v>0</v>
      </c>
      <c r="BI397" s="231">
        <f>IF(N397="nulová",J397,0)</f>
        <v>0</v>
      </c>
      <c r="BJ397" s="16" t="s">
        <v>8</v>
      </c>
      <c r="BK397" s="231">
        <f>ROUND(I397*H397,0)</f>
        <v>0</v>
      </c>
      <c r="BL397" s="16" t="s">
        <v>246</v>
      </c>
      <c r="BM397" s="230" t="s">
        <v>2020</v>
      </c>
    </row>
    <row r="398" s="13" customFormat="1">
      <c r="A398" s="13"/>
      <c r="B398" s="232"/>
      <c r="C398" s="233"/>
      <c r="D398" s="234" t="s">
        <v>165</v>
      </c>
      <c r="E398" s="235" t="s">
        <v>1</v>
      </c>
      <c r="F398" s="236" t="s">
        <v>1924</v>
      </c>
      <c r="G398" s="233"/>
      <c r="H398" s="237">
        <v>1</v>
      </c>
      <c r="I398" s="238"/>
      <c r="J398" s="233"/>
      <c r="K398" s="233"/>
      <c r="L398" s="239"/>
      <c r="M398" s="240"/>
      <c r="N398" s="241"/>
      <c r="O398" s="241"/>
      <c r="P398" s="241"/>
      <c r="Q398" s="241"/>
      <c r="R398" s="241"/>
      <c r="S398" s="241"/>
      <c r="T398" s="242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T398" s="243" t="s">
        <v>165</v>
      </c>
      <c r="AU398" s="243" t="s">
        <v>86</v>
      </c>
      <c r="AV398" s="13" t="s">
        <v>86</v>
      </c>
      <c r="AW398" s="13" t="s">
        <v>32</v>
      </c>
      <c r="AX398" s="13" t="s">
        <v>77</v>
      </c>
      <c r="AY398" s="243" t="s">
        <v>157</v>
      </c>
    </row>
    <row r="399" s="2" customFormat="1" ht="24.15" customHeight="1">
      <c r="A399" s="37"/>
      <c r="B399" s="38"/>
      <c r="C399" s="254" t="s">
        <v>799</v>
      </c>
      <c r="D399" s="254" t="s">
        <v>229</v>
      </c>
      <c r="E399" s="255" t="s">
        <v>2021</v>
      </c>
      <c r="F399" s="256" t="s">
        <v>2022</v>
      </c>
      <c r="G399" s="257" t="s">
        <v>565</v>
      </c>
      <c r="H399" s="258">
        <v>1</v>
      </c>
      <c r="I399" s="259"/>
      <c r="J399" s="260">
        <f>ROUND(I399*H399,0)</f>
        <v>0</v>
      </c>
      <c r="K399" s="261"/>
      <c r="L399" s="262"/>
      <c r="M399" s="263" t="s">
        <v>1</v>
      </c>
      <c r="N399" s="264" t="s">
        <v>42</v>
      </c>
      <c r="O399" s="90"/>
      <c r="P399" s="228">
        <f>O399*H399</f>
        <v>0</v>
      </c>
      <c r="Q399" s="228">
        <v>0.040000000000000001</v>
      </c>
      <c r="R399" s="228">
        <f>Q399*H399</f>
        <v>0.040000000000000001</v>
      </c>
      <c r="S399" s="228">
        <v>0</v>
      </c>
      <c r="T399" s="229">
        <f>S399*H399</f>
        <v>0</v>
      </c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R399" s="230" t="s">
        <v>329</v>
      </c>
      <c r="AT399" s="230" t="s">
        <v>229</v>
      </c>
      <c r="AU399" s="230" t="s">
        <v>86</v>
      </c>
      <c r="AY399" s="16" t="s">
        <v>157</v>
      </c>
      <c r="BE399" s="231">
        <f>IF(N399="základní",J399,0)</f>
        <v>0</v>
      </c>
      <c r="BF399" s="231">
        <f>IF(N399="snížená",J399,0)</f>
        <v>0</v>
      </c>
      <c r="BG399" s="231">
        <f>IF(N399="zákl. přenesená",J399,0)</f>
        <v>0</v>
      </c>
      <c r="BH399" s="231">
        <f>IF(N399="sníž. přenesená",J399,0)</f>
        <v>0</v>
      </c>
      <c r="BI399" s="231">
        <f>IF(N399="nulová",J399,0)</f>
        <v>0</v>
      </c>
      <c r="BJ399" s="16" t="s">
        <v>8</v>
      </c>
      <c r="BK399" s="231">
        <f>ROUND(I399*H399,0)</f>
        <v>0</v>
      </c>
      <c r="BL399" s="16" t="s">
        <v>246</v>
      </c>
      <c r="BM399" s="230" t="s">
        <v>2023</v>
      </c>
    </row>
    <row r="400" s="2" customFormat="1" ht="21.75" customHeight="1">
      <c r="A400" s="37"/>
      <c r="B400" s="38"/>
      <c r="C400" s="218" t="s">
        <v>805</v>
      </c>
      <c r="D400" s="218" t="s">
        <v>159</v>
      </c>
      <c r="E400" s="219" t="s">
        <v>1269</v>
      </c>
      <c r="F400" s="220" t="s">
        <v>1270</v>
      </c>
      <c r="G400" s="221" t="s">
        <v>565</v>
      </c>
      <c r="H400" s="222">
        <v>3</v>
      </c>
      <c r="I400" s="223"/>
      <c r="J400" s="224">
        <f>ROUND(I400*H400,0)</f>
        <v>0</v>
      </c>
      <c r="K400" s="225"/>
      <c r="L400" s="43"/>
      <c r="M400" s="226" t="s">
        <v>1</v>
      </c>
      <c r="N400" s="227" t="s">
        <v>42</v>
      </c>
      <c r="O400" s="90"/>
      <c r="P400" s="228">
        <f>O400*H400</f>
        <v>0</v>
      </c>
      <c r="Q400" s="228">
        <v>0</v>
      </c>
      <c r="R400" s="228">
        <f>Q400*H400</f>
        <v>0</v>
      </c>
      <c r="S400" s="228">
        <v>0</v>
      </c>
      <c r="T400" s="229">
        <f>S400*H400</f>
        <v>0</v>
      </c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R400" s="230" t="s">
        <v>246</v>
      </c>
      <c r="AT400" s="230" t="s">
        <v>159</v>
      </c>
      <c r="AU400" s="230" t="s">
        <v>86</v>
      </c>
      <c r="AY400" s="16" t="s">
        <v>157</v>
      </c>
      <c r="BE400" s="231">
        <f>IF(N400="základní",J400,0)</f>
        <v>0</v>
      </c>
      <c r="BF400" s="231">
        <f>IF(N400="snížená",J400,0)</f>
        <v>0</v>
      </c>
      <c r="BG400" s="231">
        <f>IF(N400="zákl. přenesená",J400,0)</f>
        <v>0</v>
      </c>
      <c r="BH400" s="231">
        <f>IF(N400="sníž. přenesená",J400,0)</f>
        <v>0</v>
      </c>
      <c r="BI400" s="231">
        <f>IF(N400="nulová",J400,0)</f>
        <v>0</v>
      </c>
      <c r="BJ400" s="16" t="s">
        <v>8</v>
      </c>
      <c r="BK400" s="231">
        <f>ROUND(I400*H400,0)</f>
        <v>0</v>
      </c>
      <c r="BL400" s="16" t="s">
        <v>246</v>
      </c>
      <c r="BM400" s="230" t="s">
        <v>2024</v>
      </c>
    </row>
    <row r="401" s="2" customFormat="1" ht="16.5" customHeight="1">
      <c r="A401" s="37"/>
      <c r="B401" s="38"/>
      <c r="C401" s="254" t="s">
        <v>811</v>
      </c>
      <c r="D401" s="254" t="s">
        <v>229</v>
      </c>
      <c r="E401" s="255" t="s">
        <v>1274</v>
      </c>
      <c r="F401" s="256" t="s">
        <v>2025</v>
      </c>
      <c r="G401" s="257" t="s">
        <v>565</v>
      </c>
      <c r="H401" s="258">
        <v>3</v>
      </c>
      <c r="I401" s="259"/>
      <c r="J401" s="260">
        <f>ROUND(I401*H401,0)</f>
        <v>0</v>
      </c>
      <c r="K401" s="261"/>
      <c r="L401" s="262"/>
      <c r="M401" s="263" t="s">
        <v>1</v>
      </c>
      <c r="N401" s="264" t="s">
        <v>42</v>
      </c>
      <c r="O401" s="90"/>
      <c r="P401" s="228">
        <f>O401*H401</f>
        <v>0</v>
      </c>
      <c r="Q401" s="228">
        <v>0.0022000000000000001</v>
      </c>
      <c r="R401" s="228">
        <f>Q401*H401</f>
        <v>0.0066</v>
      </c>
      <c r="S401" s="228">
        <v>0</v>
      </c>
      <c r="T401" s="229">
        <f>S401*H401</f>
        <v>0</v>
      </c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R401" s="230" t="s">
        <v>329</v>
      </c>
      <c r="AT401" s="230" t="s">
        <v>229</v>
      </c>
      <c r="AU401" s="230" t="s">
        <v>86</v>
      </c>
      <c r="AY401" s="16" t="s">
        <v>157</v>
      </c>
      <c r="BE401" s="231">
        <f>IF(N401="základní",J401,0)</f>
        <v>0</v>
      </c>
      <c r="BF401" s="231">
        <f>IF(N401="snížená",J401,0)</f>
        <v>0</v>
      </c>
      <c r="BG401" s="231">
        <f>IF(N401="zákl. přenesená",J401,0)</f>
        <v>0</v>
      </c>
      <c r="BH401" s="231">
        <f>IF(N401="sníž. přenesená",J401,0)</f>
        <v>0</v>
      </c>
      <c r="BI401" s="231">
        <f>IF(N401="nulová",J401,0)</f>
        <v>0</v>
      </c>
      <c r="BJ401" s="16" t="s">
        <v>8</v>
      </c>
      <c r="BK401" s="231">
        <f>ROUND(I401*H401,0)</f>
        <v>0</v>
      </c>
      <c r="BL401" s="16" t="s">
        <v>246</v>
      </c>
      <c r="BM401" s="230" t="s">
        <v>2026</v>
      </c>
    </row>
    <row r="402" s="2" customFormat="1" ht="21.75" customHeight="1">
      <c r="A402" s="37"/>
      <c r="B402" s="38"/>
      <c r="C402" s="218" t="s">
        <v>816</v>
      </c>
      <c r="D402" s="218" t="s">
        <v>159</v>
      </c>
      <c r="E402" s="219" t="s">
        <v>1286</v>
      </c>
      <c r="F402" s="220" t="s">
        <v>1287</v>
      </c>
      <c r="G402" s="221" t="s">
        <v>565</v>
      </c>
      <c r="H402" s="222">
        <v>3</v>
      </c>
      <c r="I402" s="223"/>
      <c r="J402" s="224">
        <f>ROUND(I402*H402,0)</f>
        <v>0</v>
      </c>
      <c r="K402" s="225"/>
      <c r="L402" s="43"/>
      <c r="M402" s="226" t="s">
        <v>1</v>
      </c>
      <c r="N402" s="227" t="s">
        <v>42</v>
      </c>
      <c r="O402" s="90"/>
      <c r="P402" s="228">
        <f>O402*H402</f>
        <v>0</v>
      </c>
      <c r="Q402" s="228">
        <v>0</v>
      </c>
      <c r="R402" s="228">
        <f>Q402*H402</f>
        <v>0</v>
      </c>
      <c r="S402" s="228">
        <v>0</v>
      </c>
      <c r="T402" s="229">
        <f>S402*H402</f>
        <v>0</v>
      </c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R402" s="230" t="s">
        <v>246</v>
      </c>
      <c r="AT402" s="230" t="s">
        <v>159</v>
      </c>
      <c r="AU402" s="230" t="s">
        <v>86</v>
      </c>
      <c r="AY402" s="16" t="s">
        <v>157</v>
      </c>
      <c r="BE402" s="231">
        <f>IF(N402="základní",J402,0)</f>
        <v>0</v>
      </c>
      <c r="BF402" s="231">
        <f>IF(N402="snížená",J402,0)</f>
        <v>0</v>
      </c>
      <c r="BG402" s="231">
        <f>IF(N402="zákl. přenesená",J402,0)</f>
        <v>0</v>
      </c>
      <c r="BH402" s="231">
        <f>IF(N402="sníž. přenesená",J402,0)</f>
        <v>0</v>
      </c>
      <c r="BI402" s="231">
        <f>IF(N402="nulová",J402,0)</f>
        <v>0</v>
      </c>
      <c r="BJ402" s="16" t="s">
        <v>8</v>
      </c>
      <c r="BK402" s="231">
        <f>ROUND(I402*H402,0)</f>
        <v>0</v>
      </c>
      <c r="BL402" s="16" t="s">
        <v>246</v>
      </c>
      <c r="BM402" s="230" t="s">
        <v>2027</v>
      </c>
    </row>
    <row r="403" s="2" customFormat="1" ht="16.5" customHeight="1">
      <c r="A403" s="37"/>
      <c r="B403" s="38"/>
      <c r="C403" s="254" t="s">
        <v>822</v>
      </c>
      <c r="D403" s="254" t="s">
        <v>229</v>
      </c>
      <c r="E403" s="255" t="s">
        <v>1290</v>
      </c>
      <c r="F403" s="256" t="s">
        <v>1291</v>
      </c>
      <c r="G403" s="257" t="s">
        <v>565</v>
      </c>
      <c r="H403" s="258">
        <v>3</v>
      </c>
      <c r="I403" s="259"/>
      <c r="J403" s="260">
        <f>ROUND(I403*H403,0)</f>
        <v>0</v>
      </c>
      <c r="K403" s="261"/>
      <c r="L403" s="262"/>
      <c r="M403" s="263" t="s">
        <v>1</v>
      </c>
      <c r="N403" s="264" t="s">
        <v>42</v>
      </c>
      <c r="O403" s="90"/>
      <c r="P403" s="228">
        <f>O403*H403</f>
        <v>0</v>
      </c>
      <c r="Q403" s="228">
        <v>0.00014999999999999999</v>
      </c>
      <c r="R403" s="228">
        <f>Q403*H403</f>
        <v>0.00044999999999999999</v>
      </c>
      <c r="S403" s="228">
        <v>0</v>
      </c>
      <c r="T403" s="229">
        <f>S403*H403</f>
        <v>0</v>
      </c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R403" s="230" t="s">
        <v>329</v>
      </c>
      <c r="AT403" s="230" t="s">
        <v>229</v>
      </c>
      <c r="AU403" s="230" t="s">
        <v>86</v>
      </c>
      <c r="AY403" s="16" t="s">
        <v>157</v>
      </c>
      <c r="BE403" s="231">
        <f>IF(N403="základní",J403,0)</f>
        <v>0</v>
      </c>
      <c r="BF403" s="231">
        <f>IF(N403="snížená",J403,0)</f>
        <v>0</v>
      </c>
      <c r="BG403" s="231">
        <f>IF(N403="zákl. přenesená",J403,0)</f>
        <v>0</v>
      </c>
      <c r="BH403" s="231">
        <f>IF(N403="sníž. přenesená",J403,0)</f>
        <v>0</v>
      </c>
      <c r="BI403" s="231">
        <f>IF(N403="nulová",J403,0)</f>
        <v>0</v>
      </c>
      <c r="BJ403" s="16" t="s">
        <v>8</v>
      </c>
      <c r="BK403" s="231">
        <f>ROUND(I403*H403,0)</f>
        <v>0</v>
      </c>
      <c r="BL403" s="16" t="s">
        <v>246</v>
      </c>
      <c r="BM403" s="230" t="s">
        <v>2028</v>
      </c>
    </row>
    <row r="404" s="2" customFormat="1" ht="24.15" customHeight="1">
      <c r="A404" s="37"/>
      <c r="B404" s="38"/>
      <c r="C404" s="218" t="s">
        <v>827</v>
      </c>
      <c r="D404" s="218" t="s">
        <v>159</v>
      </c>
      <c r="E404" s="219" t="s">
        <v>1309</v>
      </c>
      <c r="F404" s="220" t="s">
        <v>1310</v>
      </c>
      <c r="G404" s="221" t="s">
        <v>193</v>
      </c>
      <c r="H404" s="222">
        <v>0.087999999999999995</v>
      </c>
      <c r="I404" s="223"/>
      <c r="J404" s="224">
        <f>ROUND(I404*H404,0)</f>
        <v>0</v>
      </c>
      <c r="K404" s="225"/>
      <c r="L404" s="43"/>
      <c r="M404" s="226" t="s">
        <v>1</v>
      </c>
      <c r="N404" s="227" t="s">
        <v>42</v>
      </c>
      <c r="O404" s="90"/>
      <c r="P404" s="228">
        <f>O404*H404</f>
        <v>0</v>
      </c>
      <c r="Q404" s="228">
        <v>0</v>
      </c>
      <c r="R404" s="228">
        <f>Q404*H404</f>
        <v>0</v>
      </c>
      <c r="S404" s="228">
        <v>0</v>
      </c>
      <c r="T404" s="229">
        <f>S404*H404</f>
        <v>0</v>
      </c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R404" s="230" t="s">
        <v>246</v>
      </c>
      <c r="AT404" s="230" t="s">
        <v>159</v>
      </c>
      <c r="AU404" s="230" t="s">
        <v>86</v>
      </c>
      <c r="AY404" s="16" t="s">
        <v>157</v>
      </c>
      <c r="BE404" s="231">
        <f>IF(N404="základní",J404,0)</f>
        <v>0</v>
      </c>
      <c r="BF404" s="231">
        <f>IF(N404="snížená",J404,0)</f>
        <v>0</v>
      </c>
      <c r="BG404" s="231">
        <f>IF(N404="zákl. přenesená",J404,0)</f>
        <v>0</v>
      </c>
      <c r="BH404" s="231">
        <f>IF(N404="sníž. přenesená",J404,0)</f>
        <v>0</v>
      </c>
      <c r="BI404" s="231">
        <f>IF(N404="nulová",J404,0)</f>
        <v>0</v>
      </c>
      <c r="BJ404" s="16" t="s">
        <v>8</v>
      </c>
      <c r="BK404" s="231">
        <f>ROUND(I404*H404,0)</f>
        <v>0</v>
      </c>
      <c r="BL404" s="16" t="s">
        <v>246</v>
      </c>
      <c r="BM404" s="230" t="s">
        <v>2029</v>
      </c>
    </row>
    <row r="405" s="12" customFormat="1" ht="22.8" customHeight="1">
      <c r="A405" s="12"/>
      <c r="B405" s="202"/>
      <c r="C405" s="203"/>
      <c r="D405" s="204" t="s">
        <v>76</v>
      </c>
      <c r="E405" s="216" t="s">
        <v>1312</v>
      </c>
      <c r="F405" s="216" t="s">
        <v>1313</v>
      </c>
      <c r="G405" s="203"/>
      <c r="H405" s="203"/>
      <c r="I405" s="206"/>
      <c r="J405" s="217">
        <f>BK405</f>
        <v>0</v>
      </c>
      <c r="K405" s="203"/>
      <c r="L405" s="208"/>
      <c r="M405" s="209"/>
      <c r="N405" s="210"/>
      <c r="O405" s="210"/>
      <c r="P405" s="211">
        <f>SUM(P406:P440)</f>
        <v>0</v>
      </c>
      <c r="Q405" s="210"/>
      <c r="R405" s="211">
        <f>SUM(R406:R440)</f>
        <v>0.97296399999999994</v>
      </c>
      <c r="S405" s="210"/>
      <c r="T405" s="212">
        <f>SUM(T406:T440)</f>
        <v>0</v>
      </c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R405" s="213" t="s">
        <v>86</v>
      </c>
      <c r="AT405" s="214" t="s">
        <v>76</v>
      </c>
      <c r="AU405" s="214" t="s">
        <v>8</v>
      </c>
      <c r="AY405" s="213" t="s">
        <v>157</v>
      </c>
      <c r="BK405" s="215">
        <f>SUM(BK406:BK440)</f>
        <v>0</v>
      </c>
    </row>
    <row r="406" s="2" customFormat="1" ht="24.15" customHeight="1">
      <c r="A406" s="37"/>
      <c r="B406" s="38"/>
      <c r="C406" s="218" t="s">
        <v>833</v>
      </c>
      <c r="D406" s="218" t="s">
        <v>159</v>
      </c>
      <c r="E406" s="219" t="s">
        <v>2030</v>
      </c>
      <c r="F406" s="220" t="s">
        <v>2031</v>
      </c>
      <c r="G406" s="221" t="s">
        <v>353</v>
      </c>
      <c r="H406" s="222">
        <v>3</v>
      </c>
      <c r="I406" s="223"/>
      <c r="J406" s="224">
        <f>ROUND(I406*H406,0)</f>
        <v>0</v>
      </c>
      <c r="K406" s="225"/>
      <c r="L406" s="43"/>
      <c r="M406" s="226" t="s">
        <v>1</v>
      </c>
      <c r="N406" s="227" t="s">
        <v>42</v>
      </c>
      <c r="O406" s="90"/>
      <c r="P406" s="228">
        <f>O406*H406</f>
        <v>0</v>
      </c>
      <c r="Q406" s="228">
        <v>0</v>
      </c>
      <c r="R406" s="228">
        <f>Q406*H406</f>
        <v>0</v>
      </c>
      <c r="S406" s="228">
        <v>0</v>
      </c>
      <c r="T406" s="229">
        <f>S406*H406</f>
        <v>0</v>
      </c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R406" s="230" t="s">
        <v>246</v>
      </c>
      <c r="AT406" s="230" t="s">
        <v>159</v>
      </c>
      <c r="AU406" s="230" t="s">
        <v>86</v>
      </c>
      <c r="AY406" s="16" t="s">
        <v>157</v>
      </c>
      <c r="BE406" s="231">
        <f>IF(N406="základní",J406,0)</f>
        <v>0</v>
      </c>
      <c r="BF406" s="231">
        <f>IF(N406="snížená",J406,0)</f>
        <v>0</v>
      </c>
      <c r="BG406" s="231">
        <f>IF(N406="zákl. přenesená",J406,0)</f>
        <v>0</v>
      </c>
      <c r="BH406" s="231">
        <f>IF(N406="sníž. přenesená",J406,0)</f>
        <v>0</v>
      </c>
      <c r="BI406" s="231">
        <f>IF(N406="nulová",J406,0)</f>
        <v>0</v>
      </c>
      <c r="BJ406" s="16" t="s">
        <v>8</v>
      </c>
      <c r="BK406" s="231">
        <f>ROUND(I406*H406,0)</f>
        <v>0</v>
      </c>
      <c r="BL406" s="16" t="s">
        <v>246</v>
      </c>
      <c r="BM406" s="230" t="s">
        <v>2032</v>
      </c>
    </row>
    <row r="407" s="2" customFormat="1" ht="24.15" customHeight="1">
      <c r="A407" s="37"/>
      <c r="B407" s="38"/>
      <c r="C407" s="218" t="s">
        <v>839</v>
      </c>
      <c r="D407" s="218" t="s">
        <v>159</v>
      </c>
      <c r="E407" s="219" t="s">
        <v>2033</v>
      </c>
      <c r="F407" s="220" t="s">
        <v>2034</v>
      </c>
      <c r="G407" s="221" t="s">
        <v>353</v>
      </c>
      <c r="H407" s="222">
        <v>2</v>
      </c>
      <c r="I407" s="223"/>
      <c r="J407" s="224">
        <f>ROUND(I407*H407,0)</f>
        <v>0</v>
      </c>
      <c r="K407" s="225"/>
      <c r="L407" s="43"/>
      <c r="M407" s="226" t="s">
        <v>1</v>
      </c>
      <c r="N407" s="227" t="s">
        <v>42</v>
      </c>
      <c r="O407" s="90"/>
      <c r="P407" s="228">
        <f>O407*H407</f>
        <v>0</v>
      </c>
      <c r="Q407" s="228">
        <v>0</v>
      </c>
      <c r="R407" s="228">
        <f>Q407*H407</f>
        <v>0</v>
      </c>
      <c r="S407" s="228">
        <v>0</v>
      </c>
      <c r="T407" s="229">
        <f>S407*H407</f>
        <v>0</v>
      </c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R407" s="230" t="s">
        <v>246</v>
      </c>
      <c r="AT407" s="230" t="s">
        <v>159</v>
      </c>
      <c r="AU407" s="230" t="s">
        <v>86</v>
      </c>
      <c r="AY407" s="16" t="s">
        <v>157</v>
      </c>
      <c r="BE407" s="231">
        <f>IF(N407="základní",J407,0)</f>
        <v>0</v>
      </c>
      <c r="BF407" s="231">
        <f>IF(N407="snížená",J407,0)</f>
        <v>0</v>
      </c>
      <c r="BG407" s="231">
        <f>IF(N407="zákl. přenesená",J407,0)</f>
        <v>0</v>
      </c>
      <c r="BH407" s="231">
        <f>IF(N407="sníž. přenesená",J407,0)</f>
        <v>0</v>
      </c>
      <c r="BI407" s="231">
        <f>IF(N407="nulová",J407,0)</f>
        <v>0</v>
      </c>
      <c r="BJ407" s="16" t="s">
        <v>8</v>
      </c>
      <c r="BK407" s="231">
        <f>ROUND(I407*H407,0)</f>
        <v>0</v>
      </c>
      <c r="BL407" s="16" t="s">
        <v>246</v>
      </c>
      <c r="BM407" s="230" t="s">
        <v>2035</v>
      </c>
    </row>
    <row r="408" s="2" customFormat="1" ht="37.8" customHeight="1">
      <c r="A408" s="37"/>
      <c r="B408" s="38"/>
      <c r="C408" s="218" t="s">
        <v>843</v>
      </c>
      <c r="D408" s="218" t="s">
        <v>159</v>
      </c>
      <c r="E408" s="219" t="s">
        <v>2036</v>
      </c>
      <c r="F408" s="220" t="s">
        <v>2037</v>
      </c>
      <c r="G408" s="221" t="s">
        <v>353</v>
      </c>
      <c r="H408" s="222">
        <v>5</v>
      </c>
      <c r="I408" s="223"/>
      <c r="J408" s="224">
        <f>ROUND(I408*H408,0)</f>
        <v>0</v>
      </c>
      <c r="K408" s="225"/>
      <c r="L408" s="43"/>
      <c r="M408" s="226" t="s">
        <v>1</v>
      </c>
      <c r="N408" s="227" t="s">
        <v>42</v>
      </c>
      <c r="O408" s="90"/>
      <c r="P408" s="228">
        <f>O408*H408</f>
        <v>0</v>
      </c>
      <c r="Q408" s="228">
        <v>0</v>
      </c>
      <c r="R408" s="228">
        <f>Q408*H408</f>
        <v>0</v>
      </c>
      <c r="S408" s="228">
        <v>0</v>
      </c>
      <c r="T408" s="229">
        <f>S408*H408</f>
        <v>0</v>
      </c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R408" s="230" t="s">
        <v>246</v>
      </c>
      <c r="AT408" s="230" t="s">
        <v>159</v>
      </c>
      <c r="AU408" s="230" t="s">
        <v>86</v>
      </c>
      <c r="AY408" s="16" t="s">
        <v>157</v>
      </c>
      <c r="BE408" s="231">
        <f>IF(N408="základní",J408,0)</f>
        <v>0</v>
      </c>
      <c r="BF408" s="231">
        <f>IF(N408="snížená",J408,0)</f>
        <v>0</v>
      </c>
      <c r="BG408" s="231">
        <f>IF(N408="zákl. přenesená",J408,0)</f>
        <v>0</v>
      </c>
      <c r="BH408" s="231">
        <f>IF(N408="sníž. přenesená",J408,0)</f>
        <v>0</v>
      </c>
      <c r="BI408" s="231">
        <f>IF(N408="nulová",J408,0)</f>
        <v>0</v>
      </c>
      <c r="BJ408" s="16" t="s">
        <v>8</v>
      </c>
      <c r="BK408" s="231">
        <f>ROUND(I408*H408,0)</f>
        <v>0</v>
      </c>
      <c r="BL408" s="16" t="s">
        <v>246</v>
      </c>
      <c r="BM408" s="230" t="s">
        <v>2038</v>
      </c>
    </row>
    <row r="409" s="2" customFormat="1" ht="37.8" customHeight="1">
      <c r="A409" s="37"/>
      <c r="B409" s="38"/>
      <c r="C409" s="218" t="s">
        <v>849</v>
      </c>
      <c r="D409" s="218" t="s">
        <v>159</v>
      </c>
      <c r="E409" s="219" t="s">
        <v>2039</v>
      </c>
      <c r="F409" s="220" t="s">
        <v>2040</v>
      </c>
      <c r="G409" s="221" t="s">
        <v>353</v>
      </c>
      <c r="H409" s="222">
        <v>2</v>
      </c>
      <c r="I409" s="223"/>
      <c r="J409" s="224">
        <f>ROUND(I409*H409,0)</f>
        <v>0</v>
      </c>
      <c r="K409" s="225"/>
      <c r="L409" s="43"/>
      <c r="M409" s="226" t="s">
        <v>1</v>
      </c>
      <c r="N409" s="227" t="s">
        <v>42</v>
      </c>
      <c r="O409" s="90"/>
      <c r="P409" s="228">
        <f>O409*H409</f>
        <v>0</v>
      </c>
      <c r="Q409" s="228">
        <v>0</v>
      </c>
      <c r="R409" s="228">
        <f>Q409*H409</f>
        <v>0</v>
      </c>
      <c r="S409" s="228">
        <v>0</v>
      </c>
      <c r="T409" s="229">
        <f>S409*H409</f>
        <v>0</v>
      </c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R409" s="230" t="s">
        <v>246</v>
      </c>
      <c r="AT409" s="230" t="s">
        <v>159</v>
      </c>
      <c r="AU409" s="230" t="s">
        <v>86</v>
      </c>
      <c r="AY409" s="16" t="s">
        <v>157</v>
      </c>
      <c r="BE409" s="231">
        <f>IF(N409="základní",J409,0)</f>
        <v>0</v>
      </c>
      <c r="BF409" s="231">
        <f>IF(N409="snížená",J409,0)</f>
        <v>0</v>
      </c>
      <c r="BG409" s="231">
        <f>IF(N409="zákl. přenesená",J409,0)</f>
        <v>0</v>
      </c>
      <c r="BH409" s="231">
        <f>IF(N409="sníž. přenesená",J409,0)</f>
        <v>0</v>
      </c>
      <c r="BI409" s="231">
        <f>IF(N409="nulová",J409,0)</f>
        <v>0</v>
      </c>
      <c r="BJ409" s="16" t="s">
        <v>8</v>
      </c>
      <c r="BK409" s="231">
        <f>ROUND(I409*H409,0)</f>
        <v>0</v>
      </c>
      <c r="BL409" s="16" t="s">
        <v>246</v>
      </c>
      <c r="BM409" s="230" t="s">
        <v>2041</v>
      </c>
    </row>
    <row r="410" s="2" customFormat="1" ht="37.8" customHeight="1">
      <c r="A410" s="37"/>
      <c r="B410" s="38"/>
      <c r="C410" s="218" t="s">
        <v>854</v>
      </c>
      <c r="D410" s="218" t="s">
        <v>159</v>
      </c>
      <c r="E410" s="219" t="s">
        <v>2042</v>
      </c>
      <c r="F410" s="220" t="s">
        <v>2043</v>
      </c>
      <c r="G410" s="221" t="s">
        <v>353</v>
      </c>
      <c r="H410" s="222">
        <v>2</v>
      </c>
      <c r="I410" s="223"/>
      <c r="J410" s="224">
        <f>ROUND(I410*H410,0)</f>
        <v>0</v>
      </c>
      <c r="K410" s="225"/>
      <c r="L410" s="43"/>
      <c r="M410" s="226" t="s">
        <v>1</v>
      </c>
      <c r="N410" s="227" t="s">
        <v>42</v>
      </c>
      <c r="O410" s="90"/>
      <c r="P410" s="228">
        <f>O410*H410</f>
        <v>0</v>
      </c>
      <c r="Q410" s="228">
        <v>0</v>
      </c>
      <c r="R410" s="228">
        <f>Q410*H410</f>
        <v>0</v>
      </c>
      <c r="S410" s="228">
        <v>0</v>
      </c>
      <c r="T410" s="229">
        <f>S410*H410</f>
        <v>0</v>
      </c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R410" s="230" t="s">
        <v>246</v>
      </c>
      <c r="AT410" s="230" t="s">
        <v>159</v>
      </c>
      <c r="AU410" s="230" t="s">
        <v>86</v>
      </c>
      <c r="AY410" s="16" t="s">
        <v>157</v>
      </c>
      <c r="BE410" s="231">
        <f>IF(N410="základní",J410,0)</f>
        <v>0</v>
      </c>
      <c r="BF410" s="231">
        <f>IF(N410="snížená",J410,0)</f>
        <v>0</v>
      </c>
      <c r="BG410" s="231">
        <f>IF(N410="zákl. přenesená",J410,0)</f>
        <v>0</v>
      </c>
      <c r="BH410" s="231">
        <f>IF(N410="sníž. přenesená",J410,0)</f>
        <v>0</v>
      </c>
      <c r="BI410" s="231">
        <f>IF(N410="nulová",J410,0)</f>
        <v>0</v>
      </c>
      <c r="BJ410" s="16" t="s">
        <v>8</v>
      </c>
      <c r="BK410" s="231">
        <f>ROUND(I410*H410,0)</f>
        <v>0</v>
      </c>
      <c r="BL410" s="16" t="s">
        <v>246</v>
      </c>
      <c r="BM410" s="230" t="s">
        <v>2044</v>
      </c>
    </row>
    <row r="411" s="2" customFormat="1" ht="37.8" customHeight="1">
      <c r="A411" s="37"/>
      <c r="B411" s="38"/>
      <c r="C411" s="218" t="s">
        <v>860</v>
      </c>
      <c r="D411" s="218" t="s">
        <v>159</v>
      </c>
      <c r="E411" s="219" t="s">
        <v>2045</v>
      </c>
      <c r="F411" s="220" t="s">
        <v>2046</v>
      </c>
      <c r="G411" s="221" t="s">
        <v>353</v>
      </c>
      <c r="H411" s="222">
        <v>6</v>
      </c>
      <c r="I411" s="223"/>
      <c r="J411" s="224">
        <f>ROUND(I411*H411,0)</f>
        <v>0</v>
      </c>
      <c r="K411" s="225"/>
      <c r="L411" s="43"/>
      <c r="M411" s="226" t="s">
        <v>1</v>
      </c>
      <c r="N411" s="227" t="s">
        <v>42</v>
      </c>
      <c r="O411" s="90"/>
      <c r="P411" s="228">
        <f>O411*H411</f>
        <v>0</v>
      </c>
      <c r="Q411" s="228">
        <v>0</v>
      </c>
      <c r="R411" s="228">
        <f>Q411*H411</f>
        <v>0</v>
      </c>
      <c r="S411" s="228">
        <v>0</v>
      </c>
      <c r="T411" s="229">
        <f>S411*H411</f>
        <v>0</v>
      </c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R411" s="230" t="s">
        <v>246</v>
      </c>
      <c r="AT411" s="230" t="s">
        <v>159</v>
      </c>
      <c r="AU411" s="230" t="s">
        <v>86</v>
      </c>
      <c r="AY411" s="16" t="s">
        <v>157</v>
      </c>
      <c r="BE411" s="231">
        <f>IF(N411="základní",J411,0)</f>
        <v>0</v>
      </c>
      <c r="BF411" s="231">
        <f>IF(N411="snížená",J411,0)</f>
        <v>0</v>
      </c>
      <c r="BG411" s="231">
        <f>IF(N411="zákl. přenesená",J411,0)</f>
        <v>0</v>
      </c>
      <c r="BH411" s="231">
        <f>IF(N411="sníž. přenesená",J411,0)</f>
        <v>0</v>
      </c>
      <c r="BI411" s="231">
        <f>IF(N411="nulová",J411,0)</f>
        <v>0</v>
      </c>
      <c r="BJ411" s="16" t="s">
        <v>8</v>
      </c>
      <c r="BK411" s="231">
        <f>ROUND(I411*H411,0)</f>
        <v>0</v>
      </c>
      <c r="BL411" s="16" t="s">
        <v>246</v>
      </c>
      <c r="BM411" s="230" t="s">
        <v>2047</v>
      </c>
    </row>
    <row r="412" s="2" customFormat="1" ht="24.15" customHeight="1">
      <c r="A412" s="37"/>
      <c r="B412" s="38"/>
      <c r="C412" s="218" t="s">
        <v>864</v>
      </c>
      <c r="D412" s="218" t="s">
        <v>159</v>
      </c>
      <c r="E412" s="219" t="s">
        <v>2048</v>
      </c>
      <c r="F412" s="220" t="s">
        <v>2049</v>
      </c>
      <c r="G412" s="221" t="s">
        <v>353</v>
      </c>
      <c r="H412" s="222">
        <v>2</v>
      </c>
      <c r="I412" s="223"/>
      <c r="J412" s="224">
        <f>ROUND(I412*H412,0)</f>
        <v>0</v>
      </c>
      <c r="K412" s="225"/>
      <c r="L412" s="43"/>
      <c r="M412" s="226" t="s">
        <v>1</v>
      </c>
      <c r="N412" s="227" t="s">
        <v>42</v>
      </c>
      <c r="O412" s="90"/>
      <c r="P412" s="228">
        <f>O412*H412</f>
        <v>0</v>
      </c>
      <c r="Q412" s="228">
        <v>0</v>
      </c>
      <c r="R412" s="228">
        <f>Q412*H412</f>
        <v>0</v>
      </c>
      <c r="S412" s="228">
        <v>0</v>
      </c>
      <c r="T412" s="229">
        <f>S412*H412</f>
        <v>0</v>
      </c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R412" s="230" t="s">
        <v>246</v>
      </c>
      <c r="AT412" s="230" t="s">
        <v>159</v>
      </c>
      <c r="AU412" s="230" t="s">
        <v>86</v>
      </c>
      <c r="AY412" s="16" t="s">
        <v>157</v>
      </c>
      <c r="BE412" s="231">
        <f>IF(N412="základní",J412,0)</f>
        <v>0</v>
      </c>
      <c r="BF412" s="231">
        <f>IF(N412="snížená",J412,0)</f>
        <v>0</v>
      </c>
      <c r="BG412" s="231">
        <f>IF(N412="zákl. přenesená",J412,0)</f>
        <v>0</v>
      </c>
      <c r="BH412" s="231">
        <f>IF(N412="sníž. přenesená",J412,0)</f>
        <v>0</v>
      </c>
      <c r="BI412" s="231">
        <f>IF(N412="nulová",J412,0)</f>
        <v>0</v>
      </c>
      <c r="BJ412" s="16" t="s">
        <v>8</v>
      </c>
      <c r="BK412" s="231">
        <f>ROUND(I412*H412,0)</f>
        <v>0</v>
      </c>
      <c r="BL412" s="16" t="s">
        <v>246</v>
      </c>
      <c r="BM412" s="230" t="s">
        <v>2050</v>
      </c>
    </row>
    <row r="413" s="2" customFormat="1" ht="37.8" customHeight="1">
      <c r="A413" s="37"/>
      <c r="B413" s="38"/>
      <c r="C413" s="218" t="s">
        <v>868</v>
      </c>
      <c r="D413" s="218" t="s">
        <v>159</v>
      </c>
      <c r="E413" s="219" t="s">
        <v>2051</v>
      </c>
      <c r="F413" s="220" t="s">
        <v>2052</v>
      </c>
      <c r="G413" s="221" t="s">
        <v>353</v>
      </c>
      <c r="H413" s="222">
        <v>6</v>
      </c>
      <c r="I413" s="223"/>
      <c r="J413" s="224">
        <f>ROUND(I413*H413,0)</f>
        <v>0</v>
      </c>
      <c r="K413" s="225"/>
      <c r="L413" s="43"/>
      <c r="M413" s="226" t="s">
        <v>1</v>
      </c>
      <c r="N413" s="227" t="s">
        <v>42</v>
      </c>
      <c r="O413" s="90"/>
      <c r="P413" s="228">
        <f>O413*H413</f>
        <v>0</v>
      </c>
      <c r="Q413" s="228">
        <v>0</v>
      </c>
      <c r="R413" s="228">
        <f>Q413*H413</f>
        <v>0</v>
      </c>
      <c r="S413" s="228">
        <v>0</v>
      </c>
      <c r="T413" s="229">
        <f>S413*H413</f>
        <v>0</v>
      </c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R413" s="230" t="s">
        <v>246</v>
      </c>
      <c r="AT413" s="230" t="s">
        <v>159</v>
      </c>
      <c r="AU413" s="230" t="s">
        <v>86</v>
      </c>
      <c r="AY413" s="16" t="s">
        <v>157</v>
      </c>
      <c r="BE413" s="231">
        <f>IF(N413="základní",J413,0)</f>
        <v>0</v>
      </c>
      <c r="BF413" s="231">
        <f>IF(N413="snížená",J413,0)</f>
        <v>0</v>
      </c>
      <c r="BG413" s="231">
        <f>IF(N413="zákl. přenesená",J413,0)</f>
        <v>0</v>
      </c>
      <c r="BH413" s="231">
        <f>IF(N413="sníž. přenesená",J413,0)</f>
        <v>0</v>
      </c>
      <c r="BI413" s="231">
        <f>IF(N413="nulová",J413,0)</f>
        <v>0</v>
      </c>
      <c r="BJ413" s="16" t="s">
        <v>8</v>
      </c>
      <c r="BK413" s="231">
        <f>ROUND(I413*H413,0)</f>
        <v>0</v>
      </c>
      <c r="BL413" s="16" t="s">
        <v>246</v>
      </c>
      <c r="BM413" s="230" t="s">
        <v>2053</v>
      </c>
    </row>
    <row r="414" s="2" customFormat="1" ht="24.15" customHeight="1">
      <c r="A414" s="37"/>
      <c r="B414" s="38"/>
      <c r="C414" s="218" t="s">
        <v>876</v>
      </c>
      <c r="D414" s="218" t="s">
        <v>159</v>
      </c>
      <c r="E414" s="219" t="s">
        <v>2054</v>
      </c>
      <c r="F414" s="220" t="s">
        <v>2055</v>
      </c>
      <c r="G414" s="221" t="s">
        <v>353</v>
      </c>
      <c r="H414" s="222">
        <v>6</v>
      </c>
      <c r="I414" s="223"/>
      <c r="J414" s="224">
        <f>ROUND(I414*H414,0)</f>
        <v>0</v>
      </c>
      <c r="K414" s="225"/>
      <c r="L414" s="43"/>
      <c r="M414" s="226" t="s">
        <v>1</v>
      </c>
      <c r="N414" s="227" t="s">
        <v>42</v>
      </c>
      <c r="O414" s="90"/>
      <c r="P414" s="228">
        <f>O414*H414</f>
        <v>0</v>
      </c>
      <c r="Q414" s="228">
        <v>0</v>
      </c>
      <c r="R414" s="228">
        <f>Q414*H414</f>
        <v>0</v>
      </c>
      <c r="S414" s="228">
        <v>0</v>
      </c>
      <c r="T414" s="229">
        <f>S414*H414</f>
        <v>0</v>
      </c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R414" s="230" t="s">
        <v>246</v>
      </c>
      <c r="AT414" s="230" t="s">
        <v>159</v>
      </c>
      <c r="AU414" s="230" t="s">
        <v>86</v>
      </c>
      <c r="AY414" s="16" t="s">
        <v>157</v>
      </c>
      <c r="BE414" s="231">
        <f>IF(N414="základní",J414,0)</f>
        <v>0</v>
      </c>
      <c r="BF414" s="231">
        <f>IF(N414="snížená",J414,0)</f>
        <v>0</v>
      </c>
      <c r="BG414" s="231">
        <f>IF(N414="zákl. přenesená",J414,0)</f>
        <v>0</v>
      </c>
      <c r="BH414" s="231">
        <f>IF(N414="sníž. přenesená",J414,0)</f>
        <v>0</v>
      </c>
      <c r="BI414" s="231">
        <f>IF(N414="nulová",J414,0)</f>
        <v>0</v>
      </c>
      <c r="BJ414" s="16" t="s">
        <v>8</v>
      </c>
      <c r="BK414" s="231">
        <f>ROUND(I414*H414,0)</f>
        <v>0</v>
      </c>
      <c r="BL414" s="16" t="s">
        <v>246</v>
      </c>
      <c r="BM414" s="230" t="s">
        <v>2056</v>
      </c>
    </row>
    <row r="415" s="2" customFormat="1" ht="24.15" customHeight="1">
      <c r="A415" s="37"/>
      <c r="B415" s="38"/>
      <c r="C415" s="218" t="s">
        <v>882</v>
      </c>
      <c r="D415" s="218" t="s">
        <v>159</v>
      </c>
      <c r="E415" s="219" t="s">
        <v>2057</v>
      </c>
      <c r="F415" s="220" t="s">
        <v>2058</v>
      </c>
      <c r="G415" s="221" t="s">
        <v>353</v>
      </c>
      <c r="H415" s="222">
        <v>6</v>
      </c>
      <c r="I415" s="223"/>
      <c r="J415" s="224">
        <f>ROUND(I415*H415,0)</f>
        <v>0</v>
      </c>
      <c r="K415" s="225"/>
      <c r="L415" s="43"/>
      <c r="M415" s="226" t="s">
        <v>1</v>
      </c>
      <c r="N415" s="227" t="s">
        <v>42</v>
      </c>
      <c r="O415" s="90"/>
      <c r="P415" s="228">
        <f>O415*H415</f>
        <v>0</v>
      </c>
      <c r="Q415" s="228">
        <v>0</v>
      </c>
      <c r="R415" s="228">
        <f>Q415*H415</f>
        <v>0</v>
      </c>
      <c r="S415" s="228">
        <v>0</v>
      </c>
      <c r="T415" s="229">
        <f>S415*H415</f>
        <v>0</v>
      </c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R415" s="230" t="s">
        <v>246</v>
      </c>
      <c r="AT415" s="230" t="s">
        <v>159</v>
      </c>
      <c r="AU415" s="230" t="s">
        <v>86</v>
      </c>
      <c r="AY415" s="16" t="s">
        <v>157</v>
      </c>
      <c r="BE415" s="231">
        <f>IF(N415="základní",J415,0)</f>
        <v>0</v>
      </c>
      <c r="BF415" s="231">
        <f>IF(N415="snížená",J415,0)</f>
        <v>0</v>
      </c>
      <c r="BG415" s="231">
        <f>IF(N415="zákl. přenesená",J415,0)</f>
        <v>0</v>
      </c>
      <c r="BH415" s="231">
        <f>IF(N415="sníž. přenesená",J415,0)</f>
        <v>0</v>
      </c>
      <c r="BI415" s="231">
        <f>IF(N415="nulová",J415,0)</f>
        <v>0</v>
      </c>
      <c r="BJ415" s="16" t="s">
        <v>8</v>
      </c>
      <c r="BK415" s="231">
        <f>ROUND(I415*H415,0)</f>
        <v>0</v>
      </c>
      <c r="BL415" s="16" t="s">
        <v>246</v>
      </c>
      <c r="BM415" s="230" t="s">
        <v>2059</v>
      </c>
    </row>
    <row r="416" s="2" customFormat="1" ht="21.75" customHeight="1">
      <c r="A416" s="37"/>
      <c r="B416" s="38"/>
      <c r="C416" s="218" t="s">
        <v>886</v>
      </c>
      <c r="D416" s="218" t="s">
        <v>159</v>
      </c>
      <c r="E416" s="219" t="s">
        <v>2060</v>
      </c>
      <c r="F416" s="220" t="s">
        <v>2061</v>
      </c>
      <c r="G416" s="221" t="s">
        <v>353</v>
      </c>
      <c r="H416" s="222">
        <v>6</v>
      </c>
      <c r="I416" s="223"/>
      <c r="J416" s="224">
        <f>ROUND(I416*H416,0)</f>
        <v>0</v>
      </c>
      <c r="K416" s="225"/>
      <c r="L416" s="43"/>
      <c r="M416" s="226" t="s">
        <v>1</v>
      </c>
      <c r="N416" s="227" t="s">
        <v>42</v>
      </c>
      <c r="O416" s="90"/>
      <c r="P416" s="228">
        <f>O416*H416</f>
        <v>0</v>
      </c>
      <c r="Q416" s="228">
        <v>0</v>
      </c>
      <c r="R416" s="228">
        <f>Q416*H416</f>
        <v>0</v>
      </c>
      <c r="S416" s="228">
        <v>0</v>
      </c>
      <c r="T416" s="229">
        <f>S416*H416</f>
        <v>0</v>
      </c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R416" s="230" t="s">
        <v>246</v>
      </c>
      <c r="AT416" s="230" t="s">
        <v>159</v>
      </c>
      <c r="AU416" s="230" t="s">
        <v>86</v>
      </c>
      <c r="AY416" s="16" t="s">
        <v>157</v>
      </c>
      <c r="BE416" s="231">
        <f>IF(N416="základní",J416,0)</f>
        <v>0</v>
      </c>
      <c r="BF416" s="231">
        <f>IF(N416="snížená",J416,0)</f>
        <v>0</v>
      </c>
      <c r="BG416" s="231">
        <f>IF(N416="zákl. přenesená",J416,0)</f>
        <v>0</v>
      </c>
      <c r="BH416" s="231">
        <f>IF(N416="sníž. přenesená",J416,0)</f>
        <v>0</v>
      </c>
      <c r="BI416" s="231">
        <f>IF(N416="nulová",J416,0)</f>
        <v>0</v>
      </c>
      <c r="BJ416" s="16" t="s">
        <v>8</v>
      </c>
      <c r="BK416" s="231">
        <f>ROUND(I416*H416,0)</f>
        <v>0</v>
      </c>
      <c r="BL416" s="16" t="s">
        <v>246</v>
      </c>
      <c r="BM416" s="230" t="s">
        <v>2062</v>
      </c>
    </row>
    <row r="417" s="2" customFormat="1" ht="37.8" customHeight="1">
      <c r="A417" s="37"/>
      <c r="B417" s="38"/>
      <c r="C417" s="218" t="s">
        <v>890</v>
      </c>
      <c r="D417" s="218" t="s">
        <v>159</v>
      </c>
      <c r="E417" s="219" t="s">
        <v>2063</v>
      </c>
      <c r="F417" s="220" t="s">
        <v>2064</v>
      </c>
      <c r="G417" s="221" t="s">
        <v>1407</v>
      </c>
      <c r="H417" s="222">
        <v>764.72000000000003</v>
      </c>
      <c r="I417" s="223"/>
      <c r="J417" s="224">
        <f>ROUND(I417*H417,0)</f>
        <v>0</v>
      </c>
      <c r="K417" s="225"/>
      <c r="L417" s="43"/>
      <c r="M417" s="226" t="s">
        <v>1</v>
      </c>
      <c r="N417" s="227" t="s">
        <v>42</v>
      </c>
      <c r="O417" s="90"/>
      <c r="P417" s="228">
        <f>O417*H417</f>
        <v>0</v>
      </c>
      <c r="Q417" s="228">
        <v>0</v>
      </c>
      <c r="R417" s="228">
        <f>Q417*H417</f>
        <v>0</v>
      </c>
      <c r="S417" s="228">
        <v>0</v>
      </c>
      <c r="T417" s="229">
        <f>S417*H417</f>
        <v>0</v>
      </c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R417" s="230" t="s">
        <v>246</v>
      </c>
      <c r="AT417" s="230" t="s">
        <v>159</v>
      </c>
      <c r="AU417" s="230" t="s">
        <v>86</v>
      </c>
      <c r="AY417" s="16" t="s">
        <v>157</v>
      </c>
      <c r="BE417" s="231">
        <f>IF(N417="základní",J417,0)</f>
        <v>0</v>
      </c>
      <c r="BF417" s="231">
        <f>IF(N417="snížená",J417,0)</f>
        <v>0</v>
      </c>
      <c r="BG417" s="231">
        <f>IF(N417="zákl. přenesená",J417,0)</f>
        <v>0</v>
      </c>
      <c r="BH417" s="231">
        <f>IF(N417="sníž. přenesená",J417,0)</f>
        <v>0</v>
      </c>
      <c r="BI417" s="231">
        <f>IF(N417="nulová",J417,0)</f>
        <v>0</v>
      </c>
      <c r="BJ417" s="16" t="s">
        <v>8</v>
      </c>
      <c r="BK417" s="231">
        <f>ROUND(I417*H417,0)</f>
        <v>0</v>
      </c>
      <c r="BL417" s="16" t="s">
        <v>246</v>
      </c>
      <c r="BM417" s="230" t="s">
        <v>2065</v>
      </c>
    </row>
    <row r="418" s="13" customFormat="1">
      <c r="A418" s="13"/>
      <c r="B418" s="232"/>
      <c r="C418" s="233"/>
      <c r="D418" s="234" t="s">
        <v>165</v>
      </c>
      <c r="E418" s="235" t="s">
        <v>1</v>
      </c>
      <c r="F418" s="236" t="s">
        <v>2066</v>
      </c>
      <c r="G418" s="233"/>
      <c r="H418" s="237">
        <v>764.72000000000003</v>
      </c>
      <c r="I418" s="238"/>
      <c r="J418" s="233"/>
      <c r="K418" s="233"/>
      <c r="L418" s="239"/>
      <c r="M418" s="240"/>
      <c r="N418" s="241"/>
      <c r="O418" s="241"/>
      <c r="P418" s="241"/>
      <c r="Q418" s="241"/>
      <c r="R418" s="241"/>
      <c r="S418" s="241"/>
      <c r="T418" s="242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T418" s="243" t="s">
        <v>165</v>
      </c>
      <c r="AU418" s="243" t="s">
        <v>86</v>
      </c>
      <c r="AV418" s="13" t="s">
        <v>86</v>
      </c>
      <c r="AW418" s="13" t="s">
        <v>32</v>
      </c>
      <c r="AX418" s="13" t="s">
        <v>77</v>
      </c>
      <c r="AY418" s="243" t="s">
        <v>157</v>
      </c>
    </row>
    <row r="419" s="2" customFormat="1" ht="37.8" customHeight="1">
      <c r="A419" s="37"/>
      <c r="B419" s="38"/>
      <c r="C419" s="218" t="s">
        <v>894</v>
      </c>
      <c r="D419" s="218" t="s">
        <v>159</v>
      </c>
      <c r="E419" s="219" t="s">
        <v>2067</v>
      </c>
      <c r="F419" s="220" t="s">
        <v>2068</v>
      </c>
      <c r="G419" s="221" t="s">
        <v>1407</v>
      </c>
      <c r="H419" s="222">
        <v>876.48000000000002</v>
      </c>
      <c r="I419" s="223"/>
      <c r="J419" s="224">
        <f>ROUND(I419*H419,0)</f>
        <v>0</v>
      </c>
      <c r="K419" s="225"/>
      <c r="L419" s="43"/>
      <c r="M419" s="226" t="s">
        <v>1</v>
      </c>
      <c r="N419" s="227" t="s">
        <v>42</v>
      </c>
      <c r="O419" s="90"/>
      <c r="P419" s="228">
        <f>O419*H419</f>
        <v>0</v>
      </c>
      <c r="Q419" s="228">
        <v>0</v>
      </c>
      <c r="R419" s="228">
        <f>Q419*H419</f>
        <v>0</v>
      </c>
      <c r="S419" s="228">
        <v>0</v>
      </c>
      <c r="T419" s="229">
        <f>S419*H419</f>
        <v>0</v>
      </c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R419" s="230" t="s">
        <v>246</v>
      </c>
      <c r="AT419" s="230" t="s">
        <v>159</v>
      </c>
      <c r="AU419" s="230" t="s">
        <v>86</v>
      </c>
      <c r="AY419" s="16" t="s">
        <v>157</v>
      </c>
      <c r="BE419" s="231">
        <f>IF(N419="základní",J419,0)</f>
        <v>0</v>
      </c>
      <c r="BF419" s="231">
        <f>IF(N419="snížená",J419,0)</f>
        <v>0</v>
      </c>
      <c r="BG419" s="231">
        <f>IF(N419="zákl. přenesená",J419,0)</f>
        <v>0</v>
      </c>
      <c r="BH419" s="231">
        <f>IF(N419="sníž. přenesená",J419,0)</f>
        <v>0</v>
      </c>
      <c r="BI419" s="231">
        <f>IF(N419="nulová",J419,0)</f>
        <v>0</v>
      </c>
      <c r="BJ419" s="16" t="s">
        <v>8</v>
      </c>
      <c r="BK419" s="231">
        <f>ROUND(I419*H419,0)</f>
        <v>0</v>
      </c>
      <c r="BL419" s="16" t="s">
        <v>246</v>
      </c>
      <c r="BM419" s="230" t="s">
        <v>2069</v>
      </c>
    </row>
    <row r="420" s="13" customFormat="1">
      <c r="A420" s="13"/>
      <c r="B420" s="232"/>
      <c r="C420" s="233"/>
      <c r="D420" s="234" t="s">
        <v>165</v>
      </c>
      <c r="E420" s="235" t="s">
        <v>1</v>
      </c>
      <c r="F420" s="236" t="s">
        <v>2070</v>
      </c>
      <c r="G420" s="233"/>
      <c r="H420" s="237">
        <v>876.48000000000002</v>
      </c>
      <c r="I420" s="238"/>
      <c r="J420" s="233"/>
      <c r="K420" s="233"/>
      <c r="L420" s="239"/>
      <c r="M420" s="240"/>
      <c r="N420" s="241"/>
      <c r="O420" s="241"/>
      <c r="P420" s="241"/>
      <c r="Q420" s="241"/>
      <c r="R420" s="241"/>
      <c r="S420" s="241"/>
      <c r="T420" s="242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T420" s="243" t="s">
        <v>165</v>
      </c>
      <c r="AU420" s="243" t="s">
        <v>86</v>
      </c>
      <c r="AV420" s="13" t="s">
        <v>86</v>
      </c>
      <c r="AW420" s="13" t="s">
        <v>32</v>
      </c>
      <c r="AX420" s="13" t="s">
        <v>77</v>
      </c>
      <c r="AY420" s="243" t="s">
        <v>157</v>
      </c>
    </row>
    <row r="421" s="2" customFormat="1" ht="37.8" customHeight="1">
      <c r="A421" s="37"/>
      <c r="B421" s="38"/>
      <c r="C421" s="218" t="s">
        <v>900</v>
      </c>
      <c r="D421" s="218" t="s">
        <v>159</v>
      </c>
      <c r="E421" s="219" t="s">
        <v>2071</v>
      </c>
      <c r="F421" s="220" t="s">
        <v>2072</v>
      </c>
      <c r="G421" s="221" t="s">
        <v>1407</v>
      </c>
      <c r="H421" s="222">
        <v>754.92999999999995</v>
      </c>
      <c r="I421" s="223"/>
      <c r="J421" s="224">
        <f>ROUND(I421*H421,0)</f>
        <v>0</v>
      </c>
      <c r="K421" s="225"/>
      <c r="L421" s="43"/>
      <c r="M421" s="226" t="s">
        <v>1</v>
      </c>
      <c r="N421" s="227" t="s">
        <v>42</v>
      </c>
      <c r="O421" s="90"/>
      <c r="P421" s="228">
        <f>O421*H421</f>
        <v>0</v>
      </c>
      <c r="Q421" s="228">
        <v>0</v>
      </c>
      <c r="R421" s="228">
        <f>Q421*H421</f>
        <v>0</v>
      </c>
      <c r="S421" s="228">
        <v>0</v>
      </c>
      <c r="T421" s="229">
        <f>S421*H421</f>
        <v>0</v>
      </c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R421" s="230" t="s">
        <v>246</v>
      </c>
      <c r="AT421" s="230" t="s">
        <v>159</v>
      </c>
      <c r="AU421" s="230" t="s">
        <v>86</v>
      </c>
      <c r="AY421" s="16" t="s">
        <v>157</v>
      </c>
      <c r="BE421" s="231">
        <f>IF(N421="základní",J421,0)</f>
        <v>0</v>
      </c>
      <c r="BF421" s="231">
        <f>IF(N421="snížená",J421,0)</f>
        <v>0</v>
      </c>
      <c r="BG421" s="231">
        <f>IF(N421="zákl. přenesená",J421,0)</f>
        <v>0</v>
      </c>
      <c r="BH421" s="231">
        <f>IF(N421="sníž. přenesená",J421,0)</f>
        <v>0</v>
      </c>
      <c r="BI421" s="231">
        <f>IF(N421="nulová",J421,0)</f>
        <v>0</v>
      </c>
      <c r="BJ421" s="16" t="s">
        <v>8</v>
      </c>
      <c r="BK421" s="231">
        <f>ROUND(I421*H421,0)</f>
        <v>0</v>
      </c>
      <c r="BL421" s="16" t="s">
        <v>246</v>
      </c>
      <c r="BM421" s="230" t="s">
        <v>2073</v>
      </c>
    </row>
    <row r="422" s="13" customFormat="1">
      <c r="A422" s="13"/>
      <c r="B422" s="232"/>
      <c r="C422" s="233"/>
      <c r="D422" s="234" t="s">
        <v>165</v>
      </c>
      <c r="E422" s="235" t="s">
        <v>1</v>
      </c>
      <c r="F422" s="236" t="s">
        <v>2074</v>
      </c>
      <c r="G422" s="233"/>
      <c r="H422" s="237">
        <v>754.92999999999995</v>
      </c>
      <c r="I422" s="238"/>
      <c r="J422" s="233"/>
      <c r="K422" s="233"/>
      <c r="L422" s="239"/>
      <c r="M422" s="240"/>
      <c r="N422" s="241"/>
      <c r="O422" s="241"/>
      <c r="P422" s="241"/>
      <c r="Q422" s="241"/>
      <c r="R422" s="241"/>
      <c r="S422" s="241"/>
      <c r="T422" s="242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T422" s="243" t="s">
        <v>165</v>
      </c>
      <c r="AU422" s="243" t="s">
        <v>86</v>
      </c>
      <c r="AV422" s="13" t="s">
        <v>86</v>
      </c>
      <c r="AW422" s="13" t="s">
        <v>32</v>
      </c>
      <c r="AX422" s="13" t="s">
        <v>77</v>
      </c>
      <c r="AY422" s="243" t="s">
        <v>157</v>
      </c>
    </row>
    <row r="423" s="2" customFormat="1" ht="16.5" customHeight="1">
      <c r="A423" s="37"/>
      <c r="B423" s="38"/>
      <c r="C423" s="218" t="s">
        <v>904</v>
      </c>
      <c r="D423" s="218" t="s">
        <v>159</v>
      </c>
      <c r="E423" s="219" t="s">
        <v>2075</v>
      </c>
      <c r="F423" s="220" t="s">
        <v>1396</v>
      </c>
      <c r="G423" s="221" t="s">
        <v>407</v>
      </c>
      <c r="H423" s="222">
        <v>1</v>
      </c>
      <c r="I423" s="223"/>
      <c r="J423" s="224">
        <f>ROUND(I423*H423,0)</f>
        <v>0</v>
      </c>
      <c r="K423" s="225"/>
      <c r="L423" s="43"/>
      <c r="M423" s="226" t="s">
        <v>1</v>
      </c>
      <c r="N423" s="227" t="s">
        <v>42</v>
      </c>
      <c r="O423" s="90"/>
      <c r="P423" s="228">
        <f>O423*H423</f>
        <v>0</v>
      </c>
      <c r="Q423" s="228">
        <v>0</v>
      </c>
      <c r="R423" s="228">
        <f>Q423*H423</f>
        <v>0</v>
      </c>
      <c r="S423" s="228">
        <v>0</v>
      </c>
      <c r="T423" s="229">
        <f>S423*H423</f>
        <v>0</v>
      </c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R423" s="230" t="s">
        <v>246</v>
      </c>
      <c r="AT423" s="230" t="s">
        <v>159</v>
      </c>
      <c r="AU423" s="230" t="s">
        <v>86</v>
      </c>
      <c r="AY423" s="16" t="s">
        <v>157</v>
      </c>
      <c r="BE423" s="231">
        <f>IF(N423="základní",J423,0)</f>
        <v>0</v>
      </c>
      <c r="BF423" s="231">
        <f>IF(N423="snížená",J423,0)</f>
        <v>0</v>
      </c>
      <c r="BG423" s="231">
        <f>IF(N423="zákl. přenesená",J423,0)</f>
        <v>0</v>
      </c>
      <c r="BH423" s="231">
        <f>IF(N423="sníž. přenesená",J423,0)</f>
        <v>0</v>
      </c>
      <c r="BI423" s="231">
        <f>IF(N423="nulová",J423,0)</f>
        <v>0</v>
      </c>
      <c r="BJ423" s="16" t="s">
        <v>8</v>
      </c>
      <c r="BK423" s="231">
        <f>ROUND(I423*H423,0)</f>
        <v>0</v>
      </c>
      <c r="BL423" s="16" t="s">
        <v>246</v>
      </c>
      <c r="BM423" s="230" t="s">
        <v>2076</v>
      </c>
    </row>
    <row r="424" s="2" customFormat="1" ht="24.15" customHeight="1">
      <c r="A424" s="37"/>
      <c r="B424" s="38"/>
      <c r="C424" s="218" t="s">
        <v>908</v>
      </c>
      <c r="D424" s="218" t="s">
        <v>159</v>
      </c>
      <c r="E424" s="219" t="s">
        <v>2077</v>
      </c>
      <c r="F424" s="220" t="s">
        <v>2078</v>
      </c>
      <c r="G424" s="221" t="s">
        <v>216</v>
      </c>
      <c r="H424" s="222">
        <v>12.800000000000001</v>
      </c>
      <c r="I424" s="223"/>
      <c r="J424" s="224">
        <f>ROUND(I424*H424,0)</f>
        <v>0</v>
      </c>
      <c r="K424" s="225"/>
      <c r="L424" s="43"/>
      <c r="M424" s="226" t="s">
        <v>1</v>
      </c>
      <c r="N424" s="227" t="s">
        <v>42</v>
      </c>
      <c r="O424" s="90"/>
      <c r="P424" s="228">
        <f>O424*H424</f>
        <v>0</v>
      </c>
      <c r="Q424" s="228">
        <v>0.00072000000000000005</v>
      </c>
      <c r="R424" s="228">
        <f>Q424*H424</f>
        <v>0.0092160000000000002</v>
      </c>
      <c r="S424" s="228">
        <v>0</v>
      </c>
      <c r="T424" s="229">
        <f>S424*H424</f>
        <v>0</v>
      </c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R424" s="230" t="s">
        <v>246</v>
      </c>
      <c r="AT424" s="230" t="s">
        <v>159</v>
      </c>
      <c r="AU424" s="230" t="s">
        <v>86</v>
      </c>
      <c r="AY424" s="16" t="s">
        <v>157</v>
      </c>
      <c r="BE424" s="231">
        <f>IF(N424="základní",J424,0)</f>
        <v>0</v>
      </c>
      <c r="BF424" s="231">
        <f>IF(N424="snížená",J424,0)</f>
        <v>0</v>
      </c>
      <c r="BG424" s="231">
        <f>IF(N424="zákl. přenesená",J424,0)</f>
        <v>0</v>
      </c>
      <c r="BH424" s="231">
        <f>IF(N424="sníž. přenesená",J424,0)</f>
        <v>0</v>
      </c>
      <c r="BI424" s="231">
        <f>IF(N424="nulová",J424,0)</f>
        <v>0</v>
      </c>
      <c r="BJ424" s="16" t="s">
        <v>8</v>
      </c>
      <c r="BK424" s="231">
        <f>ROUND(I424*H424,0)</f>
        <v>0</v>
      </c>
      <c r="BL424" s="16" t="s">
        <v>246</v>
      </c>
      <c r="BM424" s="230" t="s">
        <v>2079</v>
      </c>
    </row>
    <row r="425" s="13" customFormat="1">
      <c r="A425" s="13"/>
      <c r="B425" s="232"/>
      <c r="C425" s="233"/>
      <c r="D425" s="234" t="s">
        <v>165</v>
      </c>
      <c r="E425" s="235" t="s">
        <v>1</v>
      </c>
      <c r="F425" s="236" t="s">
        <v>2080</v>
      </c>
      <c r="G425" s="233"/>
      <c r="H425" s="237">
        <v>3.7000000000000002</v>
      </c>
      <c r="I425" s="238"/>
      <c r="J425" s="233"/>
      <c r="K425" s="233"/>
      <c r="L425" s="239"/>
      <c r="M425" s="240"/>
      <c r="N425" s="241"/>
      <c r="O425" s="241"/>
      <c r="P425" s="241"/>
      <c r="Q425" s="241"/>
      <c r="R425" s="241"/>
      <c r="S425" s="241"/>
      <c r="T425" s="242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T425" s="243" t="s">
        <v>165</v>
      </c>
      <c r="AU425" s="243" t="s">
        <v>86</v>
      </c>
      <c r="AV425" s="13" t="s">
        <v>86</v>
      </c>
      <c r="AW425" s="13" t="s">
        <v>32</v>
      </c>
      <c r="AX425" s="13" t="s">
        <v>77</v>
      </c>
      <c r="AY425" s="243" t="s">
        <v>157</v>
      </c>
    </row>
    <row r="426" s="13" customFormat="1">
      <c r="A426" s="13"/>
      <c r="B426" s="232"/>
      <c r="C426" s="233"/>
      <c r="D426" s="234" t="s">
        <v>165</v>
      </c>
      <c r="E426" s="235" t="s">
        <v>1</v>
      </c>
      <c r="F426" s="236" t="s">
        <v>2081</v>
      </c>
      <c r="G426" s="233"/>
      <c r="H426" s="237">
        <v>9.0999999999999996</v>
      </c>
      <c r="I426" s="238"/>
      <c r="J426" s="233"/>
      <c r="K426" s="233"/>
      <c r="L426" s="239"/>
      <c r="M426" s="240"/>
      <c r="N426" s="241"/>
      <c r="O426" s="241"/>
      <c r="P426" s="241"/>
      <c r="Q426" s="241"/>
      <c r="R426" s="241"/>
      <c r="S426" s="241"/>
      <c r="T426" s="242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T426" s="243" t="s">
        <v>165</v>
      </c>
      <c r="AU426" s="243" t="s">
        <v>86</v>
      </c>
      <c r="AV426" s="13" t="s">
        <v>86</v>
      </c>
      <c r="AW426" s="13" t="s">
        <v>32</v>
      </c>
      <c r="AX426" s="13" t="s">
        <v>77</v>
      </c>
      <c r="AY426" s="243" t="s">
        <v>157</v>
      </c>
    </row>
    <row r="427" s="2" customFormat="1" ht="24.15" customHeight="1">
      <c r="A427" s="37"/>
      <c r="B427" s="38"/>
      <c r="C427" s="254" t="s">
        <v>913</v>
      </c>
      <c r="D427" s="254" t="s">
        <v>229</v>
      </c>
      <c r="E427" s="255" t="s">
        <v>2082</v>
      </c>
      <c r="F427" s="256" t="s">
        <v>2083</v>
      </c>
      <c r="G427" s="257" t="s">
        <v>216</v>
      </c>
      <c r="H427" s="258">
        <v>12.800000000000001</v>
      </c>
      <c r="I427" s="259"/>
      <c r="J427" s="260">
        <f>ROUND(I427*H427,0)</f>
        <v>0</v>
      </c>
      <c r="K427" s="261"/>
      <c r="L427" s="262"/>
      <c r="M427" s="263" t="s">
        <v>1</v>
      </c>
      <c r="N427" s="264" t="s">
        <v>42</v>
      </c>
      <c r="O427" s="90"/>
      <c r="P427" s="228">
        <f>O427*H427</f>
        <v>0</v>
      </c>
      <c r="Q427" s="228">
        <v>0.017999999999999999</v>
      </c>
      <c r="R427" s="228">
        <f>Q427*H427</f>
        <v>0.23039999999999999</v>
      </c>
      <c r="S427" s="228">
        <v>0</v>
      </c>
      <c r="T427" s="229">
        <f>S427*H427</f>
        <v>0</v>
      </c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R427" s="230" t="s">
        <v>329</v>
      </c>
      <c r="AT427" s="230" t="s">
        <v>229</v>
      </c>
      <c r="AU427" s="230" t="s">
        <v>86</v>
      </c>
      <c r="AY427" s="16" t="s">
        <v>157</v>
      </c>
      <c r="BE427" s="231">
        <f>IF(N427="základní",J427,0)</f>
        <v>0</v>
      </c>
      <c r="BF427" s="231">
        <f>IF(N427="snížená",J427,0)</f>
        <v>0</v>
      </c>
      <c r="BG427" s="231">
        <f>IF(N427="zákl. přenesená",J427,0)</f>
        <v>0</v>
      </c>
      <c r="BH427" s="231">
        <f>IF(N427="sníž. přenesená",J427,0)</f>
        <v>0</v>
      </c>
      <c r="BI427" s="231">
        <f>IF(N427="nulová",J427,0)</f>
        <v>0</v>
      </c>
      <c r="BJ427" s="16" t="s">
        <v>8</v>
      </c>
      <c r="BK427" s="231">
        <f>ROUND(I427*H427,0)</f>
        <v>0</v>
      </c>
      <c r="BL427" s="16" t="s">
        <v>246</v>
      </c>
      <c r="BM427" s="230" t="s">
        <v>2084</v>
      </c>
    </row>
    <row r="428" s="2" customFormat="1" ht="24.15" customHeight="1">
      <c r="A428" s="37"/>
      <c r="B428" s="38"/>
      <c r="C428" s="218" t="s">
        <v>917</v>
      </c>
      <c r="D428" s="218" t="s">
        <v>159</v>
      </c>
      <c r="E428" s="219" t="s">
        <v>1334</v>
      </c>
      <c r="F428" s="220" t="s">
        <v>1335</v>
      </c>
      <c r="G428" s="221" t="s">
        <v>216</v>
      </c>
      <c r="H428" s="222">
        <v>30.899999999999999</v>
      </c>
      <c r="I428" s="223"/>
      <c r="J428" s="224">
        <f>ROUND(I428*H428,0)</f>
        <v>0</v>
      </c>
      <c r="K428" s="225"/>
      <c r="L428" s="43"/>
      <c r="M428" s="226" t="s">
        <v>1</v>
      </c>
      <c r="N428" s="227" t="s">
        <v>42</v>
      </c>
      <c r="O428" s="90"/>
      <c r="P428" s="228">
        <f>O428*H428</f>
        <v>0</v>
      </c>
      <c r="Q428" s="228">
        <v>0.00072000000000000005</v>
      </c>
      <c r="R428" s="228">
        <f>Q428*H428</f>
        <v>0.022248</v>
      </c>
      <c r="S428" s="228">
        <v>0</v>
      </c>
      <c r="T428" s="229">
        <f>S428*H428</f>
        <v>0</v>
      </c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R428" s="230" t="s">
        <v>246</v>
      </c>
      <c r="AT428" s="230" t="s">
        <v>159</v>
      </c>
      <c r="AU428" s="230" t="s">
        <v>86</v>
      </c>
      <c r="AY428" s="16" t="s">
        <v>157</v>
      </c>
      <c r="BE428" s="231">
        <f>IF(N428="základní",J428,0)</f>
        <v>0</v>
      </c>
      <c r="BF428" s="231">
        <f>IF(N428="snížená",J428,0)</f>
        <v>0</v>
      </c>
      <c r="BG428" s="231">
        <f>IF(N428="zákl. přenesená",J428,0)</f>
        <v>0</v>
      </c>
      <c r="BH428" s="231">
        <f>IF(N428="sníž. přenesená",J428,0)</f>
        <v>0</v>
      </c>
      <c r="BI428" s="231">
        <f>IF(N428="nulová",J428,0)</f>
        <v>0</v>
      </c>
      <c r="BJ428" s="16" t="s">
        <v>8</v>
      </c>
      <c r="BK428" s="231">
        <f>ROUND(I428*H428,0)</f>
        <v>0</v>
      </c>
      <c r="BL428" s="16" t="s">
        <v>246</v>
      </c>
      <c r="BM428" s="230" t="s">
        <v>2085</v>
      </c>
    </row>
    <row r="429" s="13" customFormat="1">
      <c r="A429" s="13"/>
      <c r="B429" s="232"/>
      <c r="C429" s="233"/>
      <c r="D429" s="234" t="s">
        <v>165</v>
      </c>
      <c r="E429" s="235" t="s">
        <v>1</v>
      </c>
      <c r="F429" s="236" t="s">
        <v>2086</v>
      </c>
      <c r="G429" s="233"/>
      <c r="H429" s="237">
        <v>15.199999999999999</v>
      </c>
      <c r="I429" s="238"/>
      <c r="J429" s="233"/>
      <c r="K429" s="233"/>
      <c r="L429" s="239"/>
      <c r="M429" s="240"/>
      <c r="N429" s="241"/>
      <c r="O429" s="241"/>
      <c r="P429" s="241"/>
      <c r="Q429" s="241"/>
      <c r="R429" s="241"/>
      <c r="S429" s="241"/>
      <c r="T429" s="242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T429" s="243" t="s">
        <v>165</v>
      </c>
      <c r="AU429" s="243" t="s">
        <v>86</v>
      </c>
      <c r="AV429" s="13" t="s">
        <v>86</v>
      </c>
      <c r="AW429" s="13" t="s">
        <v>32</v>
      </c>
      <c r="AX429" s="13" t="s">
        <v>77</v>
      </c>
      <c r="AY429" s="243" t="s">
        <v>157</v>
      </c>
    </row>
    <row r="430" s="13" customFormat="1">
      <c r="A430" s="13"/>
      <c r="B430" s="232"/>
      <c r="C430" s="233"/>
      <c r="D430" s="234" t="s">
        <v>165</v>
      </c>
      <c r="E430" s="235" t="s">
        <v>1</v>
      </c>
      <c r="F430" s="236" t="s">
        <v>2087</v>
      </c>
      <c r="G430" s="233"/>
      <c r="H430" s="237">
        <v>4.9000000000000004</v>
      </c>
      <c r="I430" s="238"/>
      <c r="J430" s="233"/>
      <c r="K430" s="233"/>
      <c r="L430" s="239"/>
      <c r="M430" s="240"/>
      <c r="N430" s="241"/>
      <c r="O430" s="241"/>
      <c r="P430" s="241"/>
      <c r="Q430" s="241"/>
      <c r="R430" s="241"/>
      <c r="S430" s="241"/>
      <c r="T430" s="242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T430" s="243" t="s">
        <v>165</v>
      </c>
      <c r="AU430" s="243" t="s">
        <v>86</v>
      </c>
      <c r="AV430" s="13" t="s">
        <v>86</v>
      </c>
      <c r="AW430" s="13" t="s">
        <v>32</v>
      </c>
      <c r="AX430" s="13" t="s">
        <v>77</v>
      </c>
      <c r="AY430" s="243" t="s">
        <v>157</v>
      </c>
    </row>
    <row r="431" s="13" customFormat="1">
      <c r="A431" s="13"/>
      <c r="B431" s="232"/>
      <c r="C431" s="233"/>
      <c r="D431" s="234" t="s">
        <v>165</v>
      </c>
      <c r="E431" s="235" t="s">
        <v>1</v>
      </c>
      <c r="F431" s="236" t="s">
        <v>2088</v>
      </c>
      <c r="G431" s="233"/>
      <c r="H431" s="237">
        <v>8.8000000000000007</v>
      </c>
      <c r="I431" s="238"/>
      <c r="J431" s="233"/>
      <c r="K431" s="233"/>
      <c r="L431" s="239"/>
      <c r="M431" s="240"/>
      <c r="N431" s="241"/>
      <c r="O431" s="241"/>
      <c r="P431" s="241"/>
      <c r="Q431" s="241"/>
      <c r="R431" s="241"/>
      <c r="S431" s="241"/>
      <c r="T431" s="242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T431" s="243" t="s">
        <v>165</v>
      </c>
      <c r="AU431" s="243" t="s">
        <v>86</v>
      </c>
      <c r="AV431" s="13" t="s">
        <v>86</v>
      </c>
      <c r="AW431" s="13" t="s">
        <v>32</v>
      </c>
      <c r="AX431" s="13" t="s">
        <v>77</v>
      </c>
      <c r="AY431" s="243" t="s">
        <v>157</v>
      </c>
    </row>
    <row r="432" s="13" customFormat="1">
      <c r="A432" s="13"/>
      <c r="B432" s="232"/>
      <c r="C432" s="233"/>
      <c r="D432" s="234" t="s">
        <v>165</v>
      </c>
      <c r="E432" s="235" t="s">
        <v>1</v>
      </c>
      <c r="F432" s="236" t="s">
        <v>2089</v>
      </c>
      <c r="G432" s="233"/>
      <c r="H432" s="237">
        <v>2</v>
      </c>
      <c r="I432" s="238"/>
      <c r="J432" s="233"/>
      <c r="K432" s="233"/>
      <c r="L432" s="239"/>
      <c r="M432" s="240"/>
      <c r="N432" s="241"/>
      <c r="O432" s="241"/>
      <c r="P432" s="241"/>
      <c r="Q432" s="241"/>
      <c r="R432" s="241"/>
      <c r="S432" s="241"/>
      <c r="T432" s="242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T432" s="243" t="s">
        <v>165</v>
      </c>
      <c r="AU432" s="243" t="s">
        <v>86</v>
      </c>
      <c r="AV432" s="13" t="s">
        <v>86</v>
      </c>
      <c r="AW432" s="13" t="s">
        <v>32</v>
      </c>
      <c r="AX432" s="13" t="s">
        <v>77</v>
      </c>
      <c r="AY432" s="243" t="s">
        <v>157</v>
      </c>
    </row>
    <row r="433" s="2" customFormat="1" ht="24.15" customHeight="1">
      <c r="A433" s="37"/>
      <c r="B433" s="38"/>
      <c r="C433" s="254" t="s">
        <v>921</v>
      </c>
      <c r="D433" s="254" t="s">
        <v>229</v>
      </c>
      <c r="E433" s="255" t="s">
        <v>2090</v>
      </c>
      <c r="F433" s="256" t="s">
        <v>1340</v>
      </c>
      <c r="G433" s="257" t="s">
        <v>216</v>
      </c>
      <c r="H433" s="258">
        <v>30.899999999999999</v>
      </c>
      <c r="I433" s="259"/>
      <c r="J433" s="260">
        <f>ROUND(I433*H433,0)</f>
        <v>0</v>
      </c>
      <c r="K433" s="261"/>
      <c r="L433" s="262"/>
      <c r="M433" s="263" t="s">
        <v>1</v>
      </c>
      <c r="N433" s="264" t="s">
        <v>42</v>
      </c>
      <c r="O433" s="90"/>
      <c r="P433" s="228">
        <f>O433*H433</f>
        <v>0</v>
      </c>
      <c r="Q433" s="228">
        <v>0.02</v>
      </c>
      <c r="R433" s="228">
        <f>Q433*H433</f>
        <v>0.61799999999999999</v>
      </c>
      <c r="S433" s="228">
        <v>0</v>
      </c>
      <c r="T433" s="229">
        <f>S433*H433</f>
        <v>0</v>
      </c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R433" s="230" t="s">
        <v>329</v>
      </c>
      <c r="AT433" s="230" t="s">
        <v>229</v>
      </c>
      <c r="AU433" s="230" t="s">
        <v>86</v>
      </c>
      <c r="AY433" s="16" t="s">
        <v>157</v>
      </c>
      <c r="BE433" s="231">
        <f>IF(N433="základní",J433,0)</f>
        <v>0</v>
      </c>
      <c r="BF433" s="231">
        <f>IF(N433="snížená",J433,0)</f>
        <v>0</v>
      </c>
      <c r="BG433" s="231">
        <f>IF(N433="zákl. přenesená",J433,0)</f>
        <v>0</v>
      </c>
      <c r="BH433" s="231">
        <f>IF(N433="sníž. přenesená",J433,0)</f>
        <v>0</v>
      </c>
      <c r="BI433" s="231">
        <f>IF(N433="nulová",J433,0)</f>
        <v>0</v>
      </c>
      <c r="BJ433" s="16" t="s">
        <v>8</v>
      </c>
      <c r="BK433" s="231">
        <f>ROUND(I433*H433,0)</f>
        <v>0</v>
      </c>
      <c r="BL433" s="16" t="s">
        <v>246</v>
      </c>
      <c r="BM433" s="230" t="s">
        <v>2091</v>
      </c>
    </row>
    <row r="434" s="13" customFormat="1">
      <c r="A434" s="13"/>
      <c r="B434" s="232"/>
      <c r="C434" s="233"/>
      <c r="D434" s="234" t="s">
        <v>165</v>
      </c>
      <c r="E434" s="235" t="s">
        <v>1</v>
      </c>
      <c r="F434" s="236" t="s">
        <v>2092</v>
      </c>
      <c r="G434" s="233"/>
      <c r="H434" s="237">
        <v>30.899999999999999</v>
      </c>
      <c r="I434" s="238"/>
      <c r="J434" s="233"/>
      <c r="K434" s="233"/>
      <c r="L434" s="239"/>
      <c r="M434" s="240"/>
      <c r="N434" s="241"/>
      <c r="O434" s="241"/>
      <c r="P434" s="241"/>
      <c r="Q434" s="241"/>
      <c r="R434" s="241"/>
      <c r="S434" s="241"/>
      <c r="T434" s="242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T434" s="243" t="s">
        <v>165</v>
      </c>
      <c r="AU434" s="243" t="s">
        <v>86</v>
      </c>
      <c r="AV434" s="13" t="s">
        <v>86</v>
      </c>
      <c r="AW434" s="13" t="s">
        <v>32</v>
      </c>
      <c r="AX434" s="13" t="s">
        <v>8</v>
      </c>
      <c r="AY434" s="243" t="s">
        <v>157</v>
      </c>
    </row>
    <row r="435" s="2" customFormat="1" ht="24.15" customHeight="1">
      <c r="A435" s="37"/>
      <c r="B435" s="38"/>
      <c r="C435" s="218" t="s">
        <v>925</v>
      </c>
      <c r="D435" s="218" t="s">
        <v>159</v>
      </c>
      <c r="E435" s="219" t="s">
        <v>2093</v>
      </c>
      <c r="F435" s="220" t="s">
        <v>2094</v>
      </c>
      <c r="G435" s="221" t="s">
        <v>216</v>
      </c>
      <c r="H435" s="222">
        <v>26.600000000000001</v>
      </c>
      <c r="I435" s="223"/>
      <c r="J435" s="224">
        <f>ROUND(I435*H435,0)</f>
        <v>0</v>
      </c>
      <c r="K435" s="225"/>
      <c r="L435" s="43"/>
      <c r="M435" s="226" t="s">
        <v>1</v>
      </c>
      <c r="N435" s="227" t="s">
        <v>42</v>
      </c>
      <c r="O435" s="90"/>
      <c r="P435" s="228">
        <f>O435*H435</f>
        <v>0</v>
      </c>
      <c r="Q435" s="228">
        <v>0</v>
      </c>
      <c r="R435" s="228">
        <f>Q435*H435</f>
        <v>0</v>
      </c>
      <c r="S435" s="228">
        <v>0</v>
      </c>
      <c r="T435" s="229">
        <f>S435*H435</f>
        <v>0</v>
      </c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R435" s="230" t="s">
        <v>246</v>
      </c>
      <c r="AT435" s="230" t="s">
        <v>159</v>
      </c>
      <c r="AU435" s="230" t="s">
        <v>86</v>
      </c>
      <c r="AY435" s="16" t="s">
        <v>157</v>
      </c>
      <c r="BE435" s="231">
        <f>IF(N435="základní",J435,0)</f>
        <v>0</v>
      </c>
      <c r="BF435" s="231">
        <f>IF(N435="snížená",J435,0)</f>
        <v>0</v>
      </c>
      <c r="BG435" s="231">
        <f>IF(N435="zákl. přenesená",J435,0)</f>
        <v>0</v>
      </c>
      <c r="BH435" s="231">
        <f>IF(N435="sníž. přenesená",J435,0)</f>
        <v>0</v>
      </c>
      <c r="BI435" s="231">
        <f>IF(N435="nulová",J435,0)</f>
        <v>0</v>
      </c>
      <c r="BJ435" s="16" t="s">
        <v>8</v>
      </c>
      <c r="BK435" s="231">
        <f>ROUND(I435*H435,0)</f>
        <v>0</v>
      </c>
      <c r="BL435" s="16" t="s">
        <v>246</v>
      </c>
      <c r="BM435" s="230" t="s">
        <v>2095</v>
      </c>
    </row>
    <row r="436" s="13" customFormat="1">
      <c r="A436" s="13"/>
      <c r="B436" s="232"/>
      <c r="C436" s="233"/>
      <c r="D436" s="234" t="s">
        <v>165</v>
      </c>
      <c r="E436" s="235" t="s">
        <v>1</v>
      </c>
      <c r="F436" s="236" t="s">
        <v>2096</v>
      </c>
      <c r="G436" s="233"/>
      <c r="H436" s="237">
        <v>26.600000000000001</v>
      </c>
      <c r="I436" s="238"/>
      <c r="J436" s="233"/>
      <c r="K436" s="233"/>
      <c r="L436" s="239"/>
      <c r="M436" s="240"/>
      <c r="N436" s="241"/>
      <c r="O436" s="241"/>
      <c r="P436" s="241"/>
      <c r="Q436" s="241"/>
      <c r="R436" s="241"/>
      <c r="S436" s="241"/>
      <c r="T436" s="242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T436" s="243" t="s">
        <v>165</v>
      </c>
      <c r="AU436" s="243" t="s">
        <v>86</v>
      </c>
      <c r="AV436" s="13" t="s">
        <v>86</v>
      </c>
      <c r="AW436" s="13" t="s">
        <v>32</v>
      </c>
      <c r="AX436" s="13" t="s">
        <v>77</v>
      </c>
      <c r="AY436" s="243" t="s">
        <v>157</v>
      </c>
    </row>
    <row r="437" s="2" customFormat="1" ht="21.75" customHeight="1">
      <c r="A437" s="37"/>
      <c r="B437" s="38"/>
      <c r="C437" s="254" t="s">
        <v>931</v>
      </c>
      <c r="D437" s="254" t="s">
        <v>229</v>
      </c>
      <c r="E437" s="255" t="s">
        <v>2097</v>
      </c>
      <c r="F437" s="256" t="s">
        <v>2098</v>
      </c>
      <c r="G437" s="257" t="s">
        <v>216</v>
      </c>
      <c r="H437" s="258">
        <v>26.600000000000001</v>
      </c>
      <c r="I437" s="259"/>
      <c r="J437" s="260">
        <f>ROUND(I437*H437,0)</f>
        <v>0</v>
      </c>
      <c r="K437" s="261"/>
      <c r="L437" s="262"/>
      <c r="M437" s="263" t="s">
        <v>1</v>
      </c>
      <c r="N437" s="264" t="s">
        <v>42</v>
      </c>
      <c r="O437" s="90"/>
      <c r="P437" s="228">
        <f>O437*H437</f>
        <v>0</v>
      </c>
      <c r="Q437" s="228">
        <v>0.0035000000000000001</v>
      </c>
      <c r="R437" s="228">
        <f>Q437*H437</f>
        <v>0.093100000000000002</v>
      </c>
      <c r="S437" s="228">
        <v>0</v>
      </c>
      <c r="T437" s="229">
        <f>S437*H437</f>
        <v>0</v>
      </c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R437" s="230" t="s">
        <v>329</v>
      </c>
      <c r="AT437" s="230" t="s">
        <v>229</v>
      </c>
      <c r="AU437" s="230" t="s">
        <v>86</v>
      </c>
      <c r="AY437" s="16" t="s">
        <v>157</v>
      </c>
      <c r="BE437" s="231">
        <f>IF(N437="základní",J437,0)</f>
        <v>0</v>
      </c>
      <c r="BF437" s="231">
        <f>IF(N437="snížená",J437,0)</f>
        <v>0</v>
      </c>
      <c r="BG437" s="231">
        <f>IF(N437="zákl. přenesená",J437,0)</f>
        <v>0</v>
      </c>
      <c r="BH437" s="231">
        <f>IF(N437="sníž. přenesená",J437,0)</f>
        <v>0</v>
      </c>
      <c r="BI437" s="231">
        <f>IF(N437="nulová",J437,0)</f>
        <v>0</v>
      </c>
      <c r="BJ437" s="16" t="s">
        <v>8</v>
      </c>
      <c r="BK437" s="231">
        <f>ROUND(I437*H437,0)</f>
        <v>0</v>
      </c>
      <c r="BL437" s="16" t="s">
        <v>246</v>
      </c>
      <c r="BM437" s="230" t="s">
        <v>2099</v>
      </c>
    </row>
    <row r="438" s="2" customFormat="1" ht="24.15" customHeight="1">
      <c r="A438" s="37"/>
      <c r="B438" s="38"/>
      <c r="C438" s="218" t="s">
        <v>935</v>
      </c>
      <c r="D438" s="218" t="s">
        <v>159</v>
      </c>
      <c r="E438" s="219" t="s">
        <v>2100</v>
      </c>
      <c r="F438" s="220" t="s">
        <v>2101</v>
      </c>
      <c r="G438" s="221" t="s">
        <v>216</v>
      </c>
      <c r="H438" s="222">
        <v>22</v>
      </c>
      <c r="I438" s="223"/>
      <c r="J438" s="224">
        <f>ROUND(I438*H438,0)</f>
        <v>0</v>
      </c>
      <c r="K438" s="225"/>
      <c r="L438" s="43"/>
      <c r="M438" s="226" t="s">
        <v>1</v>
      </c>
      <c r="N438" s="227" t="s">
        <v>42</v>
      </c>
      <c r="O438" s="90"/>
      <c r="P438" s="228">
        <f>O438*H438</f>
        <v>0</v>
      </c>
      <c r="Q438" s="228">
        <v>0</v>
      </c>
      <c r="R438" s="228">
        <f>Q438*H438</f>
        <v>0</v>
      </c>
      <c r="S438" s="228">
        <v>0</v>
      </c>
      <c r="T438" s="229">
        <f>S438*H438</f>
        <v>0</v>
      </c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R438" s="230" t="s">
        <v>246</v>
      </c>
      <c r="AT438" s="230" t="s">
        <v>159</v>
      </c>
      <c r="AU438" s="230" t="s">
        <v>86</v>
      </c>
      <c r="AY438" s="16" t="s">
        <v>157</v>
      </c>
      <c r="BE438" s="231">
        <f>IF(N438="základní",J438,0)</f>
        <v>0</v>
      </c>
      <c r="BF438" s="231">
        <f>IF(N438="snížená",J438,0)</f>
        <v>0</v>
      </c>
      <c r="BG438" s="231">
        <f>IF(N438="zákl. přenesená",J438,0)</f>
        <v>0</v>
      </c>
      <c r="BH438" s="231">
        <f>IF(N438="sníž. přenesená",J438,0)</f>
        <v>0</v>
      </c>
      <c r="BI438" s="231">
        <f>IF(N438="nulová",J438,0)</f>
        <v>0</v>
      </c>
      <c r="BJ438" s="16" t="s">
        <v>8</v>
      </c>
      <c r="BK438" s="231">
        <f>ROUND(I438*H438,0)</f>
        <v>0</v>
      </c>
      <c r="BL438" s="16" t="s">
        <v>246</v>
      </c>
      <c r="BM438" s="230" t="s">
        <v>2102</v>
      </c>
    </row>
    <row r="439" s="13" customFormat="1">
      <c r="A439" s="13"/>
      <c r="B439" s="232"/>
      <c r="C439" s="233"/>
      <c r="D439" s="234" t="s">
        <v>165</v>
      </c>
      <c r="E439" s="235" t="s">
        <v>1</v>
      </c>
      <c r="F439" s="236" t="s">
        <v>2103</v>
      </c>
      <c r="G439" s="233"/>
      <c r="H439" s="237">
        <v>22</v>
      </c>
      <c r="I439" s="238"/>
      <c r="J439" s="233"/>
      <c r="K439" s="233"/>
      <c r="L439" s="239"/>
      <c r="M439" s="240"/>
      <c r="N439" s="241"/>
      <c r="O439" s="241"/>
      <c r="P439" s="241"/>
      <c r="Q439" s="241"/>
      <c r="R439" s="241"/>
      <c r="S439" s="241"/>
      <c r="T439" s="242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T439" s="243" t="s">
        <v>165</v>
      </c>
      <c r="AU439" s="243" t="s">
        <v>86</v>
      </c>
      <c r="AV439" s="13" t="s">
        <v>86</v>
      </c>
      <c r="AW439" s="13" t="s">
        <v>32</v>
      </c>
      <c r="AX439" s="13" t="s">
        <v>77</v>
      </c>
      <c r="AY439" s="243" t="s">
        <v>157</v>
      </c>
    </row>
    <row r="440" s="2" customFormat="1" ht="24.15" customHeight="1">
      <c r="A440" s="37"/>
      <c r="B440" s="38"/>
      <c r="C440" s="218" t="s">
        <v>941</v>
      </c>
      <c r="D440" s="218" t="s">
        <v>159</v>
      </c>
      <c r="E440" s="219" t="s">
        <v>1425</v>
      </c>
      <c r="F440" s="220" t="s">
        <v>1426</v>
      </c>
      <c r="G440" s="221" t="s">
        <v>1427</v>
      </c>
      <c r="H440" s="265"/>
      <c r="I440" s="223"/>
      <c r="J440" s="224">
        <f>ROUND(I440*H440,0)</f>
        <v>0</v>
      </c>
      <c r="K440" s="225"/>
      <c r="L440" s="43"/>
      <c r="M440" s="226" t="s">
        <v>1</v>
      </c>
      <c r="N440" s="227" t="s">
        <v>42</v>
      </c>
      <c r="O440" s="90"/>
      <c r="P440" s="228">
        <f>O440*H440</f>
        <v>0</v>
      </c>
      <c r="Q440" s="228">
        <v>0</v>
      </c>
      <c r="R440" s="228">
        <f>Q440*H440</f>
        <v>0</v>
      </c>
      <c r="S440" s="228">
        <v>0</v>
      </c>
      <c r="T440" s="229">
        <f>S440*H440</f>
        <v>0</v>
      </c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R440" s="230" t="s">
        <v>246</v>
      </c>
      <c r="AT440" s="230" t="s">
        <v>159</v>
      </c>
      <c r="AU440" s="230" t="s">
        <v>86</v>
      </c>
      <c r="AY440" s="16" t="s">
        <v>157</v>
      </c>
      <c r="BE440" s="231">
        <f>IF(N440="základní",J440,0)</f>
        <v>0</v>
      </c>
      <c r="BF440" s="231">
        <f>IF(N440="snížená",J440,0)</f>
        <v>0</v>
      </c>
      <c r="BG440" s="231">
        <f>IF(N440="zákl. přenesená",J440,0)</f>
        <v>0</v>
      </c>
      <c r="BH440" s="231">
        <f>IF(N440="sníž. přenesená",J440,0)</f>
        <v>0</v>
      </c>
      <c r="BI440" s="231">
        <f>IF(N440="nulová",J440,0)</f>
        <v>0</v>
      </c>
      <c r="BJ440" s="16" t="s">
        <v>8</v>
      </c>
      <c r="BK440" s="231">
        <f>ROUND(I440*H440,0)</f>
        <v>0</v>
      </c>
      <c r="BL440" s="16" t="s">
        <v>246</v>
      </c>
      <c r="BM440" s="230" t="s">
        <v>2104</v>
      </c>
    </row>
    <row r="441" s="12" customFormat="1" ht="22.8" customHeight="1">
      <c r="A441" s="12"/>
      <c r="B441" s="202"/>
      <c r="C441" s="203"/>
      <c r="D441" s="204" t="s">
        <v>76</v>
      </c>
      <c r="E441" s="216" t="s">
        <v>1628</v>
      </c>
      <c r="F441" s="216" t="s">
        <v>1629</v>
      </c>
      <c r="G441" s="203"/>
      <c r="H441" s="203"/>
      <c r="I441" s="206"/>
      <c r="J441" s="217">
        <f>BK441</f>
        <v>0</v>
      </c>
      <c r="K441" s="203"/>
      <c r="L441" s="208"/>
      <c r="M441" s="209"/>
      <c r="N441" s="210"/>
      <c r="O441" s="210"/>
      <c r="P441" s="211">
        <f>SUM(P442:P451)</f>
        <v>0</v>
      </c>
      <c r="Q441" s="210"/>
      <c r="R441" s="211">
        <f>SUM(R442:R451)</f>
        <v>0.055098560000000005</v>
      </c>
      <c r="S441" s="210"/>
      <c r="T441" s="212">
        <f>SUM(T442:T451)</f>
        <v>0</v>
      </c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R441" s="213" t="s">
        <v>86</v>
      </c>
      <c r="AT441" s="214" t="s">
        <v>76</v>
      </c>
      <c r="AU441" s="214" t="s">
        <v>8</v>
      </c>
      <c r="AY441" s="213" t="s">
        <v>157</v>
      </c>
      <c r="BK441" s="215">
        <f>SUM(BK442:BK451)</f>
        <v>0</v>
      </c>
    </row>
    <row r="442" s="2" customFormat="1" ht="24.15" customHeight="1">
      <c r="A442" s="37"/>
      <c r="B442" s="38"/>
      <c r="C442" s="218" t="s">
        <v>946</v>
      </c>
      <c r="D442" s="218" t="s">
        <v>159</v>
      </c>
      <c r="E442" s="219" t="s">
        <v>2105</v>
      </c>
      <c r="F442" s="220" t="s">
        <v>2106</v>
      </c>
      <c r="G442" s="221" t="s">
        <v>209</v>
      </c>
      <c r="H442" s="222">
        <v>9.3119999999999994</v>
      </c>
      <c r="I442" s="223"/>
      <c r="J442" s="224">
        <f>ROUND(I442*H442,0)</f>
        <v>0</v>
      </c>
      <c r="K442" s="225"/>
      <c r="L442" s="43"/>
      <c r="M442" s="226" t="s">
        <v>1</v>
      </c>
      <c r="N442" s="227" t="s">
        <v>42</v>
      </c>
      <c r="O442" s="90"/>
      <c r="P442" s="228">
        <f>O442*H442</f>
        <v>0</v>
      </c>
      <c r="Q442" s="228">
        <v>0.00012</v>
      </c>
      <c r="R442" s="228">
        <f>Q442*H442</f>
        <v>0.0011174399999999999</v>
      </c>
      <c r="S442" s="228">
        <v>0</v>
      </c>
      <c r="T442" s="229">
        <f>S442*H442</f>
        <v>0</v>
      </c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R442" s="230" t="s">
        <v>246</v>
      </c>
      <c r="AT442" s="230" t="s">
        <v>159</v>
      </c>
      <c r="AU442" s="230" t="s">
        <v>86</v>
      </c>
      <c r="AY442" s="16" t="s">
        <v>157</v>
      </c>
      <c r="BE442" s="231">
        <f>IF(N442="základní",J442,0)</f>
        <v>0</v>
      </c>
      <c r="BF442" s="231">
        <f>IF(N442="snížená",J442,0)</f>
        <v>0</v>
      </c>
      <c r="BG442" s="231">
        <f>IF(N442="zákl. přenesená",J442,0)</f>
        <v>0</v>
      </c>
      <c r="BH442" s="231">
        <f>IF(N442="sníž. přenesená",J442,0)</f>
        <v>0</v>
      </c>
      <c r="BI442" s="231">
        <f>IF(N442="nulová",J442,0)</f>
        <v>0</v>
      </c>
      <c r="BJ442" s="16" t="s">
        <v>8</v>
      </c>
      <c r="BK442" s="231">
        <f>ROUND(I442*H442,0)</f>
        <v>0</v>
      </c>
      <c r="BL442" s="16" t="s">
        <v>246</v>
      </c>
      <c r="BM442" s="230" t="s">
        <v>2107</v>
      </c>
    </row>
    <row r="443" s="13" customFormat="1">
      <c r="A443" s="13"/>
      <c r="B443" s="232"/>
      <c r="C443" s="233"/>
      <c r="D443" s="234" t="s">
        <v>165</v>
      </c>
      <c r="E443" s="235" t="s">
        <v>1</v>
      </c>
      <c r="F443" s="236" t="s">
        <v>2108</v>
      </c>
      <c r="G443" s="233"/>
      <c r="H443" s="237">
        <v>9.3119999999999994</v>
      </c>
      <c r="I443" s="238"/>
      <c r="J443" s="233"/>
      <c r="K443" s="233"/>
      <c r="L443" s="239"/>
      <c r="M443" s="240"/>
      <c r="N443" s="241"/>
      <c r="O443" s="241"/>
      <c r="P443" s="241"/>
      <c r="Q443" s="241"/>
      <c r="R443" s="241"/>
      <c r="S443" s="241"/>
      <c r="T443" s="242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T443" s="243" t="s">
        <v>165</v>
      </c>
      <c r="AU443" s="243" t="s">
        <v>86</v>
      </c>
      <c r="AV443" s="13" t="s">
        <v>86</v>
      </c>
      <c r="AW443" s="13" t="s">
        <v>32</v>
      </c>
      <c r="AX443" s="13" t="s">
        <v>77</v>
      </c>
      <c r="AY443" s="243" t="s">
        <v>157</v>
      </c>
    </row>
    <row r="444" s="2" customFormat="1" ht="16.5" customHeight="1">
      <c r="A444" s="37"/>
      <c r="B444" s="38"/>
      <c r="C444" s="218" t="s">
        <v>951</v>
      </c>
      <c r="D444" s="218" t="s">
        <v>159</v>
      </c>
      <c r="E444" s="219" t="s">
        <v>2109</v>
      </c>
      <c r="F444" s="220" t="s">
        <v>2110</v>
      </c>
      <c r="G444" s="221" t="s">
        <v>209</v>
      </c>
      <c r="H444" s="222">
        <v>674.76400000000001</v>
      </c>
      <c r="I444" s="223"/>
      <c r="J444" s="224">
        <f>ROUND(I444*H444,0)</f>
        <v>0</v>
      </c>
      <c r="K444" s="225"/>
      <c r="L444" s="43"/>
      <c r="M444" s="226" t="s">
        <v>1</v>
      </c>
      <c r="N444" s="227" t="s">
        <v>42</v>
      </c>
      <c r="O444" s="90"/>
      <c r="P444" s="228">
        <f>O444*H444</f>
        <v>0</v>
      </c>
      <c r="Q444" s="228">
        <v>0</v>
      </c>
      <c r="R444" s="228">
        <f>Q444*H444</f>
        <v>0</v>
      </c>
      <c r="S444" s="228">
        <v>0</v>
      </c>
      <c r="T444" s="229">
        <f>S444*H444</f>
        <v>0</v>
      </c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R444" s="230" t="s">
        <v>246</v>
      </c>
      <c r="AT444" s="230" t="s">
        <v>159</v>
      </c>
      <c r="AU444" s="230" t="s">
        <v>86</v>
      </c>
      <c r="AY444" s="16" t="s">
        <v>157</v>
      </c>
      <c r="BE444" s="231">
        <f>IF(N444="základní",J444,0)</f>
        <v>0</v>
      </c>
      <c r="BF444" s="231">
        <f>IF(N444="snížená",J444,0)</f>
        <v>0</v>
      </c>
      <c r="BG444" s="231">
        <f>IF(N444="zákl. přenesená",J444,0)</f>
        <v>0</v>
      </c>
      <c r="BH444" s="231">
        <f>IF(N444="sníž. přenesená",J444,0)</f>
        <v>0</v>
      </c>
      <c r="BI444" s="231">
        <f>IF(N444="nulová",J444,0)</f>
        <v>0</v>
      </c>
      <c r="BJ444" s="16" t="s">
        <v>8</v>
      </c>
      <c r="BK444" s="231">
        <f>ROUND(I444*H444,0)</f>
        <v>0</v>
      </c>
      <c r="BL444" s="16" t="s">
        <v>246</v>
      </c>
      <c r="BM444" s="230" t="s">
        <v>2111</v>
      </c>
    </row>
    <row r="445" s="14" customFormat="1">
      <c r="A445" s="14"/>
      <c r="B445" s="244"/>
      <c r="C445" s="245"/>
      <c r="D445" s="234" t="s">
        <v>165</v>
      </c>
      <c r="E445" s="246" t="s">
        <v>1</v>
      </c>
      <c r="F445" s="247" t="s">
        <v>2112</v>
      </c>
      <c r="G445" s="245"/>
      <c r="H445" s="246" t="s">
        <v>1</v>
      </c>
      <c r="I445" s="248"/>
      <c r="J445" s="245"/>
      <c r="K445" s="245"/>
      <c r="L445" s="249"/>
      <c r="M445" s="250"/>
      <c r="N445" s="251"/>
      <c r="O445" s="251"/>
      <c r="P445" s="251"/>
      <c r="Q445" s="251"/>
      <c r="R445" s="251"/>
      <c r="S445" s="251"/>
      <c r="T445" s="252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T445" s="253" t="s">
        <v>165</v>
      </c>
      <c r="AU445" s="253" t="s">
        <v>86</v>
      </c>
      <c r="AV445" s="14" t="s">
        <v>8</v>
      </c>
      <c r="AW445" s="14" t="s">
        <v>32</v>
      </c>
      <c r="AX445" s="14" t="s">
        <v>77</v>
      </c>
      <c r="AY445" s="253" t="s">
        <v>157</v>
      </c>
    </row>
    <row r="446" s="13" customFormat="1">
      <c r="A446" s="13"/>
      <c r="B446" s="232"/>
      <c r="C446" s="233"/>
      <c r="D446" s="234" t="s">
        <v>165</v>
      </c>
      <c r="E446" s="235" t="s">
        <v>1</v>
      </c>
      <c r="F446" s="236" t="s">
        <v>1805</v>
      </c>
      <c r="G446" s="233"/>
      <c r="H446" s="237">
        <v>192.30000000000001</v>
      </c>
      <c r="I446" s="238"/>
      <c r="J446" s="233"/>
      <c r="K446" s="233"/>
      <c r="L446" s="239"/>
      <c r="M446" s="240"/>
      <c r="N446" s="241"/>
      <c r="O446" s="241"/>
      <c r="P446" s="241"/>
      <c r="Q446" s="241"/>
      <c r="R446" s="241"/>
      <c r="S446" s="241"/>
      <c r="T446" s="242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T446" s="243" t="s">
        <v>165</v>
      </c>
      <c r="AU446" s="243" t="s">
        <v>86</v>
      </c>
      <c r="AV446" s="13" t="s">
        <v>86</v>
      </c>
      <c r="AW446" s="13" t="s">
        <v>32</v>
      </c>
      <c r="AX446" s="13" t="s">
        <v>77</v>
      </c>
      <c r="AY446" s="243" t="s">
        <v>157</v>
      </c>
    </row>
    <row r="447" s="14" customFormat="1">
      <c r="A447" s="14"/>
      <c r="B447" s="244"/>
      <c r="C447" s="245"/>
      <c r="D447" s="234" t="s">
        <v>165</v>
      </c>
      <c r="E447" s="246" t="s">
        <v>1</v>
      </c>
      <c r="F447" s="247" t="s">
        <v>2113</v>
      </c>
      <c r="G447" s="245"/>
      <c r="H447" s="246" t="s">
        <v>1</v>
      </c>
      <c r="I447" s="248"/>
      <c r="J447" s="245"/>
      <c r="K447" s="245"/>
      <c r="L447" s="249"/>
      <c r="M447" s="250"/>
      <c r="N447" s="251"/>
      <c r="O447" s="251"/>
      <c r="P447" s="251"/>
      <c r="Q447" s="251"/>
      <c r="R447" s="251"/>
      <c r="S447" s="251"/>
      <c r="T447" s="252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T447" s="253" t="s">
        <v>165</v>
      </c>
      <c r="AU447" s="253" t="s">
        <v>86</v>
      </c>
      <c r="AV447" s="14" t="s">
        <v>8</v>
      </c>
      <c r="AW447" s="14" t="s">
        <v>32</v>
      </c>
      <c r="AX447" s="14" t="s">
        <v>77</v>
      </c>
      <c r="AY447" s="253" t="s">
        <v>157</v>
      </c>
    </row>
    <row r="448" s="13" customFormat="1">
      <c r="A448" s="13"/>
      <c r="B448" s="232"/>
      <c r="C448" s="233"/>
      <c r="D448" s="234" t="s">
        <v>165</v>
      </c>
      <c r="E448" s="235" t="s">
        <v>1</v>
      </c>
      <c r="F448" s="236" t="s">
        <v>2114</v>
      </c>
      <c r="G448" s="233"/>
      <c r="H448" s="237">
        <v>120.124</v>
      </c>
      <c r="I448" s="238"/>
      <c r="J448" s="233"/>
      <c r="K448" s="233"/>
      <c r="L448" s="239"/>
      <c r="M448" s="240"/>
      <c r="N448" s="241"/>
      <c r="O448" s="241"/>
      <c r="P448" s="241"/>
      <c r="Q448" s="241"/>
      <c r="R448" s="241"/>
      <c r="S448" s="241"/>
      <c r="T448" s="242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T448" s="243" t="s">
        <v>165</v>
      </c>
      <c r="AU448" s="243" t="s">
        <v>86</v>
      </c>
      <c r="AV448" s="13" t="s">
        <v>86</v>
      </c>
      <c r="AW448" s="13" t="s">
        <v>32</v>
      </c>
      <c r="AX448" s="13" t="s">
        <v>77</v>
      </c>
      <c r="AY448" s="243" t="s">
        <v>157</v>
      </c>
    </row>
    <row r="449" s="13" customFormat="1">
      <c r="A449" s="13"/>
      <c r="B449" s="232"/>
      <c r="C449" s="233"/>
      <c r="D449" s="234" t="s">
        <v>165</v>
      </c>
      <c r="E449" s="235" t="s">
        <v>1</v>
      </c>
      <c r="F449" s="236" t="s">
        <v>2115</v>
      </c>
      <c r="G449" s="233"/>
      <c r="H449" s="237">
        <v>295.46300000000002</v>
      </c>
      <c r="I449" s="238"/>
      <c r="J449" s="233"/>
      <c r="K449" s="233"/>
      <c r="L449" s="239"/>
      <c r="M449" s="240"/>
      <c r="N449" s="241"/>
      <c r="O449" s="241"/>
      <c r="P449" s="241"/>
      <c r="Q449" s="241"/>
      <c r="R449" s="241"/>
      <c r="S449" s="241"/>
      <c r="T449" s="242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T449" s="243" t="s">
        <v>165</v>
      </c>
      <c r="AU449" s="243" t="s">
        <v>86</v>
      </c>
      <c r="AV449" s="13" t="s">
        <v>86</v>
      </c>
      <c r="AW449" s="13" t="s">
        <v>32</v>
      </c>
      <c r="AX449" s="13" t="s">
        <v>77</v>
      </c>
      <c r="AY449" s="243" t="s">
        <v>157</v>
      </c>
    </row>
    <row r="450" s="13" customFormat="1">
      <c r="A450" s="13"/>
      <c r="B450" s="232"/>
      <c r="C450" s="233"/>
      <c r="D450" s="234" t="s">
        <v>165</v>
      </c>
      <c r="E450" s="235" t="s">
        <v>1</v>
      </c>
      <c r="F450" s="236" t="s">
        <v>2116</v>
      </c>
      <c r="G450" s="233"/>
      <c r="H450" s="237">
        <v>66.876999999999995</v>
      </c>
      <c r="I450" s="238"/>
      <c r="J450" s="233"/>
      <c r="K450" s="233"/>
      <c r="L450" s="239"/>
      <c r="M450" s="240"/>
      <c r="N450" s="241"/>
      <c r="O450" s="241"/>
      <c r="P450" s="241"/>
      <c r="Q450" s="241"/>
      <c r="R450" s="241"/>
      <c r="S450" s="241"/>
      <c r="T450" s="242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T450" s="243" t="s">
        <v>165</v>
      </c>
      <c r="AU450" s="243" t="s">
        <v>86</v>
      </c>
      <c r="AV450" s="13" t="s">
        <v>86</v>
      </c>
      <c r="AW450" s="13" t="s">
        <v>32</v>
      </c>
      <c r="AX450" s="13" t="s">
        <v>77</v>
      </c>
      <c r="AY450" s="243" t="s">
        <v>157</v>
      </c>
    </row>
    <row r="451" s="2" customFormat="1" ht="24.15" customHeight="1">
      <c r="A451" s="37"/>
      <c r="B451" s="38"/>
      <c r="C451" s="218" t="s">
        <v>957</v>
      </c>
      <c r="D451" s="218" t="s">
        <v>159</v>
      </c>
      <c r="E451" s="219" t="s">
        <v>2117</v>
      </c>
      <c r="F451" s="220" t="s">
        <v>2118</v>
      </c>
      <c r="G451" s="221" t="s">
        <v>209</v>
      </c>
      <c r="H451" s="222">
        <v>674.76400000000001</v>
      </c>
      <c r="I451" s="223"/>
      <c r="J451" s="224">
        <f>ROUND(I451*H451,0)</f>
        <v>0</v>
      </c>
      <c r="K451" s="225"/>
      <c r="L451" s="43"/>
      <c r="M451" s="266" t="s">
        <v>1</v>
      </c>
      <c r="N451" s="267" t="s">
        <v>42</v>
      </c>
      <c r="O451" s="268"/>
      <c r="P451" s="269">
        <f>O451*H451</f>
        <v>0</v>
      </c>
      <c r="Q451" s="269">
        <v>8.0000000000000007E-05</v>
      </c>
      <c r="R451" s="269">
        <f>Q451*H451</f>
        <v>0.053981120000000007</v>
      </c>
      <c r="S451" s="269">
        <v>0</v>
      </c>
      <c r="T451" s="270">
        <f>S451*H451</f>
        <v>0</v>
      </c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R451" s="230" t="s">
        <v>246</v>
      </c>
      <c r="AT451" s="230" t="s">
        <v>159</v>
      </c>
      <c r="AU451" s="230" t="s">
        <v>86</v>
      </c>
      <c r="AY451" s="16" t="s">
        <v>157</v>
      </c>
      <c r="BE451" s="231">
        <f>IF(N451="základní",J451,0)</f>
        <v>0</v>
      </c>
      <c r="BF451" s="231">
        <f>IF(N451="snížená",J451,0)</f>
        <v>0</v>
      </c>
      <c r="BG451" s="231">
        <f>IF(N451="zákl. přenesená",J451,0)</f>
        <v>0</v>
      </c>
      <c r="BH451" s="231">
        <f>IF(N451="sníž. přenesená",J451,0)</f>
        <v>0</v>
      </c>
      <c r="BI451" s="231">
        <f>IF(N451="nulová",J451,0)</f>
        <v>0</v>
      </c>
      <c r="BJ451" s="16" t="s">
        <v>8</v>
      </c>
      <c r="BK451" s="231">
        <f>ROUND(I451*H451,0)</f>
        <v>0</v>
      </c>
      <c r="BL451" s="16" t="s">
        <v>246</v>
      </c>
      <c r="BM451" s="230" t="s">
        <v>2119</v>
      </c>
    </row>
    <row r="452" s="2" customFormat="1" ht="6.96" customHeight="1">
      <c r="A452" s="37"/>
      <c r="B452" s="65"/>
      <c r="C452" s="66"/>
      <c r="D452" s="66"/>
      <c r="E452" s="66"/>
      <c r="F452" s="66"/>
      <c r="G452" s="66"/>
      <c r="H452" s="66"/>
      <c r="I452" s="66"/>
      <c r="J452" s="66"/>
      <c r="K452" s="66"/>
      <c r="L452" s="43"/>
      <c r="M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</row>
  </sheetData>
  <sheetProtection sheet="1" autoFilter="0" formatColumns="0" formatRows="0" objects="1" scenarios="1" spinCount="100000" saltValue="56S/etX7ye8Myx1LiPNb9i+JA0A0csA/va/bb9dzmp6qRXaTzS/FZ9dV8V6e55YgYAY3SyKe6XZ+ej+tfpK6aw==" hashValue="TxhLA/jUkD0fyxFg338ML4pZozmLN6MhcZv/EmWM7aYkqm4WBxtUM4wwnv9w4ZUDVRsN0SQ5wSUq/lKAwrL13w==" algorithmName="SHA-512" password="F695"/>
  <autoFilter ref="C131:K451"/>
  <mergeCells count="9">
    <mergeCell ref="E7:H7"/>
    <mergeCell ref="E9:H9"/>
    <mergeCell ref="E18:H18"/>
    <mergeCell ref="E27:H27"/>
    <mergeCell ref="E85:H85"/>
    <mergeCell ref="E87:H87"/>
    <mergeCell ref="E122:H122"/>
    <mergeCell ref="E124:H124"/>
    <mergeCell ref="L2:V2"/>
  </mergeCell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50.83203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hidden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6" t="s">
        <v>92</v>
      </c>
    </row>
    <row r="3" s="1" customFormat="1" ht="6.96" customHeight="1">
      <c r="B3" s="135"/>
      <c r="C3" s="136"/>
      <c r="D3" s="136"/>
      <c r="E3" s="136"/>
      <c r="F3" s="136"/>
      <c r="G3" s="136"/>
      <c r="H3" s="136"/>
      <c r="I3" s="136"/>
      <c r="J3" s="136"/>
      <c r="K3" s="136"/>
      <c r="L3" s="19"/>
      <c r="AT3" s="16" t="s">
        <v>86</v>
      </c>
    </row>
    <row r="4" s="1" customFormat="1" ht="24.96" customHeight="1">
      <c r="B4" s="19"/>
      <c r="D4" s="137" t="s">
        <v>108</v>
      </c>
      <c r="L4" s="19"/>
      <c r="M4" s="138" t="s">
        <v>11</v>
      </c>
      <c r="AT4" s="16" t="s">
        <v>4</v>
      </c>
    </row>
    <row r="5" s="1" customFormat="1" ht="6.96" customHeight="1">
      <c r="B5" s="19"/>
      <c r="L5" s="19"/>
    </row>
    <row r="6" s="1" customFormat="1" ht="12" customHeight="1">
      <c r="B6" s="19"/>
      <c r="D6" s="139" t="s">
        <v>17</v>
      </c>
      <c r="L6" s="19"/>
    </row>
    <row r="7" s="1" customFormat="1" ht="16.5" customHeight="1">
      <c r="B7" s="19"/>
      <c r="E7" s="140" t="str">
        <f>'Rekapitulace stavby'!K6</f>
        <v>Areál společnosti FORESTINA s.r.o. Horažďovice, Blatenská 587</v>
      </c>
      <c r="F7" s="139"/>
      <c r="G7" s="139"/>
      <c r="H7" s="139"/>
      <c r="L7" s="19"/>
    </row>
    <row r="8" s="2" customFormat="1" ht="12" customHeight="1">
      <c r="A8" s="37"/>
      <c r="B8" s="43"/>
      <c r="C8" s="37"/>
      <c r="D8" s="139" t="s">
        <v>109</v>
      </c>
      <c r="E8" s="37"/>
      <c r="F8" s="37"/>
      <c r="G8" s="37"/>
      <c r="H8" s="37"/>
      <c r="I8" s="37"/>
      <c r="J8" s="37"/>
      <c r="K8" s="37"/>
      <c r="L8" s="62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</row>
    <row r="9" s="2" customFormat="1" ht="16.5" customHeight="1">
      <c r="A9" s="37"/>
      <c r="B9" s="43"/>
      <c r="C9" s="37"/>
      <c r="D9" s="37"/>
      <c r="E9" s="141" t="s">
        <v>2120</v>
      </c>
      <c r="F9" s="37"/>
      <c r="G9" s="37"/>
      <c r="H9" s="37"/>
      <c r="I9" s="37"/>
      <c r="J9" s="37"/>
      <c r="K9" s="37"/>
      <c r="L9" s="62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</row>
    <row r="10" s="2" customFormat="1">
      <c r="A10" s="37"/>
      <c r="B10" s="43"/>
      <c r="C10" s="37"/>
      <c r="D10" s="37"/>
      <c r="E10" s="37"/>
      <c r="F10" s="37"/>
      <c r="G10" s="37"/>
      <c r="H10" s="37"/>
      <c r="I10" s="37"/>
      <c r="J10" s="37"/>
      <c r="K10" s="37"/>
      <c r="L10" s="62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</row>
    <row r="11" s="2" customFormat="1" ht="12" customHeight="1">
      <c r="A11" s="37"/>
      <c r="B11" s="43"/>
      <c r="C11" s="37"/>
      <c r="D11" s="139" t="s">
        <v>19</v>
      </c>
      <c r="E11" s="37"/>
      <c r="F11" s="142" t="s">
        <v>1</v>
      </c>
      <c r="G11" s="37"/>
      <c r="H11" s="37"/>
      <c r="I11" s="139" t="s">
        <v>20</v>
      </c>
      <c r="J11" s="142" t="s">
        <v>1</v>
      </c>
      <c r="K11" s="37"/>
      <c r="L11" s="62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</row>
    <row r="12" s="2" customFormat="1" ht="12" customHeight="1">
      <c r="A12" s="37"/>
      <c r="B12" s="43"/>
      <c r="C12" s="37"/>
      <c r="D12" s="139" t="s">
        <v>21</v>
      </c>
      <c r="E12" s="37"/>
      <c r="F12" s="142" t="s">
        <v>22</v>
      </c>
      <c r="G12" s="37"/>
      <c r="H12" s="37"/>
      <c r="I12" s="139" t="s">
        <v>23</v>
      </c>
      <c r="J12" s="143" t="str">
        <f>'Rekapitulace stavby'!AN8</f>
        <v>26. 11. 2025</v>
      </c>
      <c r="K12" s="37"/>
      <c r="L12" s="62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</row>
    <row r="13" s="2" customFormat="1" ht="10.8" customHeight="1">
      <c r="A13" s="37"/>
      <c r="B13" s="43"/>
      <c r="C13" s="37"/>
      <c r="D13" s="37"/>
      <c r="E13" s="37"/>
      <c r="F13" s="37"/>
      <c r="G13" s="37"/>
      <c r="H13" s="37"/>
      <c r="I13" s="37"/>
      <c r="J13" s="37"/>
      <c r="K13" s="37"/>
      <c r="L13" s="62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</row>
    <row r="14" s="2" customFormat="1" ht="12" customHeight="1">
      <c r="A14" s="37"/>
      <c r="B14" s="43"/>
      <c r="C14" s="37"/>
      <c r="D14" s="139" t="s">
        <v>25</v>
      </c>
      <c r="E14" s="37"/>
      <c r="F14" s="37"/>
      <c r="G14" s="37"/>
      <c r="H14" s="37"/>
      <c r="I14" s="139" t="s">
        <v>26</v>
      </c>
      <c r="J14" s="142" t="s">
        <v>1</v>
      </c>
      <c r="K14" s="37"/>
      <c r="L14" s="62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</row>
    <row r="15" s="2" customFormat="1" ht="18" customHeight="1">
      <c r="A15" s="37"/>
      <c r="B15" s="43"/>
      <c r="C15" s="37"/>
      <c r="D15" s="37"/>
      <c r="E15" s="142" t="s">
        <v>27</v>
      </c>
      <c r="F15" s="37"/>
      <c r="G15" s="37"/>
      <c r="H15" s="37"/>
      <c r="I15" s="139" t="s">
        <v>28</v>
      </c>
      <c r="J15" s="142" t="s">
        <v>1</v>
      </c>
      <c r="K15" s="37"/>
      <c r="L15" s="62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</row>
    <row r="16" s="2" customFormat="1" ht="6.96" customHeight="1">
      <c r="A16" s="37"/>
      <c r="B16" s="43"/>
      <c r="C16" s="37"/>
      <c r="D16" s="37"/>
      <c r="E16" s="37"/>
      <c r="F16" s="37"/>
      <c r="G16" s="37"/>
      <c r="H16" s="37"/>
      <c r="I16" s="37"/>
      <c r="J16" s="37"/>
      <c r="K16" s="37"/>
      <c r="L16" s="62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</row>
    <row r="17" s="2" customFormat="1" ht="12" customHeight="1">
      <c r="A17" s="37"/>
      <c r="B17" s="43"/>
      <c r="C17" s="37"/>
      <c r="D17" s="139" t="s">
        <v>29</v>
      </c>
      <c r="E17" s="37"/>
      <c r="F17" s="37"/>
      <c r="G17" s="37"/>
      <c r="H17" s="37"/>
      <c r="I17" s="139" t="s">
        <v>26</v>
      </c>
      <c r="J17" s="32" t="str">
        <f>'Rekapitulace stavby'!AN13</f>
        <v>Vyplň údaj</v>
      </c>
      <c r="K17" s="37"/>
      <c r="L17" s="62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</row>
    <row r="18" s="2" customFormat="1" ht="18" customHeight="1">
      <c r="A18" s="37"/>
      <c r="B18" s="43"/>
      <c r="C18" s="37"/>
      <c r="D18" s="37"/>
      <c r="E18" s="32" t="str">
        <f>'Rekapitulace stavby'!E14</f>
        <v>Vyplň údaj</v>
      </c>
      <c r="F18" s="142"/>
      <c r="G18" s="142"/>
      <c r="H18" s="142"/>
      <c r="I18" s="139" t="s">
        <v>28</v>
      </c>
      <c r="J18" s="32" t="str">
        <f>'Rekapitulace stavby'!AN14</f>
        <v>Vyplň údaj</v>
      </c>
      <c r="K18" s="37"/>
      <c r="L18" s="62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</row>
    <row r="19" s="2" customFormat="1" ht="6.96" customHeight="1">
      <c r="A19" s="37"/>
      <c r="B19" s="43"/>
      <c r="C19" s="37"/>
      <c r="D19" s="37"/>
      <c r="E19" s="37"/>
      <c r="F19" s="37"/>
      <c r="G19" s="37"/>
      <c r="H19" s="37"/>
      <c r="I19" s="37"/>
      <c r="J19" s="37"/>
      <c r="K19" s="37"/>
      <c r="L19" s="62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</row>
    <row r="20" s="2" customFormat="1" ht="12" customHeight="1">
      <c r="A20" s="37"/>
      <c r="B20" s="43"/>
      <c r="C20" s="37"/>
      <c r="D20" s="139" t="s">
        <v>31</v>
      </c>
      <c r="E20" s="37"/>
      <c r="F20" s="37"/>
      <c r="G20" s="37"/>
      <c r="H20" s="37"/>
      <c r="I20" s="139" t="s">
        <v>26</v>
      </c>
      <c r="J20" s="142" t="s">
        <v>1</v>
      </c>
      <c r="K20" s="37"/>
      <c r="L20" s="62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</row>
    <row r="21" s="2" customFormat="1" ht="18" customHeight="1">
      <c r="A21" s="37"/>
      <c r="B21" s="43"/>
      <c r="C21" s="37"/>
      <c r="D21" s="37"/>
      <c r="E21" s="142" t="s">
        <v>33</v>
      </c>
      <c r="F21" s="37"/>
      <c r="G21" s="37"/>
      <c r="H21" s="37"/>
      <c r="I21" s="139" t="s">
        <v>28</v>
      </c>
      <c r="J21" s="142" t="s">
        <v>1</v>
      </c>
      <c r="K21" s="37"/>
      <c r="L21" s="62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</row>
    <row r="22" s="2" customFormat="1" ht="6.96" customHeight="1">
      <c r="A22" s="37"/>
      <c r="B22" s="43"/>
      <c r="C22" s="37"/>
      <c r="D22" s="37"/>
      <c r="E22" s="37"/>
      <c r="F22" s="37"/>
      <c r="G22" s="37"/>
      <c r="H22" s="37"/>
      <c r="I22" s="37"/>
      <c r="J22" s="37"/>
      <c r="K22" s="37"/>
      <c r="L22" s="62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</row>
    <row r="23" s="2" customFormat="1" ht="12" customHeight="1">
      <c r="A23" s="37"/>
      <c r="B23" s="43"/>
      <c r="C23" s="37"/>
      <c r="D23" s="139" t="s">
        <v>34</v>
      </c>
      <c r="E23" s="37"/>
      <c r="F23" s="37"/>
      <c r="G23" s="37"/>
      <c r="H23" s="37"/>
      <c r="I23" s="139" t="s">
        <v>26</v>
      </c>
      <c r="J23" s="142" t="s">
        <v>1</v>
      </c>
      <c r="K23" s="37"/>
      <c r="L23" s="62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</row>
    <row r="24" s="2" customFormat="1" ht="18" customHeight="1">
      <c r="A24" s="37"/>
      <c r="B24" s="43"/>
      <c r="C24" s="37"/>
      <c r="D24" s="37"/>
      <c r="E24" s="142" t="s">
        <v>35</v>
      </c>
      <c r="F24" s="37"/>
      <c r="G24" s="37"/>
      <c r="H24" s="37"/>
      <c r="I24" s="139" t="s">
        <v>28</v>
      </c>
      <c r="J24" s="142" t="s">
        <v>1</v>
      </c>
      <c r="K24" s="37"/>
      <c r="L24" s="62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</row>
    <row r="25" s="2" customFormat="1" ht="6.96" customHeight="1">
      <c r="A25" s="37"/>
      <c r="B25" s="43"/>
      <c r="C25" s="37"/>
      <c r="D25" s="37"/>
      <c r="E25" s="37"/>
      <c r="F25" s="37"/>
      <c r="G25" s="37"/>
      <c r="H25" s="37"/>
      <c r="I25" s="37"/>
      <c r="J25" s="37"/>
      <c r="K25" s="37"/>
      <c r="L25" s="62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</row>
    <row r="26" s="2" customFormat="1" ht="12" customHeight="1">
      <c r="A26" s="37"/>
      <c r="B26" s="43"/>
      <c r="C26" s="37"/>
      <c r="D26" s="139" t="s">
        <v>36</v>
      </c>
      <c r="E26" s="37"/>
      <c r="F26" s="37"/>
      <c r="G26" s="37"/>
      <c r="H26" s="37"/>
      <c r="I26" s="37"/>
      <c r="J26" s="37"/>
      <c r="K26" s="37"/>
      <c r="L26" s="62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</row>
    <row r="27" s="8" customFormat="1" ht="16.5" customHeight="1">
      <c r="A27" s="144"/>
      <c r="B27" s="145"/>
      <c r="C27" s="144"/>
      <c r="D27" s="144"/>
      <c r="E27" s="146" t="s">
        <v>1</v>
      </c>
      <c r="F27" s="146"/>
      <c r="G27" s="146"/>
      <c r="H27" s="146"/>
      <c r="I27" s="144"/>
      <c r="J27" s="144"/>
      <c r="K27" s="144"/>
      <c r="L27" s="147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</row>
    <row r="28" s="2" customFormat="1" ht="6.96" customHeight="1">
      <c r="A28" s="37"/>
      <c r="B28" s="43"/>
      <c r="C28" s="37"/>
      <c r="D28" s="37"/>
      <c r="E28" s="37"/>
      <c r="F28" s="37"/>
      <c r="G28" s="37"/>
      <c r="H28" s="37"/>
      <c r="I28" s="37"/>
      <c r="J28" s="37"/>
      <c r="K28" s="37"/>
      <c r="L28" s="62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</row>
    <row r="29" s="2" customFormat="1" ht="6.96" customHeight="1">
      <c r="A29" s="37"/>
      <c r="B29" s="43"/>
      <c r="C29" s="37"/>
      <c r="D29" s="148"/>
      <c r="E29" s="148"/>
      <c r="F29" s="148"/>
      <c r="G29" s="148"/>
      <c r="H29" s="148"/>
      <c r="I29" s="148"/>
      <c r="J29" s="148"/>
      <c r="K29" s="148"/>
      <c r="L29" s="62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</row>
    <row r="30" s="2" customFormat="1" ht="25.44" customHeight="1">
      <c r="A30" s="37"/>
      <c r="B30" s="43"/>
      <c r="C30" s="37"/>
      <c r="D30" s="149" t="s">
        <v>37</v>
      </c>
      <c r="E30" s="37"/>
      <c r="F30" s="37"/>
      <c r="G30" s="37"/>
      <c r="H30" s="37"/>
      <c r="I30" s="37"/>
      <c r="J30" s="150">
        <f>ROUND(J119, 0)</f>
        <v>0</v>
      </c>
      <c r="K30" s="37"/>
      <c r="L30" s="62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</row>
    <row r="31" s="2" customFormat="1" ht="6.96" customHeight="1">
      <c r="A31" s="37"/>
      <c r="B31" s="43"/>
      <c r="C31" s="37"/>
      <c r="D31" s="148"/>
      <c r="E31" s="148"/>
      <c r="F31" s="148"/>
      <c r="G31" s="148"/>
      <c r="H31" s="148"/>
      <c r="I31" s="148"/>
      <c r="J31" s="148"/>
      <c r="K31" s="148"/>
      <c r="L31" s="62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</row>
    <row r="32" s="2" customFormat="1" ht="14.4" customHeight="1">
      <c r="A32" s="37"/>
      <c r="B32" s="43"/>
      <c r="C32" s="37"/>
      <c r="D32" s="37"/>
      <c r="E32" s="37"/>
      <c r="F32" s="151" t="s">
        <v>39</v>
      </c>
      <c r="G32" s="37"/>
      <c r="H32" s="37"/>
      <c r="I32" s="151" t="s">
        <v>38</v>
      </c>
      <c r="J32" s="151" t="s">
        <v>40</v>
      </c>
      <c r="K32" s="37"/>
      <c r="L32" s="62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</row>
    <row r="33" s="2" customFormat="1" ht="14.4" customHeight="1">
      <c r="A33" s="37"/>
      <c r="B33" s="43"/>
      <c r="C33" s="37"/>
      <c r="D33" s="152" t="s">
        <v>41</v>
      </c>
      <c r="E33" s="139" t="s">
        <v>42</v>
      </c>
      <c r="F33" s="153">
        <f>ROUND((SUM(BE119:BE136)),  0)</f>
        <v>0</v>
      </c>
      <c r="G33" s="37"/>
      <c r="H33" s="37"/>
      <c r="I33" s="154">
        <v>0.20999999999999999</v>
      </c>
      <c r="J33" s="153">
        <f>ROUND(((SUM(BE119:BE136))*I33),  0)</f>
        <v>0</v>
      </c>
      <c r="K33" s="37"/>
      <c r="L33" s="62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</row>
    <row r="34" s="2" customFormat="1" ht="14.4" customHeight="1">
      <c r="A34" s="37"/>
      <c r="B34" s="43"/>
      <c r="C34" s="37"/>
      <c r="D34" s="37"/>
      <c r="E34" s="139" t="s">
        <v>43</v>
      </c>
      <c r="F34" s="153">
        <f>ROUND((SUM(BF119:BF136)),  0)</f>
        <v>0</v>
      </c>
      <c r="G34" s="37"/>
      <c r="H34" s="37"/>
      <c r="I34" s="154">
        <v>0.12</v>
      </c>
      <c r="J34" s="153">
        <f>ROUND(((SUM(BF119:BF136))*I34),  0)</f>
        <v>0</v>
      </c>
      <c r="K34" s="37"/>
      <c r="L34" s="62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</row>
    <row r="35" hidden="1" s="2" customFormat="1" ht="14.4" customHeight="1">
      <c r="A35" s="37"/>
      <c r="B35" s="43"/>
      <c r="C35" s="37"/>
      <c r="D35" s="37"/>
      <c r="E35" s="139" t="s">
        <v>44</v>
      </c>
      <c r="F35" s="153">
        <f>ROUND((SUM(BG119:BG136)),  0)</f>
        <v>0</v>
      </c>
      <c r="G35" s="37"/>
      <c r="H35" s="37"/>
      <c r="I35" s="154">
        <v>0.20999999999999999</v>
      </c>
      <c r="J35" s="153">
        <f>0</f>
        <v>0</v>
      </c>
      <c r="K35" s="37"/>
      <c r="L35" s="62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</row>
    <row r="36" hidden="1" s="2" customFormat="1" ht="14.4" customHeight="1">
      <c r="A36" s="37"/>
      <c r="B36" s="43"/>
      <c r="C36" s="37"/>
      <c r="D36" s="37"/>
      <c r="E36" s="139" t="s">
        <v>45</v>
      </c>
      <c r="F36" s="153">
        <f>ROUND((SUM(BH119:BH136)),  0)</f>
        <v>0</v>
      </c>
      <c r="G36" s="37"/>
      <c r="H36" s="37"/>
      <c r="I36" s="154">
        <v>0.12</v>
      </c>
      <c r="J36" s="153">
        <f>0</f>
        <v>0</v>
      </c>
      <c r="K36" s="37"/>
      <c r="L36" s="62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</row>
    <row r="37" hidden="1" s="2" customFormat="1" ht="14.4" customHeight="1">
      <c r="A37" s="37"/>
      <c r="B37" s="43"/>
      <c r="C37" s="37"/>
      <c r="D37" s="37"/>
      <c r="E37" s="139" t="s">
        <v>46</v>
      </c>
      <c r="F37" s="153">
        <f>ROUND((SUM(BI119:BI136)),  0)</f>
        <v>0</v>
      </c>
      <c r="G37" s="37"/>
      <c r="H37" s="37"/>
      <c r="I37" s="154">
        <v>0</v>
      </c>
      <c r="J37" s="153">
        <f>0</f>
        <v>0</v>
      </c>
      <c r="K37" s="37"/>
      <c r="L37" s="62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</row>
    <row r="38" s="2" customFormat="1" ht="6.96" customHeight="1">
      <c r="A38" s="37"/>
      <c r="B38" s="43"/>
      <c r="C38" s="37"/>
      <c r="D38" s="37"/>
      <c r="E38" s="37"/>
      <c r="F38" s="37"/>
      <c r="G38" s="37"/>
      <c r="H38" s="37"/>
      <c r="I38" s="37"/>
      <c r="J38" s="37"/>
      <c r="K38" s="37"/>
      <c r="L38" s="62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</row>
    <row r="39" s="2" customFormat="1" ht="25.44" customHeight="1">
      <c r="A39" s="37"/>
      <c r="B39" s="43"/>
      <c r="C39" s="155"/>
      <c r="D39" s="156" t="s">
        <v>47</v>
      </c>
      <c r="E39" s="157"/>
      <c r="F39" s="157"/>
      <c r="G39" s="158" t="s">
        <v>48</v>
      </c>
      <c r="H39" s="159" t="s">
        <v>49</v>
      </c>
      <c r="I39" s="157"/>
      <c r="J39" s="160">
        <f>SUM(J30:J37)</f>
        <v>0</v>
      </c>
      <c r="K39" s="161"/>
      <c r="L39" s="62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</row>
    <row r="40" s="2" customFormat="1" ht="14.4" customHeight="1">
      <c r="A40" s="37"/>
      <c r="B40" s="43"/>
      <c r="C40" s="37"/>
      <c r="D40" s="37"/>
      <c r="E40" s="37"/>
      <c r="F40" s="37"/>
      <c r="G40" s="37"/>
      <c r="H40" s="37"/>
      <c r="I40" s="37"/>
      <c r="J40" s="37"/>
      <c r="K40" s="37"/>
      <c r="L40" s="62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</row>
    <row r="41" s="1" customFormat="1" ht="14.4" customHeight="1">
      <c r="B41" s="19"/>
      <c r="L41" s="19"/>
    </row>
    <row r="42" s="1" customFormat="1" ht="14.4" customHeight="1">
      <c r="B42" s="19"/>
      <c r="L42" s="19"/>
    </row>
    <row r="43" s="1" customFormat="1" ht="14.4" customHeight="1">
      <c r="B43" s="19"/>
      <c r="L43" s="19"/>
    </row>
    <row r="44" s="1" customFormat="1" ht="14.4" customHeight="1">
      <c r="B44" s="19"/>
      <c r="L44" s="19"/>
    </row>
    <row r="45" s="1" customFormat="1" ht="14.4" customHeight="1">
      <c r="B45" s="19"/>
      <c r="L45" s="19"/>
    </row>
    <row r="46" s="1" customFormat="1" ht="14.4" customHeight="1">
      <c r="B46" s="19"/>
      <c r="L46" s="19"/>
    </row>
    <row r="47" s="1" customFormat="1" ht="14.4" customHeight="1">
      <c r="B47" s="19"/>
      <c r="L47" s="19"/>
    </row>
    <row r="48" s="1" customFormat="1" ht="14.4" customHeight="1">
      <c r="B48" s="19"/>
      <c r="L48" s="19"/>
    </row>
    <row r="49" s="1" customFormat="1" ht="14.4" customHeight="1">
      <c r="B49" s="19"/>
      <c r="L49" s="19"/>
    </row>
    <row r="50" s="2" customFormat="1" ht="14.4" customHeight="1">
      <c r="B50" s="62"/>
      <c r="D50" s="162" t="s">
        <v>50</v>
      </c>
      <c r="E50" s="163"/>
      <c r="F50" s="163"/>
      <c r="G50" s="162" t="s">
        <v>51</v>
      </c>
      <c r="H50" s="163"/>
      <c r="I50" s="163"/>
      <c r="J50" s="163"/>
      <c r="K50" s="163"/>
      <c r="L50" s="62"/>
    </row>
    <row r="51">
      <c r="B51" s="19"/>
      <c r="L51" s="19"/>
    </row>
    <row r="52">
      <c r="B52" s="19"/>
      <c r="L52" s="19"/>
    </row>
    <row r="53">
      <c r="B53" s="19"/>
      <c r="L53" s="19"/>
    </row>
    <row r="54">
      <c r="B54" s="19"/>
      <c r="L54" s="19"/>
    </row>
    <row r="55">
      <c r="B55" s="19"/>
      <c r="L55" s="19"/>
    </row>
    <row r="56">
      <c r="B56" s="19"/>
      <c r="L56" s="19"/>
    </row>
    <row r="57">
      <c r="B57" s="19"/>
      <c r="L57" s="19"/>
    </row>
    <row r="58">
      <c r="B58" s="19"/>
      <c r="L58" s="19"/>
    </row>
    <row r="59">
      <c r="B59" s="19"/>
      <c r="L59" s="19"/>
    </row>
    <row r="60">
      <c r="B60" s="19"/>
      <c r="L60" s="19"/>
    </row>
    <row r="61" s="2" customFormat="1">
      <c r="A61" s="37"/>
      <c r="B61" s="43"/>
      <c r="C61" s="37"/>
      <c r="D61" s="164" t="s">
        <v>52</v>
      </c>
      <c r="E61" s="165"/>
      <c r="F61" s="166" t="s">
        <v>53</v>
      </c>
      <c r="G61" s="164" t="s">
        <v>52</v>
      </c>
      <c r="H61" s="165"/>
      <c r="I61" s="165"/>
      <c r="J61" s="167" t="s">
        <v>53</v>
      </c>
      <c r="K61" s="165"/>
      <c r="L61" s="62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</row>
    <row r="62">
      <c r="B62" s="19"/>
      <c r="L62" s="19"/>
    </row>
    <row r="63">
      <c r="B63" s="19"/>
      <c r="L63" s="19"/>
    </row>
    <row r="64">
      <c r="B64" s="19"/>
      <c r="L64" s="19"/>
    </row>
    <row r="65" s="2" customFormat="1">
      <c r="A65" s="37"/>
      <c r="B65" s="43"/>
      <c r="C65" s="37"/>
      <c r="D65" s="162" t="s">
        <v>54</v>
      </c>
      <c r="E65" s="168"/>
      <c r="F65" s="168"/>
      <c r="G65" s="162" t="s">
        <v>55</v>
      </c>
      <c r="H65" s="168"/>
      <c r="I65" s="168"/>
      <c r="J65" s="168"/>
      <c r="K65" s="168"/>
      <c r="L65" s="62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</row>
    <row r="66">
      <c r="B66" s="19"/>
      <c r="L66" s="19"/>
    </row>
    <row r="67">
      <c r="B67" s="19"/>
      <c r="L67" s="19"/>
    </row>
    <row r="68">
      <c r="B68" s="19"/>
      <c r="L68" s="19"/>
    </row>
    <row r="69">
      <c r="B69" s="19"/>
      <c r="L69" s="19"/>
    </row>
    <row r="70">
      <c r="B70" s="19"/>
      <c r="L70" s="19"/>
    </row>
    <row r="71">
      <c r="B71" s="19"/>
      <c r="L71" s="19"/>
    </row>
    <row r="72">
      <c r="B72" s="19"/>
      <c r="L72" s="19"/>
    </row>
    <row r="73">
      <c r="B73" s="19"/>
      <c r="L73" s="19"/>
    </row>
    <row r="74">
      <c r="B74" s="19"/>
      <c r="L74" s="19"/>
    </row>
    <row r="75">
      <c r="B75" s="19"/>
      <c r="L75" s="19"/>
    </row>
    <row r="76" s="2" customFormat="1">
      <c r="A76" s="37"/>
      <c r="B76" s="43"/>
      <c r="C76" s="37"/>
      <c r="D76" s="164" t="s">
        <v>52</v>
      </c>
      <c r="E76" s="165"/>
      <c r="F76" s="166" t="s">
        <v>53</v>
      </c>
      <c r="G76" s="164" t="s">
        <v>52</v>
      </c>
      <c r="H76" s="165"/>
      <c r="I76" s="165"/>
      <c r="J76" s="167" t="s">
        <v>53</v>
      </c>
      <c r="K76" s="165"/>
      <c r="L76" s="62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</row>
    <row r="77" s="2" customFormat="1" ht="14.4" customHeight="1">
      <c r="A77" s="37"/>
      <c r="B77" s="169"/>
      <c r="C77" s="170"/>
      <c r="D77" s="170"/>
      <c r="E77" s="170"/>
      <c r="F77" s="170"/>
      <c r="G77" s="170"/>
      <c r="H77" s="170"/>
      <c r="I77" s="170"/>
      <c r="J77" s="170"/>
      <c r="K77" s="170"/>
      <c r="L77" s="62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</row>
    <row r="81" s="2" customFormat="1" ht="6.96" customHeight="1">
      <c r="A81" s="37"/>
      <c r="B81" s="171"/>
      <c r="C81" s="172"/>
      <c r="D81" s="172"/>
      <c r="E81" s="172"/>
      <c r="F81" s="172"/>
      <c r="G81" s="172"/>
      <c r="H81" s="172"/>
      <c r="I81" s="172"/>
      <c r="J81" s="172"/>
      <c r="K81" s="172"/>
      <c r="L81" s="62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</row>
    <row r="82" s="2" customFormat="1" ht="24.96" customHeight="1">
      <c r="A82" s="37"/>
      <c r="B82" s="38"/>
      <c r="C82" s="22" t="s">
        <v>111</v>
      </c>
      <c r="D82" s="39"/>
      <c r="E82" s="39"/>
      <c r="F82" s="39"/>
      <c r="G82" s="39"/>
      <c r="H82" s="39"/>
      <c r="I82" s="39"/>
      <c r="J82" s="39"/>
      <c r="K82" s="39"/>
      <c r="L82" s="62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</row>
    <row r="83" s="2" customFormat="1" ht="6.96" customHeight="1">
      <c r="A83" s="37"/>
      <c r="B83" s="38"/>
      <c r="C83" s="39"/>
      <c r="D83" s="39"/>
      <c r="E83" s="39"/>
      <c r="F83" s="39"/>
      <c r="G83" s="39"/>
      <c r="H83" s="39"/>
      <c r="I83" s="39"/>
      <c r="J83" s="39"/>
      <c r="K83" s="39"/>
      <c r="L83" s="62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</row>
    <row r="84" s="2" customFormat="1" ht="12" customHeight="1">
      <c r="A84" s="37"/>
      <c r="B84" s="38"/>
      <c r="C84" s="31" t="s">
        <v>17</v>
      </c>
      <c r="D84" s="39"/>
      <c r="E84" s="39"/>
      <c r="F84" s="39"/>
      <c r="G84" s="39"/>
      <c r="H84" s="39"/>
      <c r="I84" s="39"/>
      <c r="J84" s="39"/>
      <c r="K84" s="39"/>
      <c r="L84" s="62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</row>
    <row r="85" s="2" customFormat="1" ht="16.5" customHeight="1">
      <c r="A85" s="37"/>
      <c r="B85" s="38"/>
      <c r="C85" s="39"/>
      <c r="D85" s="39"/>
      <c r="E85" s="173" t="str">
        <f>E7</f>
        <v>Areál společnosti FORESTINA s.r.o. Horažďovice, Blatenská 587</v>
      </c>
      <c r="F85" s="31"/>
      <c r="G85" s="31"/>
      <c r="H85" s="31"/>
      <c r="I85" s="39"/>
      <c r="J85" s="39"/>
      <c r="K85" s="39"/>
      <c r="L85" s="62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</row>
    <row r="86" s="2" customFormat="1" ht="12" customHeight="1">
      <c r="A86" s="37"/>
      <c r="B86" s="38"/>
      <c r="C86" s="31" t="s">
        <v>109</v>
      </c>
      <c r="D86" s="39"/>
      <c r="E86" s="39"/>
      <c r="F86" s="39"/>
      <c r="G86" s="39"/>
      <c r="H86" s="39"/>
      <c r="I86" s="39"/>
      <c r="J86" s="39"/>
      <c r="K86" s="39"/>
      <c r="L86" s="62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</row>
    <row r="87" s="2" customFormat="1" ht="16.5" customHeight="1">
      <c r="A87" s="37"/>
      <c r="B87" s="38"/>
      <c r="C87" s="39"/>
      <c r="D87" s="39"/>
      <c r="E87" s="75" t="str">
        <f>E9</f>
        <v>021 - Hala - markýzy VP9</v>
      </c>
      <c r="F87" s="39"/>
      <c r="G87" s="39"/>
      <c r="H87" s="39"/>
      <c r="I87" s="39"/>
      <c r="J87" s="39"/>
      <c r="K87" s="39"/>
      <c r="L87" s="62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</row>
    <row r="88" s="2" customFormat="1" ht="6.96" customHeight="1">
      <c r="A88" s="37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62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</row>
    <row r="89" s="2" customFormat="1" ht="12" customHeight="1">
      <c r="A89" s="37"/>
      <c r="B89" s="38"/>
      <c r="C89" s="31" t="s">
        <v>21</v>
      </c>
      <c r="D89" s="39"/>
      <c r="E89" s="39"/>
      <c r="F89" s="26" t="str">
        <f>F12</f>
        <v>Horažďovice</v>
      </c>
      <c r="G89" s="39"/>
      <c r="H89" s="39"/>
      <c r="I89" s="31" t="s">
        <v>23</v>
      </c>
      <c r="J89" s="78" t="str">
        <f>IF(J12="","",J12)</f>
        <v>26. 11. 2025</v>
      </c>
      <c r="K89" s="39"/>
      <c r="L89" s="62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</row>
    <row r="90" s="2" customFormat="1" ht="6.96" customHeight="1">
      <c r="A90" s="37"/>
      <c r="B90" s="38"/>
      <c r="C90" s="39"/>
      <c r="D90" s="39"/>
      <c r="E90" s="39"/>
      <c r="F90" s="39"/>
      <c r="G90" s="39"/>
      <c r="H90" s="39"/>
      <c r="I90" s="39"/>
      <c r="J90" s="39"/>
      <c r="K90" s="39"/>
      <c r="L90" s="62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</row>
    <row r="91" s="2" customFormat="1" ht="25.65" customHeight="1">
      <c r="A91" s="37"/>
      <c r="B91" s="38"/>
      <c r="C91" s="31" t="s">
        <v>25</v>
      </c>
      <c r="D91" s="39"/>
      <c r="E91" s="39"/>
      <c r="F91" s="26" t="str">
        <f>E15</f>
        <v>FORESTINA s.r.o.</v>
      </c>
      <c r="G91" s="39"/>
      <c r="H91" s="39"/>
      <c r="I91" s="31" t="s">
        <v>31</v>
      </c>
      <c r="J91" s="35" t="str">
        <f>E21</f>
        <v>STA projektový ateliér, s.r.o.</v>
      </c>
      <c r="K91" s="39"/>
      <c r="L91" s="62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</row>
    <row r="92" s="2" customFormat="1" ht="15.15" customHeight="1">
      <c r="A92" s="37"/>
      <c r="B92" s="38"/>
      <c r="C92" s="31" t="s">
        <v>29</v>
      </c>
      <c r="D92" s="39"/>
      <c r="E92" s="39"/>
      <c r="F92" s="26" t="str">
        <f>IF(E18="","",E18)</f>
        <v>Vyplň údaj</v>
      </c>
      <c r="G92" s="39"/>
      <c r="H92" s="39"/>
      <c r="I92" s="31" t="s">
        <v>34</v>
      </c>
      <c r="J92" s="35" t="str">
        <f>E24</f>
        <v>Pavel Hrba</v>
      </c>
      <c r="K92" s="39"/>
      <c r="L92" s="62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</row>
    <row r="93" s="2" customFormat="1" ht="10.32" customHeight="1">
      <c r="A93" s="37"/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62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</row>
    <row r="94" s="2" customFormat="1" ht="29.28" customHeight="1">
      <c r="A94" s="37"/>
      <c r="B94" s="38"/>
      <c r="C94" s="174" t="s">
        <v>112</v>
      </c>
      <c r="D94" s="175"/>
      <c r="E94" s="175"/>
      <c r="F94" s="175"/>
      <c r="G94" s="175"/>
      <c r="H94" s="175"/>
      <c r="I94" s="175"/>
      <c r="J94" s="176" t="s">
        <v>113</v>
      </c>
      <c r="K94" s="175"/>
      <c r="L94" s="62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</row>
    <row r="95" s="2" customFormat="1" ht="10.32" customHeight="1">
      <c r="A95" s="37"/>
      <c r="B95" s="38"/>
      <c r="C95" s="39"/>
      <c r="D95" s="39"/>
      <c r="E95" s="39"/>
      <c r="F95" s="39"/>
      <c r="G95" s="39"/>
      <c r="H95" s="39"/>
      <c r="I95" s="39"/>
      <c r="J95" s="39"/>
      <c r="K95" s="39"/>
      <c r="L95" s="62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</row>
    <row r="96" s="2" customFormat="1" ht="22.8" customHeight="1">
      <c r="A96" s="37"/>
      <c r="B96" s="38"/>
      <c r="C96" s="177" t="s">
        <v>114</v>
      </c>
      <c r="D96" s="39"/>
      <c r="E96" s="39"/>
      <c r="F96" s="39"/>
      <c r="G96" s="39"/>
      <c r="H96" s="39"/>
      <c r="I96" s="39"/>
      <c r="J96" s="109">
        <f>J119</f>
        <v>0</v>
      </c>
      <c r="K96" s="39"/>
      <c r="L96" s="62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U96" s="16" t="s">
        <v>115</v>
      </c>
    </row>
    <row r="97" s="9" customFormat="1" ht="24.96" customHeight="1">
      <c r="A97" s="9"/>
      <c r="B97" s="178"/>
      <c r="C97" s="179"/>
      <c r="D97" s="180" t="s">
        <v>2121</v>
      </c>
      <c r="E97" s="181"/>
      <c r="F97" s="181"/>
      <c r="G97" s="181"/>
      <c r="H97" s="181"/>
      <c r="I97" s="181"/>
      <c r="J97" s="182">
        <f>J120</f>
        <v>0</v>
      </c>
      <c r="K97" s="179"/>
      <c r="L97" s="183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="10" customFormat="1" ht="19.92" customHeight="1">
      <c r="A98" s="10"/>
      <c r="B98" s="184"/>
      <c r="C98" s="185"/>
      <c r="D98" s="186" t="s">
        <v>131</v>
      </c>
      <c r="E98" s="187"/>
      <c r="F98" s="187"/>
      <c r="G98" s="187"/>
      <c r="H98" s="187"/>
      <c r="I98" s="187"/>
      <c r="J98" s="188">
        <f>J121</f>
        <v>0</v>
      </c>
      <c r="K98" s="185"/>
      <c r="L98" s="189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="10" customFormat="1" ht="19.92" customHeight="1">
      <c r="A99" s="10"/>
      <c r="B99" s="184"/>
      <c r="C99" s="185"/>
      <c r="D99" s="186" t="s">
        <v>133</v>
      </c>
      <c r="E99" s="187"/>
      <c r="F99" s="187"/>
      <c r="G99" s="187"/>
      <c r="H99" s="187"/>
      <c r="I99" s="187"/>
      <c r="J99" s="188">
        <f>J128</f>
        <v>0</v>
      </c>
      <c r="K99" s="185"/>
      <c r="L99" s="189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 s="2" customFormat="1" ht="21.84" customHeight="1">
      <c r="A100" s="37"/>
      <c r="B100" s="38"/>
      <c r="C100" s="39"/>
      <c r="D100" s="39"/>
      <c r="E100" s="39"/>
      <c r="F100" s="39"/>
      <c r="G100" s="39"/>
      <c r="H100" s="39"/>
      <c r="I100" s="39"/>
      <c r="J100" s="39"/>
      <c r="K100" s="39"/>
      <c r="L100" s="62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</row>
    <row r="101" s="2" customFormat="1" ht="6.96" customHeight="1">
      <c r="A101" s="37"/>
      <c r="B101" s="65"/>
      <c r="C101" s="66"/>
      <c r="D101" s="66"/>
      <c r="E101" s="66"/>
      <c r="F101" s="66"/>
      <c r="G101" s="66"/>
      <c r="H101" s="66"/>
      <c r="I101" s="66"/>
      <c r="J101" s="66"/>
      <c r="K101" s="66"/>
      <c r="L101" s="62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</row>
    <row r="105" s="2" customFormat="1" ht="6.96" customHeight="1">
      <c r="A105" s="37"/>
      <c r="B105" s="67"/>
      <c r="C105" s="68"/>
      <c r="D105" s="68"/>
      <c r="E105" s="68"/>
      <c r="F105" s="68"/>
      <c r="G105" s="68"/>
      <c r="H105" s="68"/>
      <c r="I105" s="68"/>
      <c r="J105" s="68"/>
      <c r="K105" s="68"/>
      <c r="L105" s="62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</row>
    <row r="106" s="2" customFormat="1" ht="24.96" customHeight="1">
      <c r="A106" s="37"/>
      <c r="B106" s="38"/>
      <c r="C106" s="22" t="s">
        <v>142</v>
      </c>
      <c r="D106" s="39"/>
      <c r="E106" s="39"/>
      <c r="F106" s="39"/>
      <c r="G106" s="39"/>
      <c r="H106" s="39"/>
      <c r="I106" s="39"/>
      <c r="J106" s="39"/>
      <c r="K106" s="39"/>
      <c r="L106" s="62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</row>
    <row r="107" s="2" customFormat="1" ht="6.96" customHeight="1">
      <c r="A107" s="37"/>
      <c r="B107" s="38"/>
      <c r="C107" s="39"/>
      <c r="D107" s="39"/>
      <c r="E107" s="39"/>
      <c r="F107" s="39"/>
      <c r="G107" s="39"/>
      <c r="H107" s="39"/>
      <c r="I107" s="39"/>
      <c r="J107" s="39"/>
      <c r="K107" s="39"/>
      <c r="L107" s="62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</row>
    <row r="108" s="2" customFormat="1" ht="12" customHeight="1">
      <c r="A108" s="37"/>
      <c r="B108" s="38"/>
      <c r="C108" s="31" t="s">
        <v>17</v>
      </c>
      <c r="D108" s="39"/>
      <c r="E108" s="39"/>
      <c r="F108" s="39"/>
      <c r="G108" s="39"/>
      <c r="H108" s="39"/>
      <c r="I108" s="39"/>
      <c r="J108" s="39"/>
      <c r="K108" s="39"/>
      <c r="L108" s="62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</row>
    <row r="109" s="2" customFormat="1" ht="16.5" customHeight="1">
      <c r="A109" s="37"/>
      <c r="B109" s="38"/>
      <c r="C109" s="39"/>
      <c r="D109" s="39"/>
      <c r="E109" s="173" t="str">
        <f>E7</f>
        <v>Areál společnosti FORESTINA s.r.o. Horažďovice, Blatenská 587</v>
      </c>
      <c r="F109" s="31"/>
      <c r="G109" s="31"/>
      <c r="H109" s="31"/>
      <c r="I109" s="39"/>
      <c r="J109" s="39"/>
      <c r="K109" s="39"/>
      <c r="L109" s="62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</row>
    <row r="110" s="2" customFormat="1" ht="12" customHeight="1">
      <c r="A110" s="37"/>
      <c r="B110" s="38"/>
      <c r="C110" s="31" t="s">
        <v>109</v>
      </c>
      <c r="D110" s="39"/>
      <c r="E110" s="39"/>
      <c r="F110" s="39"/>
      <c r="G110" s="39"/>
      <c r="H110" s="39"/>
      <c r="I110" s="39"/>
      <c r="J110" s="39"/>
      <c r="K110" s="39"/>
      <c r="L110" s="62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</row>
    <row r="111" s="2" customFormat="1" ht="16.5" customHeight="1">
      <c r="A111" s="37"/>
      <c r="B111" s="38"/>
      <c r="C111" s="39"/>
      <c r="D111" s="39"/>
      <c r="E111" s="75" t="str">
        <f>E9</f>
        <v>021 - Hala - markýzy VP9</v>
      </c>
      <c r="F111" s="39"/>
      <c r="G111" s="39"/>
      <c r="H111" s="39"/>
      <c r="I111" s="39"/>
      <c r="J111" s="39"/>
      <c r="K111" s="39"/>
      <c r="L111" s="62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</row>
    <row r="112" s="2" customFormat="1" ht="6.96" customHeight="1">
      <c r="A112" s="37"/>
      <c r="B112" s="38"/>
      <c r="C112" s="39"/>
      <c r="D112" s="39"/>
      <c r="E112" s="39"/>
      <c r="F112" s="39"/>
      <c r="G112" s="39"/>
      <c r="H112" s="39"/>
      <c r="I112" s="39"/>
      <c r="J112" s="39"/>
      <c r="K112" s="39"/>
      <c r="L112" s="62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</row>
    <row r="113" s="2" customFormat="1" ht="12" customHeight="1">
      <c r="A113" s="37"/>
      <c r="B113" s="38"/>
      <c r="C113" s="31" t="s">
        <v>21</v>
      </c>
      <c r="D113" s="39"/>
      <c r="E113" s="39"/>
      <c r="F113" s="26" t="str">
        <f>F12</f>
        <v>Horažďovice</v>
      </c>
      <c r="G113" s="39"/>
      <c r="H113" s="39"/>
      <c r="I113" s="31" t="s">
        <v>23</v>
      </c>
      <c r="J113" s="78" t="str">
        <f>IF(J12="","",J12)</f>
        <v>26. 11. 2025</v>
      </c>
      <c r="K113" s="39"/>
      <c r="L113" s="62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</row>
    <row r="114" s="2" customFormat="1" ht="6.96" customHeight="1">
      <c r="A114" s="37"/>
      <c r="B114" s="38"/>
      <c r="C114" s="39"/>
      <c r="D114" s="39"/>
      <c r="E114" s="39"/>
      <c r="F114" s="39"/>
      <c r="G114" s="39"/>
      <c r="H114" s="39"/>
      <c r="I114" s="39"/>
      <c r="J114" s="39"/>
      <c r="K114" s="39"/>
      <c r="L114" s="62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</row>
    <row r="115" s="2" customFormat="1" ht="25.65" customHeight="1">
      <c r="A115" s="37"/>
      <c r="B115" s="38"/>
      <c r="C115" s="31" t="s">
        <v>25</v>
      </c>
      <c r="D115" s="39"/>
      <c r="E115" s="39"/>
      <c r="F115" s="26" t="str">
        <f>E15</f>
        <v>FORESTINA s.r.o.</v>
      </c>
      <c r="G115" s="39"/>
      <c r="H115" s="39"/>
      <c r="I115" s="31" t="s">
        <v>31</v>
      </c>
      <c r="J115" s="35" t="str">
        <f>E21</f>
        <v>STA projektový ateliér, s.r.o.</v>
      </c>
      <c r="K115" s="39"/>
      <c r="L115" s="62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</row>
    <row r="116" s="2" customFormat="1" ht="15.15" customHeight="1">
      <c r="A116" s="37"/>
      <c r="B116" s="38"/>
      <c r="C116" s="31" t="s">
        <v>29</v>
      </c>
      <c r="D116" s="39"/>
      <c r="E116" s="39"/>
      <c r="F116" s="26" t="str">
        <f>IF(E18="","",E18)</f>
        <v>Vyplň údaj</v>
      </c>
      <c r="G116" s="39"/>
      <c r="H116" s="39"/>
      <c r="I116" s="31" t="s">
        <v>34</v>
      </c>
      <c r="J116" s="35" t="str">
        <f>E24</f>
        <v>Pavel Hrba</v>
      </c>
      <c r="K116" s="39"/>
      <c r="L116" s="62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</row>
    <row r="117" s="2" customFormat="1" ht="10.32" customHeight="1">
      <c r="A117" s="37"/>
      <c r="B117" s="38"/>
      <c r="C117" s="39"/>
      <c r="D117" s="39"/>
      <c r="E117" s="39"/>
      <c r="F117" s="39"/>
      <c r="G117" s="39"/>
      <c r="H117" s="39"/>
      <c r="I117" s="39"/>
      <c r="J117" s="39"/>
      <c r="K117" s="39"/>
      <c r="L117" s="62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</row>
    <row r="118" s="11" customFormat="1" ht="29.28" customHeight="1">
      <c r="A118" s="190"/>
      <c r="B118" s="191"/>
      <c r="C118" s="192" t="s">
        <v>143</v>
      </c>
      <c r="D118" s="193" t="s">
        <v>62</v>
      </c>
      <c r="E118" s="193" t="s">
        <v>58</v>
      </c>
      <c r="F118" s="193" t="s">
        <v>59</v>
      </c>
      <c r="G118" s="193" t="s">
        <v>144</v>
      </c>
      <c r="H118" s="193" t="s">
        <v>145</v>
      </c>
      <c r="I118" s="193" t="s">
        <v>146</v>
      </c>
      <c r="J118" s="194" t="s">
        <v>113</v>
      </c>
      <c r="K118" s="195" t="s">
        <v>147</v>
      </c>
      <c r="L118" s="196"/>
      <c r="M118" s="99" t="s">
        <v>1</v>
      </c>
      <c r="N118" s="100" t="s">
        <v>41</v>
      </c>
      <c r="O118" s="100" t="s">
        <v>148</v>
      </c>
      <c r="P118" s="100" t="s">
        <v>149</v>
      </c>
      <c r="Q118" s="100" t="s">
        <v>150</v>
      </c>
      <c r="R118" s="100" t="s">
        <v>151</v>
      </c>
      <c r="S118" s="100" t="s">
        <v>152</v>
      </c>
      <c r="T118" s="101" t="s">
        <v>153</v>
      </c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</row>
    <row r="119" s="2" customFormat="1" ht="22.8" customHeight="1">
      <c r="A119" s="37"/>
      <c r="B119" s="38"/>
      <c r="C119" s="106" t="s">
        <v>154</v>
      </c>
      <c r="D119" s="39"/>
      <c r="E119" s="39"/>
      <c r="F119" s="39"/>
      <c r="G119" s="39"/>
      <c r="H119" s="39"/>
      <c r="I119" s="39"/>
      <c r="J119" s="197">
        <f>BK119</f>
        <v>0</v>
      </c>
      <c r="K119" s="39"/>
      <c r="L119" s="43"/>
      <c r="M119" s="102"/>
      <c r="N119" s="198"/>
      <c r="O119" s="103"/>
      <c r="P119" s="199">
        <f>P120</f>
        <v>0</v>
      </c>
      <c r="Q119" s="103"/>
      <c r="R119" s="199">
        <f>R120</f>
        <v>6.587460000000001</v>
      </c>
      <c r="S119" s="103"/>
      <c r="T119" s="200">
        <f>T120</f>
        <v>0</v>
      </c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T119" s="16" t="s">
        <v>76</v>
      </c>
      <c r="AU119" s="16" t="s">
        <v>115</v>
      </c>
      <c r="BK119" s="201">
        <f>BK120</f>
        <v>0</v>
      </c>
    </row>
    <row r="120" s="12" customFormat="1" ht="25.92" customHeight="1">
      <c r="A120" s="12"/>
      <c r="B120" s="202"/>
      <c r="C120" s="203"/>
      <c r="D120" s="204" t="s">
        <v>76</v>
      </c>
      <c r="E120" s="205" t="s">
        <v>636</v>
      </c>
      <c r="F120" s="205" t="s">
        <v>636</v>
      </c>
      <c r="G120" s="203"/>
      <c r="H120" s="203"/>
      <c r="I120" s="206"/>
      <c r="J120" s="207">
        <f>BK120</f>
        <v>0</v>
      </c>
      <c r="K120" s="203"/>
      <c r="L120" s="208"/>
      <c r="M120" s="209"/>
      <c r="N120" s="210"/>
      <c r="O120" s="210"/>
      <c r="P120" s="211">
        <f>P121+P128</f>
        <v>0</v>
      </c>
      <c r="Q120" s="210"/>
      <c r="R120" s="211">
        <f>R121+R128</f>
        <v>6.587460000000001</v>
      </c>
      <c r="S120" s="210"/>
      <c r="T120" s="212">
        <f>T121+T128</f>
        <v>0</v>
      </c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R120" s="213" t="s">
        <v>86</v>
      </c>
      <c r="AT120" s="214" t="s">
        <v>76</v>
      </c>
      <c r="AU120" s="214" t="s">
        <v>77</v>
      </c>
      <c r="AY120" s="213" t="s">
        <v>157</v>
      </c>
      <c r="BK120" s="215">
        <f>BK121+BK128</f>
        <v>0</v>
      </c>
    </row>
    <row r="121" s="12" customFormat="1" ht="22.8" customHeight="1">
      <c r="A121" s="12"/>
      <c r="B121" s="202"/>
      <c r="C121" s="203"/>
      <c r="D121" s="204" t="s">
        <v>76</v>
      </c>
      <c r="E121" s="216" t="s">
        <v>1193</v>
      </c>
      <c r="F121" s="216" t="s">
        <v>1194</v>
      </c>
      <c r="G121" s="203"/>
      <c r="H121" s="203"/>
      <c r="I121" s="206"/>
      <c r="J121" s="217">
        <f>BK121</f>
        <v>0</v>
      </c>
      <c r="K121" s="203"/>
      <c r="L121" s="208"/>
      <c r="M121" s="209"/>
      <c r="N121" s="210"/>
      <c r="O121" s="210"/>
      <c r="P121" s="211">
        <f>SUM(P122:P127)</f>
        <v>0</v>
      </c>
      <c r="Q121" s="210"/>
      <c r="R121" s="211">
        <f>SUM(R122:R127)</f>
        <v>0.079815999999999998</v>
      </c>
      <c r="S121" s="210"/>
      <c r="T121" s="212">
        <f>SUM(T122:T127)</f>
        <v>0</v>
      </c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R121" s="213" t="s">
        <v>86</v>
      </c>
      <c r="AT121" s="214" t="s">
        <v>76</v>
      </c>
      <c r="AU121" s="214" t="s">
        <v>8</v>
      </c>
      <c r="AY121" s="213" t="s">
        <v>157</v>
      </c>
      <c r="BK121" s="215">
        <f>SUM(BK122:BK127)</f>
        <v>0</v>
      </c>
    </row>
    <row r="122" s="2" customFormat="1" ht="24.15" customHeight="1">
      <c r="A122" s="37"/>
      <c r="B122" s="38"/>
      <c r="C122" s="218" t="s">
        <v>8</v>
      </c>
      <c r="D122" s="218" t="s">
        <v>159</v>
      </c>
      <c r="E122" s="219" t="s">
        <v>2122</v>
      </c>
      <c r="F122" s="220" t="s">
        <v>2123</v>
      </c>
      <c r="G122" s="221" t="s">
        <v>216</v>
      </c>
      <c r="H122" s="222">
        <v>33.200000000000003</v>
      </c>
      <c r="I122" s="223"/>
      <c r="J122" s="224">
        <f>ROUND(I122*H122,0)</f>
        <v>0</v>
      </c>
      <c r="K122" s="225"/>
      <c r="L122" s="43"/>
      <c r="M122" s="226" t="s">
        <v>1</v>
      </c>
      <c r="N122" s="227" t="s">
        <v>42</v>
      </c>
      <c r="O122" s="90"/>
      <c r="P122" s="228">
        <f>O122*H122</f>
        <v>0</v>
      </c>
      <c r="Q122" s="228">
        <v>0.0016299999999999999</v>
      </c>
      <c r="R122" s="228">
        <f>Q122*H122</f>
        <v>0.054116000000000004</v>
      </c>
      <c r="S122" s="228">
        <v>0</v>
      </c>
      <c r="T122" s="229">
        <f>S122*H122</f>
        <v>0</v>
      </c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R122" s="230" t="s">
        <v>246</v>
      </c>
      <c r="AT122" s="230" t="s">
        <v>159</v>
      </c>
      <c r="AU122" s="230" t="s">
        <v>86</v>
      </c>
      <c r="AY122" s="16" t="s">
        <v>157</v>
      </c>
      <c r="BE122" s="231">
        <f>IF(N122="základní",J122,0)</f>
        <v>0</v>
      </c>
      <c r="BF122" s="231">
        <f>IF(N122="snížená",J122,0)</f>
        <v>0</v>
      </c>
      <c r="BG122" s="231">
        <f>IF(N122="zákl. přenesená",J122,0)</f>
        <v>0</v>
      </c>
      <c r="BH122" s="231">
        <f>IF(N122="sníž. přenesená",J122,0)</f>
        <v>0</v>
      </c>
      <c r="BI122" s="231">
        <f>IF(N122="nulová",J122,0)</f>
        <v>0</v>
      </c>
      <c r="BJ122" s="16" t="s">
        <v>8</v>
      </c>
      <c r="BK122" s="231">
        <f>ROUND(I122*H122,0)</f>
        <v>0</v>
      </c>
      <c r="BL122" s="16" t="s">
        <v>246</v>
      </c>
      <c r="BM122" s="230" t="s">
        <v>2124</v>
      </c>
    </row>
    <row r="123" s="13" customFormat="1">
      <c r="A123" s="13"/>
      <c r="B123" s="232"/>
      <c r="C123" s="233"/>
      <c r="D123" s="234" t="s">
        <v>165</v>
      </c>
      <c r="E123" s="235" t="s">
        <v>1</v>
      </c>
      <c r="F123" s="236" t="s">
        <v>2125</v>
      </c>
      <c r="G123" s="233"/>
      <c r="H123" s="237">
        <v>33.200000000000003</v>
      </c>
      <c r="I123" s="238"/>
      <c r="J123" s="233"/>
      <c r="K123" s="233"/>
      <c r="L123" s="239"/>
      <c r="M123" s="240"/>
      <c r="N123" s="241"/>
      <c r="O123" s="241"/>
      <c r="P123" s="241"/>
      <c r="Q123" s="241"/>
      <c r="R123" s="241"/>
      <c r="S123" s="241"/>
      <c r="T123" s="242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T123" s="243" t="s">
        <v>165</v>
      </c>
      <c r="AU123" s="243" t="s">
        <v>86</v>
      </c>
      <c r="AV123" s="13" t="s">
        <v>86</v>
      </c>
      <c r="AW123" s="13" t="s">
        <v>32</v>
      </c>
      <c r="AX123" s="13" t="s">
        <v>77</v>
      </c>
      <c r="AY123" s="243" t="s">
        <v>157</v>
      </c>
    </row>
    <row r="124" s="2" customFormat="1" ht="24.15" customHeight="1">
      <c r="A124" s="37"/>
      <c r="B124" s="38"/>
      <c r="C124" s="218" t="s">
        <v>86</v>
      </c>
      <c r="D124" s="218" t="s">
        <v>159</v>
      </c>
      <c r="E124" s="219" t="s">
        <v>2126</v>
      </c>
      <c r="F124" s="220" t="s">
        <v>2127</v>
      </c>
      <c r="G124" s="221" t="s">
        <v>565</v>
      </c>
      <c r="H124" s="222">
        <v>2</v>
      </c>
      <c r="I124" s="223"/>
      <c r="J124" s="224">
        <f>ROUND(I124*H124,0)</f>
        <v>0</v>
      </c>
      <c r="K124" s="225"/>
      <c r="L124" s="43"/>
      <c r="M124" s="226" t="s">
        <v>1</v>
      </c>
      <c r="N124" s="227" t="s">
        <v>42</v>
      </c>
      <c r="O124" s="90"/>
      <c r="P124" s="228">
        <f>O124*H124</f>
        <v>0</v>
      </c>
      <c r="Q124" s="228">
        <v>0.00025000000000000001</v>
      </c>
      <c r="R124" s="228">
        <f>Q124*H124</f>
        <v>0.00050000000000000001</v>
      </c>
      <c r="S124" s="228">
        <v>0</v>
      </c>
      <c r="T124" s="229">
        <f>S124*H124</f>
        <v>0</v>
      </c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R124" s="230" t="s">
        <v>246</v>
      </c>
      <c r="AT124" s="230" t="s">
        <v>159</v>
      </c>
      <c r="AU124" s="230" t="s">
        <v>86</v>
      </c>
      <c r="AY124" s="16" t="s">
        <v>157</v>
      </c>
      <c r="BE124" s="231">
        <f>IF(N124="základní",J124,0)</f>
        <v>0</v>
      </c>
      <c r="BF124" s="231">
        <f>IF(N124="snížená",J124,0)</f>
        <v>0</v>
      </c>
      <c r="BG124" s="231">
        <f>IF(N124="zákl. přenesená",J124,0)</f>
        <v>0</v>
      </c>
      <c r="BH124" s="231">
        <f>IF(N124="sníž. přenesená",J124,0)</f>
        <v>0</v>
      </c>
      <c r="BI124" s="231">
        <f>IF(N124="nulová",J124,0)</f>
        <v>0</v>
      </c>
      <c r="BJ124" s="16" t="s">
        <v>8</v>
      </c>
      <c r="BK124" s="231">
        <f>ROUND(I124*H124,0)</f>
        <v>0</v>
      </c>
      <c r="BL124" s="16" t="s">
        <v>246</v>
      </c>
      <c r="BM124" s="230" t="s">
        <v>2128</v>
      </c>
    </row>
    <row r="125" s="2" customFormat="1" ht="24.15" customHeight="1">
      <c r="A125" s="37"/>
      <c r="B125" s="38"/>
      <c r="C125" s="218" t="s">
        <v>176</v>
      </c>
      <c r="D125" s="218" t="s">
        <v>159</v>
      </c>
      <c r="E125" s="219" t="s">
        <v>2129</v>
      </c>
      <c r="F125" s="220" t="s">
        <v>2130</v>
      </c>
      <c r="G125" s="221" t="s">
        <v>216</v>
      </c>
      <c r="H125" s="222">
        <v>12</v>
      </c>
      <c r="I125" s="223"/>
      <c r="J125" s="224">
        <f>ROUND(I125*H125,0)</f>
        <v>0</v>
      </c>
      <c r="K125" s="225"/>
      <c r="L125" s="43"/>
      <c r="M125" s="226" t="s">
        <v>1</v>
      </c>
      <c r="N125" s="227" t="s">
        <v>42</v>
      </c>
      <c r="O125" s="90"/>
      <c r="P125" s="228">
        <f>O125*H125</f>
        <v>0</v>
      </c>
      <c r="Q125" s="228">
        <v>0.0020999999999999999</v>
      </c>
      <c r="R125" s="228">
        <f>Q125*H125</f>
        <v>0.0252</v>
      </c>
      <c r="S125" s="228">
        <v>0</v>
      </c>
      <c r="T125" s="229">
        <f>S125*H125</f>
        <v>0</v>
      </c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R125" s="230" t="s">
        <v>246</v>
      </c>
      <c r="AT125" s="230" t="s">
        <v>159</v>
      </c>
      <c r="AU125" s="230" t="s">
        <v>86</v>
      </c>
      <c r="AY125" s="16" t="s">
        <v>157</v>
      </c>
      <c r="BE125" s="231">
        <f>IF(N125="základní",J125,0)</f>
        <v>0</v>
      </c>
      <c r="BF125" s="231">
        <f>IF(N125="snížená",J125,0)</f>
        <v>0</v>
      </c>
      <c r="BG125" s="231">
        <f>IF(N125="zákl. přenesená",J125,0)</f>
        <v>0</v>
      </c>
      <c r="BH125" s="231">
        <f>IF(N125="sníž. přenesená",J125,0)</f>
        <v>0</v>
      </c>
      <c r="BI125" s="231">
        <f>IF(N125="nulová",J125,0)</f>
        <v>0</v>
      </c>
      <c r="BJ125" s="16" t="s">
        <v>8</v>
      </c>
      <c r="BK125" s="231">
        <f>ROUND(I125*H125,0)</f>
        <v>0</v>
      </c>
      <c r="BL125" s="16" t="s">
        <v>246</v>
      </c>
      <c r="BM125" s="230" t="s">
        <v>2131</v>
      </c>
    </row>
    <row r="126" s="13" customFormat="1">
      <c r="A126" s="13"/>
      <c r="B126" s="232"/>
      <c r="C126" s="233"/>
      <c r="D126" s="234" t="s">
        <v>165</v>
      </c>
      <c r="E126" s="235" t="s">
        <v>1</v>
      </c>
      <c r="F126" s="236" t="s">
        <v>2132</v>
      </c>
      <c r="G126" s="233"/>
      <c r="H126" s="237">
        <v>12</v>
      </c>
      <c r="I126" s="238"/>
      <c r="J126" s="233"/>
      <c r="K126" s="233"/>
      <c r="L126" s="239"/>
      <c r="M126" s="240"/>
      <c r="N126" s="241"/>
      <c r="O126" s="241"/>
      <c r="P126" s="241"/>
      <c r="Q126" s="241"/>
      <c r="R126" s="241"/>
      <c r="S126" s="241"/>
      <c r="T126" s="242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T126" s="243" t="s">
        <v>165</v>
      </c>
      <c r="AU126" s="243" t="s">
        <v>86</v>
      </c>
      <c r="AV126" s="13" t="s">
        <v>86</v>
      </c>
      <c r="AW126" s="13" t="s">
        <v>32</v>
      </c>
      <c r="AX126" s="13" t="s">
        <v>77</v>
      </c>
      <c r="AY126" s="243" t="s">
        <v>157</v>
      </c>
    </row>
    <row r="127" s="2" customFormat="1" ht="24.15" customHeight="1">
      <c r="A127" s="37"/>
      <c r="B127" s="38"/>
      <c r="C127" s="218" t="s">
        <v>163</v>
      </c>
      <c r="D127" s="218" t="s">
        <v>159</v>
      </c>
      <c r="E127" s="219" t="s">
        <v>2133</v>
      </c>
      <c r="F127" s="220" t="s">
        <v>2134</v>
      </c>
      <c r="G127" s="221" t="s">
        <v>193</v>
      </c>
      <c r="H127" s="222">
        <v>0.080000000000000002</v>
      </c>
      <c r="I127" s="223"/>
      <c r="J127" s="224">
        <f>ROUND(I127*H127,0)</f>
        <v>0</v>
      </c>
      <c r="K127" s="225"/>
      <c r="L127" s="43"/>
      <c r="M127" s="226" t="s">
        <v>1</v>
      </c>
      <c r="N127" s="227" t="s">
        <v>42</v>
      </c>
      <c r="O127" s="90"/>
      <c r="P127" s="228">
        <f>O127*H127</f>
        <v>0</v>
      </c>
      <c r="Q127" s="228">
        <v>0</v>
      </c>
      <c r="R127" s="228">
        <f>Q127*H127</f>
        <v>0</v>
      </c>
      <c r="S127" s="228">
        <v>0</v>
      </c>
      <c r="T127" s="229">
        <f>S127*H127</f>
        <v>0</v>
      </c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R127" s="230" t="s">
        <v>246</v>
      </c>
      <c r="AT127" s="230" t="s">
        <v>159</v>
      </c>
      <c r="AU127" s="230" t="s">
        <v>86</v>
      </c>
      <c r="AY127" s="16" t="s">
        <v>157</v>
      </c>
      <c r="BE127" s="231">
        <f>IF(N127="základní",J127,0)</f>
        <v>0</v>
      </c>
      <c r="BF127" s="231">
        <f>IF(N127="snížená",J127,0)</f>
        <v>0</v>
      </c>
      <c r="BG127" s="231">
        <f>IF(N127="zákl. přenesená",J127,0)</f>
        <v>0</v>
      </c>
      <c r="BH127" s="231">
        <f>IF(N127="sníž. přenesená",J127,0)</f>
        <v>0</v>
      </c>
      <c r="BI127" s="231">
        <f>IF(N127="nulová",J127,0)</f>
        <v>0</v>
      </c>
      <c r="BJ127" s="16" t="s">
        <v>8</v>
      </c>
      <c r="BK127" s="231">
        <f>ROUND(I127*H127,0)</f>
        <v>0</v>
      </c>
      <c r="BL127" s="16" t="s">
        <v>246</v>
      </c>
      <c r="BM127" s="230" t="s">
        <v>2135</v>
      </c>
    </row>
    <row r="128" s="12" customFormat="1" ht="22.8" customHeight="1">
      <c r="A128" s="12"/>
      <c r="B128" s="202"/>
      <c r="C128" s="203"/>
      <c r="D128" s="204" t="s">
        <v>76</v>
      </c>
      <c r="E128" s="216" t="s">
        <v>1312</v>
      </c>
      <c r="F128" s="216" t="s">
        <v>1313</v>
      </c>
      <c r="G128" s="203"/>
      <c r="H128" s="203"/>
      <c r="I128" s="206"/>
      <c r="J128" s="217">
        <f>BK128</f>
        <v>0</v>
      </c>
      <c r="K128" s="203"/>
      <c r="L128" s="208"/>
      <c r="M128" s="209"/>
      <c r="N128" s="210"/>
      <c r="O128" s="210"/>
      <c r="P128" s="211">
        <f>SUM(P129:P136)</f>
        <v>0</v>
      </c>
      <c r="Q128" s="210"/>
      <c r="R128" s="211">
        <f>SUM(R129:R136)</f>
        <v>6.5076440000000009</v>
      </c>
      <c r="S128" s="210"/>
      <c r="T128" s="212">
        <f>SUM(T129:T136)</f>
        <v>0</v>
      </c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R128" s="213" t="s">
        <v>86</v>
      </c>
      <c r="AT128" s="214" t="s">
        <v>76</v>
      </c>
      <c r="AU128" s="214" t="s">
        <v>8</v>
      </c>
      <c r="AY128" s="213" t="s">
        <v>157</v>
      </c>
      <c r="BK128" s="215">
        <f>SUM(BK129:BK136)</f>
        <v>0</v>
      </c>
    </row>
    <row r="129" s="2" customFormat="1" ht="16.5" customHeight="1">
      <c r="A129" s="37"/>
      <c r="B129" s="38"/>
      <c r="C129" s="218" t="s">
        <v>185</v>
      </c>
      <c r="D129" s="218" t="s">
        <v>159</v>
      </c>
      <c r="E129" s="219" t="s">
        <v>2136</v>
      </c>
      <c r="F129" s="220" t="s">
        <v>2137</v>
      </c>
      <c r="G129" s="221" t="s">
        <v>209</v>
      </c>
      <c r="H129" s="222">
        <v>154</v>
      </c>
      <c r="I129" s="223"/>
      <c r="J129" s="224">
        <f>ROUND(I129*H129,0)</f>
        <v>0</v>
      </c>
      <c r="K129" s="225"/>
      <c r="L129" s="43"/>
      <c r="M129" s="226" t="s">
        <v>1</v>
      </c>
      <c r="N129" s="227" t="s">
        <v>42</v>
      </c>
      <c r="O129" s="90"/>
      <c r="P129" s="228">
        <f>O129*H129</f>
        <v>0</v>
      </c>
      <c r="Q129" s="228">
        <v>1.0000000000000001E-05</v>
      </c>
      <c r="R129" s="228">
        <f>Q129*H129</f>
        <v>0.0015400000000000001</v>
      </c>
      <c r="S129" s="228">
        <v>0</v>
      </c>
      <c r="T129" s="229">
        <f>S129*H129</f>
        <v>0</v>
      </c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R129" s="230" t="s">
        <v>246</v>
      </c>
      <c r="AT129" s="230" t="s">
        <v>159</v>
      </c>
      <c r="AU129" s="230" t="s">
        <v>86</v>
      </c>
      <c r="AY129" s="16" t="s">
        <v>157</v>
      </c>
      <c r="BE129" s="231">
        <f>IF(N129="základní",J129,0)</f>
        <v>0</v>
      </c>
      <c r="BF129" s="231">
        <f>IF(N129="snížená",J129,0)</f>
        <v>0</v>
      </c>
      <c r="BG129" s="231">
        <f>IF(N129="zákl. přenesená",J129,0)</f>
        <v>0</v>
      </c>
      <c r="BH129" s="231">
        <f>IF(N129="sníž. přenesená",J129,0)</f>
        <v>0</v>
      </c>
      <c r="BI129" s="231">
        <f>IF(N129="nulová",J129,0)</f>
        <v>0</v>
      </c>
      <c r="BJ129" s="16" t="s">
        <v>8</v>
      </c>
      <c r="BK129" s="231">
        <f>ROUND(I129*H129,0)</f>
        <v>0</v>
      </c>
      <c r="BL129" s="16" t="s">
        <v>246</v>
      </c>
      <c r="BM129" s="230" t="s">
        <v>2138</v>
      </c>
    </row>
    <row r="130" s="13" customFormat="1">
      <c r="A130" s="13"/>
      <c r="B130" s="232"/>
      <c r="C130" s="233"/>
      <c r="D130" s="234" t="s">
        <v>165</v>
      </c>
      <c r="E130" s="235" t="s">
        <v>1</v>
      </c>
      <c r="F130" s="236" t="s">
        <v>2139</v>
      </c>
      <c r="G130" s="233"/>
      <c r="H130" s="237">
        <v>154</v>
      </c>
      <c r="I130" s="238"/>
      <c r="J130" s="233"/>
      <c r="K130" s="233"/>
      <c r="L130" s="239"/>
      <c r="M130" s="240"/>
      <c r="N130" s="241"/>
      <c r="O130" s="241"/>
      <c r="P130" s="241"/>
      <c r="Q130" s="241"/>
      <c r="R130" s="241"/>
      <c r="S130" s="241"/>
      <c r="T130" s="242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T130" s="243" t="s">
        <v>165</v>
      </c>
      <c r="AU130" s="243" t="s">
        <v>86</v>
      </c>
      <c r="AV130" s="13" t="s">
        <v>86</v>
      </c>
      <c r="AW130" s="13" t="s">
        <v>32</v>
      </c>
      <c r="AX130" s="13" t="s">
        <v>77</v>
      </c>
      <c r="AY130" s="243" t="s">
        <v>157</v>
      </c>
    </row>
    <row r="131" s="2" customFormat="1" ht="16.5" customHeight="1">
      <c r="A131" s="37"/>
      <c r="B131" s="38"/>
      <c r="C131" s="254" t="s">
        <v>190</v>
      </c>
      <c r="D131" s="254" t="s">
        <v>229</v>
      </c>
      <c r="E131" s="255" t="s">
        <v>2140</v>
      </c>
      <c r="F131" s="256" t="s">
        <v>2141</v>
      </c>
      <c r="G131" s="257" t="s">
        <v>209</v>
      </c>
      <c r="H131" s="258">
        <v>184.80000000000001</v>
      </c>
      <c r="I131" s="259"/>
      <c r="J131" s="260">
        <f>ROUND(I131*H131,0)</f>
        <v>0</v>
      </c>
      <c r="K131" s="261"/>
      <c r="L131" s="262"/>
      <c r="M131" s="263" t="s">
        <v>1</v>
      </c>
      <c r="N131" s="264" t="s">
        <v>42</v>
      </c>
      <c r="O131" s="90"/>
      <c r="P131" s="228">
        <f>O131*H131</f>
        <v>0</v>
      </c>
      <c r="Q131" s="228">
        <v>0.0091000000000000004</v>
      </c>
      <c r="R131" s="228">
        <f>Q131*H131</f>
        <v>1.6816800000000003</v>
      </c>
      <c r="S131" s="228">
        <v>0</v>
      </c>
      <c r="T131" s="229">
        <f>S131*H131</f>
        <v>0</v>
      </c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R131" s="230" t="s">
        <v>329</v>
      </c>
      <c r="AT131" s="230" t="s">
        <v>229</v>
      </c>
      <c r="AU131" s="230" t="s">
        <v>86</v>
      </c>
      <c r="AY131" s="16" t="s">
        <v>157</v>
      </c>
      <c r="BE131" s="231">
        <f>IF(N131="základní",J131,0)</f>
        <v>0</v>
      </c>
      <c r="BF131" s="231">
        <f>IF(N131="snížená",J131,0)</f>
        <v>0</v>
      </c>
      <c r="BG131" s="231">
        <f>IF(N131="zákl. přenesená",J131,0)</f>
        <v>0</v>
      </c>
      <c r="BH131" s="231">
        <f>IF(N131="sníž. přenesená",J131,0)</f>
        <v>0</v>
      </c>
      <c r="BI131" s="231">
        <f>IF(N131="nulová",J131,0)</f>
        <v>0</v>
      </c>
      <c r="BJ131" s="16" t="s">
        <v>8</v>
      </c>
      <c r="BK131" s="231">
        <f>ROUND(I131*H131,0)</f>
        <v>0</v>
      </c>
      <c r="BL131" s="16" t="s">
        <v>246</v>
      </c>
      <c r="BM131" s="230" t="s">
        <v>2142</v>
      </c>
    </row>
    <row r="132" s="13" customFormat="1">
      <c r="A132" s="13"/>
      <c r="B132" s="232"/>
      <c r="C132" s="233"/>
      <c r="D132" s="234" t="s">
        <v>165</v>
      </c>
      <c r="E132" s="235" t="s">
        <v>1</v>
      </c>
      <c r="F132" s="236" t="s">
        <v>984</v>
      </c>
      <c r="G132" s="233"/>
      <c r="H132" s="237">
        <v>154</v>
      </c>
      <c r="I132" s="238"/>
      <c r="J132" s="233"/>
      <c r="K132" s="233"/>
      <c r="L132" s="239"/>
      <c r="M132" s="240"/>
      <c r="N132" s="241"/>
      <c r="O132" s="241"/>
      <c r="P132" s="241"/>
      <c r="Q132" s="241"/>
      <c r="R132" s="241"/>
      <c r="S132" s="241"/>
      <c r="T132" s="242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T132" s="243" t="s">
        <v>165</v>
      </c>
      <c r="AU132" s="243" t="s">
        <v>86</v>
      </c>
      <c r="AV132" s="13" t="s">
        <v>86</v>
      </c>
      <c r="AW132" s="13" t="s">
        <v>32</v>
      </c>
      <c r="AX132" s="13" t="s">
        <v>8</v>
      </c>
      <c r="AY132" s="243" t="s">
        <v>157</v>
      </c>
    </row>
    <row r="133" s="13" customFormat="1">
      <c r="A133" s="13"/>
      <c r="B133" s="232"/>
      <c r="C133" s="233"/>
      <c r="D133" s="234" t="s">
        <v>165</v>
      </c>
      <c r="E133" s="233"/>
      <c r="F133" s="236" t="s">
        <v>2143</v>
      </c>
      <c r="G133" s="233"/>
      <c r="H133" s="237">
        <v>184.80000000000001</v>
      </c>
      <c r="I133" s="238"/>
      <c r="J133" s="233"/>
      <c r="K133" s="233"/>
      <c r="L133" s="239"/>
      <c r="M133" s="240"/>
      <c r="N133" s="241"/>
      <c r="O133" s="241"/>
      <c r="P133" s="241"/>
      <c r="Q133" s="241"/>
      <c r="R133" s="241"/>
      <c r="S133" s="241"/>
      <c r="T133" s="242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T133" s="243" t="s">
        <v>165</v>
      </c>
      <c r="AU133" s="243" t="s">
        <v>86</v>
      </c>
      <c r="AV133" s="13" t="s">
        <v>86</v>
      </c>
      <c r="AW133" s="13" t="s">
        <v>4</v>
      </c>
      <c r="AX133" s="13" t="s">
        <v>8</v>
      </c>
      <c r="AY133" s="243" t="s">
        <v>157</v>
      </c>
    </row>
    <row r="134" s="2" customFormat="1" ht="24.15" customHeight="1">
      <c r="A134" s="37"/>
      <c r="B134" s="38"/>
      <c r="C134" s="218" t="s">
        <v>196</v>
      </c>
      <c r="D134" s="218" t="s">
        <v>159</v>
      </c>
      <c r="E134" s="219" t="s">
        <v>2144</v>
      </c>
      <c r="F134" s="220" t="s">
        <v>2145</v>
      </c>
      <c r="G134" s="221" t="s">
        <v>1407</v>
      </c>
      <c r="H134" s="222">
        <v>4824.424</v>
      </c>
      <c r="I134" s="223"/>
      <c r="J134" s="224">
        <f>ROUND(I134*H134,0)</f>
        <v>0</v>
      </c>
      <c r="K134" s="225"/>
      <c r="L134" s="43"/>
      <c r="M134" s="226" t="s">
        <v>1</v>
      </c>
      <c r="N134" s="227" t="s">
        <v>42</v>
      </c>
      <c r="O134" s="90"/>
      <c r="P134" s="228">
        <f>O134*H134</f>
        <v>0</v>
      </c>
      <c r="Q134" s="228">
        <v>0.001</v>
      </c>
      <c r="R134" s="228">
        <f>Q134*H134</f>
        <v>4.8244240000000005</v>
      </c>
      <c r="S134" s="228">
        <v>0</v>
      </c>
      <c r="T134" s="229">
        <f>S134*H134</f>
        <v>0</v>
      </c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R134" s="230" t="s">
        <v>246</v>
      </c>
      <c r="AT134" s="230" t="s">
        <v>159</v>
      </c>
      <c r="AU134" s="230" t="s">
        <v>86</v>
      </c>
      <c r="AY134" s="16" t="s">
        <v>157</v>
      </c>
      <c r="BE134" s="231">
        <f>IF(N134="základní",J134,0)</f>
        <v>0</v>
      </c>
      <c r="BF134" s="231">
        <f>IF(N134="snížená",J134,0)</f>
        <v>0</v>
      </c>
      <c r="BG134" s="231">
        <f>IF(N134="zákl. přenesená",J134,0)</f>
        <v>0</v>
      </c>
      <c r="BH134" s="231">
        <f>IF(N134="sníž. přenesená",J134,0)</f>
        <v>0</v>
      </c>
      <c r="BI134" s="231">
        <f>IF(N134="nulová",J134,0)</f>
        <v>0</v>
      </c>
      <c r="BJ134" s="16" t="s">
        <v>8</v>
      </c>
      <c r="BK134" s="231">
        <f>ROUND(I134*H134,0)</f>
        <v>0</v>
      </c>
      <c r="BL134" s="16" t="s">
        <v>246</v>
      </c>
      <c r="BM134" s="230" t="s">
        <v>2146</v>
      </c>
    </row>
    <row r="135" s="13" customFormat="1">
      <c r="A135" s="13"/>
      <c r="B135" s="232"/>
      <c r="C135" s="233"/>
      <c r="D135" s="234" t="s">
        <v>165</v>
      </c>
      <c r="E135" s="235" t="s">
        <v>1</v>
      </c>
      <c r="F135" s="236" t="s">
        <v>2147</v>
      </c>
      <c r="G135" s="233"/>
      <c r="H135" s="237">
        <v>4824.424</v>
      </c>
      <c r="I135" s="238"/>
      <c r="J135" s="233"/>
      <c r="K135" s="233"/>
      <c r="L135" s="239"/>
      <c r="M135" s="240"/>
      <c r="N135" s="241"/>
      <c r="O135" s="241"/>
      <c r="P135" s="241"/>
      <c r="Q135" s="241"/>
      <c r="R135" s="241"/>
      <c r="S135" s="241"/>
      <c r="T135" s="242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T135" s="243" t="s">
        <v>165</v>
      </c>
      <c r="AU135" s="243" t="s">
        <v>86</v>
      </c>
      <c r="AV135" s="13" t="s">
        <v>86</v>
      </c>
      <c r="AW135" s="13" t="s">
        <v>32</v>
      </c>
      <c r="AX135" s="13" t="s">
        <v>77</v>
      </c>
      <c r="AY135" s="243" t="s">
        <v>157</v>
      </c>
    </row>
    <row r="136" s="2" customFormat="1" ht="24.15" customHeight="1">
      <c r="A136" s="37"/>
      <c r="B136" s="38"/>
      <c r="C136" s="218" t="s">
        <v>200</v>
      </c>
      <c r="D136" s="218" t="s">
        <v>159</v>
      </c>
      <c r="E136" s="219" t="s">
        <v>2148</v>
      </c>
      <c r="F136" s="220" t="s">
        <v>2149</v>
      </c>
      <c r="G136" s="221" t="s">
        <v>193</v>
      </c>
      <c r="H136" s="222">
        <v>6.508</v>
      </c>
      <c r="I136" s="223"/>
      <c r="J136" s="224">
        <f>ROUND(I136*H136,0)</f>
        <v>0</v>
      </c>
      <c r="K136" s="225"/>
      <c r="L136" s="43"/>
      <c r="M136" s="266" t="s">
        <v>1</v>
      </c>
      <c r="N136" s="267" t="s">
        <v>42</v>
      </c>
      <c r="O136" s="268"/>
      <c r="P136" s="269">
        <f>O136*H136</f>
        <v>0</v>
      </c>
      <c r="Q136" s="269">
        <v>0</v>
      </c>
      <c r="R136" s="269">
        <f>Q136*H136</f>
        <v>0</v>
      </c>
      <c r="S136" s="269">
        <v>0</v>
      </c>
      <c r="T136" s="270">
        <f>S136*H136</f>
        <v>0</v>
      </c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R136" s="230" t="s">
        <v>246</v>
      </c>
      <c r="AT136" s="230" t="s">
        <v>159</v>
      </c>
      <c r="AU136" s="230" t="s">
        <v>86</v>
      </c>
      <c r="AY136" s="16" t="s">
        <v>157</v>
      </c>
      <c r="BE136" s="231">
        <f>IF(N136="základní",J136,0)</f>
        <v>0</v>
      </c>
      <c r="BF136" s="231">
        <f>IF(N136="snížená",J136,0)</f>
        <v>0</v>
      </c>
      <c r="BG136" s="231">
        <f>IF(N136="zákl. přenesená",J136,0)</f>
        <v>0</v>
      </c>
      <c r="BH136" s="231">
        <f>IF(N136="sníž. přenesená",J136,0)</f>
        <v>0</v>
      </c>
      <c r="BI136" s="231">
        <f>IF(N136="nulová",J136,0)</f>
        <v>0</v>
      </c>
      <c r="BJ136" s="16" t="s">
        <v>8</v>
      </c>
      <c r="BK136" s="231">
        <f>ROUND(I136*H136,0)</f>
        <v>0</v>
      </c>
      <c r="BL136" s="16" t="s">
        <v>246</v>
      </c>
      <c r="BM136" s="230" t="s">
        <v>2150</v>
      </c>
    </row>
    <row r="137" s="2" customFormat="1" ht="6.96" customHeight="1">
      <c r="A137" s="37"/>
      <c r="B137" s="65"/>
      <c r="C137" s="66"/>
      <c r="D137" s="66"/>
      <c r="E137" s="66"/>
      <c r="F137" s="66"/>
      <c r="G137" s="66"/>
      <c r="H137" s="66"/>
      <c r="I137" s="66"/>
      <c r="J137" s="66"/>
      <c r="K137" s="66"/>
      <c r="L137" s="43"/>
      <c r="M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</row>
  </sheetData>
  <sheetProtection sheet="1" autoFilter="0" formatColumns="0" formatRows="0" objects="1" scenarios="1" spinCount="100000" saltValue="YdMNeHKa3CYVCb5r2L1/bzx170NImQTKnjWcZaXeGCMZn7qwQzLeiVvwO/vZv/xL1GjoxnGcCKAyzR2PXjEzpw==" hashValue="GVkwhC+dnWLdrHIb4nKkfxoZ3NUcfU9DwexFO1TO/9weQeDZ78sP1B7894uDTo/46rfl7l5Pd7jnOfrfAdDUNQ==" algorithmName="SHA-512" password="F695"/>
  <autoFilter ref="C118:K136"/>
  <mergeCells count="9">
    <mergeCell ref="E7:H7"/>
    <mergeCell ref="E9:H9"/>
    <mergeCell ref="E18:H18"/>
    <mergeCell ref="E27:H27"/>
    <mergeCell ref="E85:H85"/>
    <mergeCell ref="E87:H87"/>
    <mergeCell ref="E109:H109"/>
    <mergeCell ref="E111:H111"/>
    <mergeCell ref="L2:V2"/>
  </mergeCell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50.83203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hidden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6" t="s">
        <v>95</v>
      </c>
    </row>
    <row r="3" s="1" customFormat="1" ht="6.96" customHeight="1">
      <c r="B3" s="135"/>
      <c r="C3" s="136"/>
      <c r="D3" s="136"/>
      <c r="E3" s="136"/>
      <c r="F3" s="136"/>
      <c r="G3" s="136"/>
      <c r="H3" s="136"/>
      <c r="I3" s="136"/>
      <c r="J3" s="136"/>
      <c r="K3" s="136"/>
      <c r="L3" s="19"/>
      <c r="AT3" s="16" t="s">
        <v>86</v>
      </c>
    </row>
    <row r="4" s="1" customFormat="1" ht="24.96" customHeight="1">
      <c r="B4" s="19"/>
      <c r="D4" s="137" t="s">
        <v>108</v>
      </c>
      <c r="L4" s="19"/>
      <c r="M4" s="138" t="s">
        <v>11</v>
      </c>
      <c r="AT4" s="16" t="s">
        <v>4</v>
      </c>
    </row>
    <row r="5" s="1" customFormat="1" ht="6.96" customHeight="1">
      <c r="B5" s="19"/>
      <c r="L5" s="19"/>
    </row>
    <row r="6" s="1" customFormat="1" ht="12" customHeight="1">
      <c r="B6" s="19"/>
      <c r="D6" s="139" t="s">
        <v>17</v>
      </c>
      <c r="L6" s="19"/>
    </row>
    <row r="7" s="1" customFormat="1" ht="16.5" customHeight="1">
      <c r="B7" s="19"/>
      <c r="E7" s="140" t="str">
        <f>'Rekapitulace stavby'!K6</f>
        <v>Areál společnosti FORESTINA s.r.o. Horažďovice, Blatenská 587</v>
      </c>
      <c r="F7" s="139"/>
      <c r="G7" s="139"/>
      <c r="H7" s="139"/>
      <c r="L7" s="19"/>
    </row>
    <row r="8" s="2" customFormat="1" ht="12" customHeight="1">
      <c r="A8" s="37"/>
      <c r="B8" s="43"/>
      <c r="C8" s="37"/>
      <c r="D8" s="139" t="s">
        <v>109</v>
      </c>
      <c r="E8" s="37"/>
      <c r="F8" s="37"/>
      <c r="G8" s="37"/>
      <c r="H8" s="37"/>
      <c r="I8" s="37"/>
      <c r="J8" s="37"/>
      <c r="K8" s="37"/>
      <c r="L8" s="62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</row>
    <row r="9" s="2" customFormat="1" ht="16.5" customHeight="1">
      <c r="A9" s="37"/>
      <c r="B9" s="43"/>
      <c r="C9" s="37"/>
      <c r="D9" s="37"/>
      <c r="E9" s="141" t="s">
        <v>2151</v>
      </c>
      <c r="F9" s="37"/>
      <c r="G9" s="37"/>
      <c r="H9" s="37"/>
      <c r="I9" s="37"/>
      <c r="J9" s="37"/>
      <c r="K9" s="37"/>
      <c r="L9" s="62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</row>
    <row r="10" s="2" customFormat="1">
      <c r="A10" s="37"/>
      <c r="B10" s="43"/>
      <c r="C10" s="37"/>
      <c r="D10" s="37"/>
      <c r="E10" s="37"/>
      <c r="F10" s="37"/>
      <c r="G10" s="37"/>
      <c r="H10" s="37"/>
      <c r="I10" s="37"/>
      <c r="J10" s="37"/>
      <c r="K10" s="37"/>
      <c r="L10" s="62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</row>
    <row r="11" s="2" customFormat="1" ht="12" customHeight="1">
      <c r="A11" s="37"/>
      <c r="B11" s="43"/>
      <c r="C11" s="37"/>
      <c r="D11" s="139" t="s">
        <v>19</v>
      </c>
      <c r="E11" s="37"/>
      <c r="F11" s="142" t="s">
        <v>1</v>
      </c>
      <c r="G11" s="37"/>
      <c r="H11" s="37"/>
      <c r="I11" s="139" t="s">
        <v>20</v>
      </c>
      <c r="J11" s="142" t="s">
        <v>1</v>
      </c>
      <c r="K11" s="37"/>
      <c r="L11" s="62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</row>
    <row r="12" s="2" customFormat="1" ht="12" customHeight="1">
      <c r="A12" s="37"/>
      <c r="B12" s="43"/>
      <c r="C12" s="37"/>
      <c r="D12" s="139" t="s">
        <v>21</v>
      </c>
      <c r="E12" s="37"/>
      <c r="F12" s="142" t="s">
        <v>22</v>
      </c>
      <c r="G12" s="37"/>
      <c r="H12" s="37"/>
      <c r="I12" s="139" t="s">
        <v>23</v>
      </c>
      <c r="J12" s="143" t="str">
        <f>'Rekapitulace stavby'!AN8</f>
        <v>26. 11. 2025</v>
      </c>
      <c r="K12" s="37"/>
      <c r="L12" s="62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</row>
    <row r="13" s="2" customFormat="1" ht="10.8" customHeight="1">
      <c r="A13" s="37"/>
      <c r="B13" s="43"/>
      <c r="C13" s="37"/>
      <c r="D13" s="37"/>
      <c r="E13" s="37"/>
      <c r="F13" s="37"/>
      <c r="G13" s="37"/>
      <c r="H13" s="37"/>
      <c r="I13" s="37"/>
      <c r="J13" s="37"/>
      <c r="K13" s="37"/>
      <c r="L13" s="62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</row>
    <row r="14" s="2" customFormat="1" ht="12" customHeight="1">
      <c r="A14" s="37"/>
      <c r="B14" s="43"/>
      <c r="C14" s="37"/>
      <c r="D14" s="139" t="s">
        <v>25</v>
      </c>
      <c r="E14" s="37"/>
      <c r="F14" s="37"/>
      <c r="G14" s="37"/>
      <c r="H14" s="37"/>
      <c r="I14" s="139" t="s">
        <v>26</v>
      </c>
      <c r="J14" s="142" t="s">
        <v>1</v>
      </c>
      <c r="K14" s="37"/>
      <c r="L14" s="62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</row>
    <row r="15" s="2" customFormat="1" ht="18" customHeight="1">
      <c r="A15" s="37"/>
      <c r="B15" s="43"/>
      <c r="C15" s="37"/>
      <c r="D15" s="37"/>
      <c r="E15" s="142" t="s">
        <v>27</v>
      </c>
      <c r="F15" s="37"/>
      <c r="G15" s="37"/>
      <c r="H15" s="37"/>
      <c r="I15" s="139" t="s">
        <v>28</v>
      </c>
      <c r="J15" s="142" t="s">
        <v>1</v>
      </c>
      <c r="K15" s="37"/>
      <c r="L15" s="62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</row>
    <row r="16" s="2" customFormat="1" ht="6.96" customHeight="1">
      <c r="A16" s="37"/>
      <c r="B16" s="43"/>
      <c r="C16" s="37"/>
      <c r="D16" s="37"/>
      <c r="E16" s="37"/>
      <c r="F16" s="37"/>
      <c r="G16" s="37"/>
      <c r="H16" s="37"/>
      <c r="I16" s="37"/>
      <c r="J16" s="37"/>
      <c r="K16" s="37"/>
      <c r="L16" s="62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</row>
    <row r="17" s="2" customFormat="1" ht="12" customHeight="1">
      <c r="A17" s="37"/>
      <c r="B17" s="43"/>
      <c r="C17" s="37"/>
      <c r="D17" s="139" t="s">
        <v>29</v>
      </c>
      <c r="E17" s="37"/>
      <c r="F17" s="37"/>
      <c r="G17" s="37"/>
      <c r="H17" s="37"/>
      <c r="I17" s="139" t="s">
        <v>26</v>
      </c>
      <c r="J17" s="32" t="str">
        <f>'Rekapitulace stavby'!AN13</f>
        <v>Vyplň údaj</v>
      </c>
      <c r="K17" s="37"/>
      <c r="L17" s="62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</row>
    <row r="18" s="2" customFormat="1" ht="18" customHeight="1">
      <c r="A18" s="37"/>
      <c r="B18" s="43"/>
      <c r="C18" s="37"/>
      <c r="D18" s="37"/>
      <c r="E18" s="32" t="str">
        <f>'Rekapitulace stavby'!E14</f>
        <v>Vyplň údaj</v>
      </c>
      <c r="F18" s="142"/>
      <c r="G18" s="142"/>
      <c r="H18" s="142"/>
      <c r="I18" s="139" t="s">
        <v>28</v>
      </c>
      <c r="J18" s="32" t="str">
        <f>'Rekapitulace stavby'!AN14</f>
        <v>Vyplň údaj</v>
      </c>
      <c r="K18" s="37"/>
      <c r="L18" s="62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</row>
    <row r="19" s="2" customFormat="1" ht="6.96" customHeight="1">
      <c r="A19" s="37"/>
      <c r="B19" s="43"/>
      <c r="C19" s="37"/>
      <c r="D19" s="37"/>
      <c r="E19" s="37"/>
      <c r="F19" s="37"/>
      <c r="G19" s="37"/>
      <c r="H19" s="37"/>
      <c r="I19" s="37"/>
      <c r="J19" s="37"/>
      <c r="K19" s="37"/>
      <c r="L19" s="62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</row>
    <row r="20" s="2" customFormat="1" ht="12" customHeight="1">
      <c r="A20" s="37"/>
      <c r="B20" s="43"/>
      <c r="C20" s="37"/>
      <c r="D20" s="139" t="s">
        <v>31</v>
      </c>
      <c r="E20" s="37"/>
      <c r="F20" s="37"/>
      <c r="G20" s="37"/>
      <c r="H20" s="37"/>
      <c r="I20" s="139" t="s">
        <v>26</v>
      </c>
      <c r="J20" s="142" t="s">
        <v>1</v>
      </c>
      <c r="K20" s="37"/>
      <c r="L20" s="62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</row>
    <row r="21" s="2" customFormat="1" ht="18" customHeight="1">
      <c r="A21" s="37"/>
      <c r="B21" s="43"/>
      <c r="C21" s="37"/>
      <c r="D21" s="37"/>
      <c r="E21" s="142" t="s">
        <v>33</v>
      </c>
      <c r="F21" s="37"/>
      <c r="G21" s="37"/>
      <c r="H21" s="37"/>
      <c r="I21" s="139" t="s">
        <v>28</v>
      </c>
      <c r="J21" s="142" t="s">
        <v>1</v>
      </c>
      <c r="K21" s="37"/>
      <c r="L21" s="62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</row>
    <row r="22" s="2" customFormat="1" ht="6.96" customHeight="1">
      <c r="A22" s="37"/>
      <c r="B22" s="43"/>
      <c r="C22" s="37"/>
      <c r="D22" s="37"/>
      <c r="E22" s="37"/>
      <c r="F22" s="37"/>
      <c r="G22" s="37"/>
      <c r="H22" s="37"/>
      <c r="I22" s="37"/>
      <c r="J22" s="37"/>
      <c r="K22" s="37"/>
      <c r="L22" s="62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</row>
    <row r="23" s="2" customFormat="1" ht="12" customHeight="1">
      <c r="A23" s="37"/>
      <c r="B23" s="43"/>
      <c r="C23" s="37"/>
      <c r="D23" s="139" t="s">
        <v>34</v>
      </c>
      <c r="E23" s="37"/>
      <c r="F23" s="37"/>
      <c r="G23" s="37"/>
      <c r="H23" s="37"/>
      <c r="I23" s="139" t="s">
        <v>26</v>
      </c>
      <c r="J23" s="142" t="s">
        <v>1</v>
      </c>
      <c r="K23" s="37"/>
      <c r="L23" s="62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</row>
    <row r="24" s="2" customFormat="1" ht="18" customHeight="1">
      <c r="A24" s="37"/>
      <c r="B24" s="43"/>
      <c r="C24" s="37"/>
      <c r="D24" s="37"/>
      <c r="E24" s="142" t="s">
        <v>35</v>
      </c>
      <c r="F24" s="37"/>
      <c r="G24" s="37"/>
      <c r="H24" s="37"/>
      <c r="I24" s="139" t="s">
        <v>28</v>
      </c>
      <c r="J24" s="142" t="s">
        <v>1</v>
      </c>
      <c r="K24" s="37"/>
      <c r="L24" s="62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</row>
    <row r="25" s="2" customFormat="1" ht="6.96" customHeight="1">
      <c r="A25" s="37"/>
      <c r="B25" s="43"/>
      <c r="C25" s="37"/>
      <c r="D25" s="37"/>
      <c r="E25" s="37"/>
      <c r="F25" s="37"/>
      <c r="G25" s="37"/>
      <c r="H25" s="37"/>
      <c r="I25" s="37"/>
      <c r="J25" s="37"/>
      <c r="K25" s="37"/>
      <c r="L25" s="62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</row>
    <row r="26" s="2" customFormat="1" ht="12" customHeight="1">
      <c r="A26" s="37"/>
      <c r="B26" s="43"/>
      <c r="C26" s="37"/>
      <c r="D26" s="139" t="s">
        <v>36</v>
      </c>
      <c r="E26" s="37"/>
      <c r="F26" s="37"/>
      <c r="G26" s="37"/>
      <c r="H26" s="37"/>
      <c r="I26" s="37"/>
      <c r="J26" s="37"/>
      <c r="K26" s="37"/>
      <c r="L26" s="62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</row>
    <row r="27" s="8" customFormat="1" ht="16.5" customHeight="1">
      <c r="A27" s="144"/>
      <c r="B27" s="145"/>
      <c r="C27" s="144"/>
      <c r="D27" s="144"/>
      <c r="E27" s="146" t="s">
        <v>1</v>
      </c>
      <c r="F27" s="146"/>
      <c r="G27" s="146"/>
      <c r="H27" s="146"/>
      <c r="I27" s="144"/>
      <c r="J27" s="144"/>
      <c r="K27" s="144"/>
      <c r="L27" s="147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</row>
    <row r="28" s="2" customFormat="1" ht="6.96" customHeight="1">
      <c r="A28" s="37"/>
      <c r="B28" s="43"/>
      <c r="C28" s="37"/>
      <c r="D28" s="37"/>
      <c r="E28" s="37"/>
      <c r="F28" s="37"/>
      <c r="G28" s="37"/>
      <c r="H28" s="37"/>
      <c r="I28" s="37"/>
      <c r="J28" s="37"/>
      <c r="K28" s="37"/>
      <c r="L28" s="62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</row>
    <row r="29" s="2" customFormat="1" ht="6.96" customHeight="1">
      <c r="A29" s="37"/>
      <c r="B29" s="43"/>
      <c r="C29" s="37"/>
      <c r="D29" s="148"/>
      <c r="E29" s="148"/>
      <c r="F29" s="148"/>
      <c r="G29" s="148"/>
      <c r="H29" s="148"/>
      <c r="I29" s="148"/>
      <c r="J29" s="148"/>
      <c r="K29" s="148"/>
      <c r="L29" s="62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</row>
    <row r="30" s="2" customFormat="1" ht="25.44" customHeight="1">
      <c r="A30" s="37"/>
      <c r="B30" s="43"/>
      <c r="C30" s="37"/>
      <c r="D30" s="149" t="s">
        <v>37</v>
      </c>
      <c r="E30" s="37"/>
      <c r="F30" s="37"/>
      <c r="G30" s="37"/>
      <c r="H30" s="37"/>
      <c r="I30" s="37"/>
      <c r="J30" s="150">
        <f>ROUND(J130, 0)</f>
        <v>0</v>
      </c>
      <c r="K30" s="37"/>
      <c r="L30" s="62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</row>
    <row r="31" s="2" customFormat="1" ht="6.96" customHeight="1">
      <c r="A31" s="37"/>
      <c r="B31" s="43"/>
      <c r="C31" s="37"/>
      <c r="D31" s="148"/>
      <c r="E31" s="148"/>
      <c r="F31" s="148"/>
      <c r="G31" s="148"/>
      <c r="H31" s="148"/>
      <c r="I31" s="148"/>
      <c r="J31" s="148"/>
      <c r="K31" s="148"/>
      <c r="L31" s="62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</row>
    <row r="32" s="2" customFormat="1" ht="14.4" customHeight="1">
      <c r="A32" s="37"/>
      <c r="B32" s="43"/>
      <c r="C32" s="37"/>
      <c r="D32" s="37"/>
      <c r="E32" s="37"/>
      <c r="F32" s="151" t="s">
        <v>39</v>
      </c>
      <c r="G32" s="37"/>
      <c r="H32" s="37"/>
      <c r="I32" s="151" t="s">
        <v>38</v>
      </c>
      <c r="J32" s="151" t="s">
        <v>40</v>
      </c>
      <c r="K32" s="37"/>
      <c r="L32" s="62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</row>
    <row r="33" s="2" customFormat="1" ht="14.4" customHeight="1">
      <c r="A33" s="37"/>
      <c r="B33" s="43"/>
      <c r="C33" s="37"/>
      <c r="D33" s="152" t="s">
        <v>41</v>
      </c>
      <c r="E33" s="139" t="s">
        <v>42</v>
      </c>
      <c r="F33" s="153">
        <f>ROUND((SUM(BE130:BE388)),  0)</f>
        <v>0</v>
      </c>
      <c r="G33" s="37"/>
      <c r="H33" s="37"/>
      <c r="I33" s="154">
        <v>0.20999999999999999</v>
      </c>
      <c r="J33" s="153">
        <f>ROUND(((SUM(BE130:BE388))*I33),  0)</f>
        <v>0</v>
      </c>
      <c r="K33" s="37"/>
      <c r="L33" s="62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</row>
    <row r="34" s="2" customFormat="1" ht="14.4" customHeight="1">
      <c r="A34" s="37"/>
      <c r="B34" s="43"/>
      <c r="C34" s="37"/>
      <c r="D34" s="37"/>
      <c r="E34" s="139" t="s">
        <v>43</v>
      </c>
      <c r="F34" s="153">
        <f>ROUND((SUM(BF130:BF388)),  0)</f>
        <v>0</v>
      </c>
      <c r="G34" s="37"/>
      <c r="H34" s="37"/>
      <c r="I34" s="154">
        <v>0.12</v>
      </c>
      <c r="J34" s="153">
        <f>ROUND(((SUM(BF130:BF388))*I34),  0)</f>
        <v>0</v>
      </c>
      <c r="K34" s="37"/>
      <c r="L34" s="62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</row>
    <row r="35" hidden="1" s="2" customFormat="1" ht="14.4" customHeight="1">
      <c r="A35" s="37"/>
      <c r="B35" s="43"/>
      <c r="C35" s="37"/>
      <c r="D35" s="37"/>
      <c r="E35" s="139" t="s">
        <v>44</v>
      </c>
      <c r="F35" s="153">
        <f>ROUND((SUM(BG130:BG388)),  0)</f>
        <v>0</v>
      </c>
      <c r="G35" s="37"/>
      <c r="H35" s="37"/>
      <c r="I35" s="154">
        <v>0.20999999999999999</v>
      </c>
      <c r="J35" s="153">
        <f>0</f>
        <v>0</v>
      </c>
      <c r="K35" s="37"/>
      <c r="L35" s="62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</row>
    <row r="36" hidden="1" s="2" customFormat="1" ht="14.4" customHeight="1">
      <c r="A36" s="37"/>
      <c r="B36" s="43"/>
      <c r="C36" s="37"/>
      <c r="D36" s="37"/>
      <c r="E36" s="139" t="s">
        <v>45</v>
      </c>
      <c r="F36" s="153">
        <f>ROUND((SUM(BH130:BH388)),  0)</f>
        <v>0</v>
      </c>
      <c r="G36" s="37"/>
      <c r="H36" s="37"/>
      <c r="I36" s="154">
        <v>0.12</v>
      </c>
      <c r="J36" s="153">
        <f>0</f>
        <v>0</v>
      </c>
      <c r="K36" s="37"/>
      <c r="L36" s="62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</row>
    <row r="37" hidden="1" s="2" customFormat="1" ht="14.4" customHeight="1">
      <c r="A37" s="37"/>
      <c r="B37" s="43"/>
      <c r="C37" s="37"/>
      <c r="D37" s="37"/>
      <c r="E37" s="139" t="s">
        <v>46</v>
      </c>
      <c r="F37" s="153">
        <f>ROUND((SUM(BI130:BI388)),  0)</f>
        <v>0</v>
      </c>
      <c r="G37" s="37"/>
      <c r="H37" s="37"/>
      <c r="I37" s="154">
        <v>0</v>
      </c>
      <c r="J37" s="153">
        <f>0</f>
        <v>0</v>
      </c>
      <c r="K37" s="37"/>
      <c r="L37" s="62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</row>
    <row r="38" s="2" customFormat="1" ht="6.96" customHeight="1">
      <c r="A38" s="37"/>
      <c r="B38" s="43"/>
      <c r="C38" s="37"/>
      <c r="D38" s="37"/>
      <c r="E38" s="37"/>
      <c r="F38" s="37"/>
      <c r="G38" s="37"/>
      <c r="H38" s="37"/>
      <c r="I38" s="37"/>
      <c r="J38" s="37"/>
      <c r="K38" s="37"/>
      <c r="L38" s="62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</row>
    <row r="39" s="2" customFormat="1" ht="25.44" customHeight="1">
      <c r="A39" s="37"/>
      <c r="B39" s="43"/>
      <c r="C39" s="155"/>
      <c r="D39" s="156" t="s">
        <v>47</v>
      </c>
      <c r="E39" s="157"/>
      <c r="F39" s="157"/>
      <c r="G39" s="158" t="s">
        <v>48</v>
      </c>
      <c r="H39" s="159" t="s">
        <v>49</v>
      </c>
      <c r="I39" s="157"/>
      <c r="J39" s="160">
        <f>SUM(J30:J37)</f>
        <v>0</v>
      </c>
      <c r="K39" s="161"/>
      <c r="L39" s="62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</row>
    <row r="40" s="2" customFormat="1" ht="14.4" customHeight="1">
      <c r="A40" s="37"/>
      <c r="B40" s="43"/>
      <c r="C40" s="37"/>
      <c r="D40" s="37"/>
      <c r="E40" s="37"/>
      <c r="F40" s="37"/>
      <c r="G40" s="37"/>
      <c r="H40" s="37"/>
      <c r="I40" s="37"/>
      <c r="J40" s="37"/>
      <c r="K40" s="37"/>
      <c r="L40" s="62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</row>
    <row r="41" s="1" customFormat="1" ht="14.4" customHeight="1">
      <c r="B41" s="19"/>
      <c r="L41" s="19"/>
    </row>
    <row r="42" s="1" customFormat="1" ht="14.4" customHeight="1">
      <c r="B42" s="19"/>
      <c r="L42" s="19"/>
    </row>
    <row r="43" s="1" customFormat="1" ht="14.4" customHeight="1">
      <c r="B43" s="19"/>
      <c r="L43" s="19"/>
    </row>
    <row r="44" s="1" customFormat="1" ht="14.4" customHeight="1">
      <c r="B44" s="19"/>
      <c r="L44" s="19"/>
    </row>
    <row r="45" s="1" customFormat="1" ht="14.4" customHeight="1">
      <c r="B45" s="19"/>
      <c r="L45" s="19"/>
    </row>
    <row r="46" s="1" customFormat="1" ht="14.4" customHeight="1">
      <c r="B46" s="19"/>
      <c r="L46" s="19"/>
    </row>
    <row r="47" s="1" customFormat="1" ht="14.4" customHeight="1">
      <c r="B47" s="19"/>
      <c r="L47" s="19"/>
    </row>
    <row r="48" s="1" customFormat="1" ht="14.4" customHeight="1">
      <c r="B48" s="19"/>
      <c r="L48" s="19"/>
    </row>
    <row r="49" s="1" customFormat="1" ht="14.4" customHeight="1">
      <c r="B49" s="19"/>
      <c r="L49" s="19"/>
    </row>
    <row r="50" s="2" customFormat="1" ht="14.4" customHeight="1">
      <c r="B50" s="62"/>
      <c r="D50" s="162" t="s">
        <v>50</v>
      </c>
      <c r="E50" s="163"/>
      <c r="F50" s="163"/>
      <c r="G50" s="162" t="s">
        <v>51</v>
      </c>
      <c r="H50" s="163"/>
      <c r="I50" s="163"/>
      <c r="J50" s="163"/>
      <c r="K50" s="163"/>
      <c r="L50" s="62"/>
    </row>
    <row r="51">
      <c r="B51" s="19"/>
      <c r="L51" s="19"/>
    </row>
    <row r="52">
      <c r="B52" s="19"/>
      <c r="L52" s="19"/>
    </row>
    <row r="53">
      <c r="B53" s="19"/>
      <c r="L53" s="19"/>
    </row>
    <row r="54">
      <c r="B54" s="19"/>
      <c r="L54" s="19"/>
    </row>
    <row r="55">
      <c r="B55" s="19"/>
      <c r="L55" s="19"/>
    </row>
    <row r="56">
      <c r="B56" s="19"/>
      <c r="L56" s="19"/>
    </row>
    <row r="57">
      <c r="B57" s="19"/>
      <c r="L57" s="19"/>
    </row>
    <row r="58">
      <c r="B58" s="19"/>
      <c r="L58" s="19"/>
    </row>
    <row r="59">
      <c r="B59" s="19"/>
      <c r="L59" s="19"/>
    </row>
    <row r="60">
      <c r="B60" s="19"/>
      <c r="L60" s="19"/>
    </row>
    <row r="61" s="2" customFormat="1">
      <c r="A61" s="37"/>
      <c r="B61" s="43"/>
      <c r="C61" s="37"/>
      <c r="D61" s="164" t="s">
        <v>52</v>
      </c>
      <c r="E61" s="165"/>
      <c r="F61" s="166" t="s">
        <v>53</v>
      </c>
      <c r="G61" s="164" t="s">
        <v>52</v>
      </c>
      <c r="H61" s="165"/>
      <c r="I61" s="165"/>
      <c r="J61" s="167" t="s">
        <v>53</v>
      </c>
      <c r="K61" s="165"/>
      <c r="L61" s="62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</row>
    <row r="62">
      <c r="B62" s="19"/>
      <c r="L62" s="19"/>
    </row>
    <row r="63">
      <c r="B63" s="19"/>
      <c r="L63" s="19"/>
    </row>
    <row r="64">
      <c r="B64" s="19"/>
      <c r="L64" s="19"/>
    </row>
    <row r="65" s="2" customFormat="1">
      <c r="A65" s="37"/>
      <c r="B65" s="43"/>
      <c r="C65" s="37"/>
      <c r="D65" s="162" t="s">
        <v>54</v>
      </c>
      <c r="E65" s="168"/>
      <c r="F65" s="168"/>
      <c r="G65" s="162" t="s">
        <v>55</v>
      </c>
      <c r="H65" s="168"/>
      <c r="I65" s="168"/>
      <c r="J65" s="168"/>
      <c r="K65" s="168"/>
      <c r="L65" s="62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</row>
    <row r="66">
      <c r="B66" s="19"/>
      <c r="L66" s="19"/>
    </row>
    <row r="67">
      <c r="B67" s="19"/>
      <c r="L67" s="19"/>
    </row>
    <row r="68">
      <c r="B68" s="19"/>
      <c r="L68" s="19"/>
    </row>
    <row r="69">
      <c r="B69" s="19"/>
      <c r="L69" s="19"/>
    </row>
    <row r="70">
      <c r="B70" s="19"/>
      <c r="L70" s="19"/>
    </row>
    <row r="71">
      <c r="B71" s="19"/>
      <c r="L71" s="19"/>
    </row>
    <row r="72">
      <c r="B72" s="19"/>
      <c r="L72" s="19"/>
    </row>
    <row r="73">
      <c r="B73" s="19"/>
      <c r="L73" s="19"/>
    </row>
    <row r="74">
      <c r="B74" s="19"/>
      <c r="L74" s="19"/>
    </row>
    <row r="75">
      <c r="B75" s="19"/>
      <c r="L75" s="19"/>
    </row>
    <row r="76" s="2" customFormat="1">
      <c r="A76" s="37"/>
      <c r="B76" s="43"/>
      <c r="C76" s="37"/>
      <c r="D76" s="164" t="s">
        <v>52</v>
      </c>
      <c r="E76" s="165"/>
      <c r="F76" s="166" t="s">
        <v>53</v>
      </c>
      <c r="G76" s="164" t="s">
        <v>52</v>
      </c>
      <c r="H76" s="165"/>
      <c r="I76" s="165"/>
      <c r="J76" s="167" t="s">
        <v>53</v>
      </c>
      <c r="K76" s="165"/>
      <c r="L76" s="62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</row>
    <row r="77" s="2" customFormat="1" ht="14.4" customHeight="1">
      <c r="A77" s="37"/>
      <c r="B77" s="169"/>
      <c r="C77" s="170"/>
      <c r="D77" s="170"/>
      <c r="E77" s="170"/>
      <c r="F77" s="170"/>
      <c r="G77" s="170"/>
      <c r="H77" s="170"/>
      <c r="I77" s="170"/>
      <c r="J77" s="170"/>
      <c r="K77" s="170"/>
      <c r="L77" s="62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</row>
    <row r="81" s="2" customFormat="1" ht="6.96" customHeight="1">
      <c r="A81" s="37"/>
      <c r="B81" s="171"/>
      <c r="C81" s="172"/>
      <c r="D81" s="172"/>
      <c r="E81" s="172"/>
      <c r="F81" s="172"/>
      <c r="G81" s="172"/>
      <c r="H81" s="172"/>
      <c r="I81" s="172"/>
      <c r="J81" s="172"/>
      <c r="K81" s="172"/>
      <c r="L81" s="62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</row>
    <row r="82" s="2" customFormat="1" ht="24.96" customHeight="1">
      <c r="A82" s="37"/>
      <c r="B82" s="38"/>
      <c r="C82" s="22" t="s">
        <v>111</v>
      </c>
      <c r="D82" s="39"/>
      <c r="E82" s="39"/>
      <c r="F82" s="39"/>
      <c r="G82" s="39"/>
      <c r="H82" s="39"/>
      <c r="I82" s="39"/>
      <c r="J82" s="39"/>
      <c r="K82" s="39"/>
      <c r="L82" s="62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</row>
    <row r="83" s="2" customFormat="1" ht="6.96" customHeight="1">
      <c r="A83" s="37"/>
      <c r="B83" s="38"/>
      <c r="C83" s="39"/>
      <c r="D83" s="39"/>
      <c r="E83" s="39"/>
      <c r="F83" s="39"/>
      <c r="G83" s="39"/>
      <c r="H83" s="39"/>
      <c r="I83" s="39"/>
      <c r="J83" s="39"/>
      <c r="K83" s="39"/>
      <c r="L83" s="62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</row>
    <row r="84" s="2" customFormat="1" ht="12" customHeight="1">
      <c r="A84" s="37"/>
      <c r="B84" s="38"/>
      <c r="C84" s="31" t="s">
        <v>17</v>
      </c>
      <c r="D84" s="39"/>
      <c r="E84" s="39"/>
      <c r="F84" s="39"/>
      <c r="G84" s="39"/>
      <c r="H84" s="39"/>
      <c r="I84" s="39"/>
      <c r="J84" s="39"/>
      <c r="K84" s="39"/>
      <c r="L84" s="62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</row>
    <row r="85" s="2" customFormat="1" ht="16.5" customHeight="1">
      <c r="A85" s="37"/>
      <c r="B85" s="38"/>
      <c r="C85" s="39"/>
      <c r="D85" s="39"/>
      <c r="E85" s="173" t="str">
        <f>E7</f>
        <v>Areál společnosti FORESTINA s.r.o. Horažďovice, Blatenská 587</v>
      </c>
      <c r="F85" s="31"/>
      <c r="G85" s="31"/>
      <c r="H85" s="31"/>
      <c r="I85" s="39"/>
      <c r="J85" s="39"/>
      <c r="K85" s="39"/>
      <c r="L85" s="62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</row>
    <row r="86" s="2" customFormat="1" ht="12" customHeight="1">
      <c r="A86" s="37"/>
      <c r="B86" s="38"/>
      <c r="C86" s="31" t="s">
        <v>109</v>
      </c>
      <c r="D86" s="39"/>
      <c r="E86" s="39"/>
      <c r="F86" s="39"/>
      <c r="G86" s="39"/>
      <c r="H86" s="39"/>
      <c r="I86" s="39"/>
      <c r="J86" s="39"/>
      <c r="K86" s="39"/>
      <c r="L86" s="62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</row>
    <row r="87" s="2" customFormat="1" ht="16.5" customHeight="1">
      <c r="A87" s="37"/>
      <c r="B87" s="38"/>
      <c r="C87" s="39"/>
      <c r="D87" s="39"/>
      <c r="E87" s="75" t="str">
        <f>E9</f>
        <v>030 - Venkovní úpravy</v>
      </c>
      <c r="F87" s="39"/>
      <c r="G87" s="39"/>
      <c r="H87" s="39"/>
      <c r="I87" s="39"/>
      <c r="J87" s="39"/>
      <c r="K87" s="39"/>
      <c r="L87" s="62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</row>
    <row r="88" s="2" customFormat="1" ht="6.96" customHeight="1">
      <c r="A88" s="37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62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</row>
    <row r="89" s="2" customFormat="1" ht="12" customHeight="1">
      <c r="A89" s="37"/>
      <c r="B89" s="38"/>
      <c r="C89" s="31" t="s">
        <v>21</v>
      </c>
      <c r="D89" s="39"/>
      <c r="E89" s="39"/>
      <c r="F89" s="26" t="str">
        <f>F12</f>
        <v>Horažďovice</v>
      </c>
      <c r="G89" s="39"/>
      <c r="H89" s="39"/>
      <c r="I89" s="31" t="s">
        <v>23</v>
      </c>
      <c r="J89" s="78" t="str">
        <f>IF(J12="","",J12)</f>
        <v>26. 11. 2025</v>
      </c>
      <c r="K89" s="39"/>
      <c r="L89" s="62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</row>
    <row r="90" s="2" customFormat="1" ht="6.96" customHeight="1">
      <c r="A90" s="37"/>
      <c r="B90" s="38"/>
      <c r="C90" s="39"/>
      <c r="D90" s="39"/>
      <c r="E90" s="39"/>
      <c r="F90" s="39"/>
      <c r="G90" s="39"/>
      <c r="H90" s="39"/>
      <c r="I90" s="39"/>
      <c r="J90" s="39"/>
      <c r="K90" s="39"/>
      <c r="L90" s="62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</row>
    <row r="91" s="2" customFormat="1" ht="25.65" customHeight="1">
      <c r="A91" s="37"/>
      <c r="B91" s="38"/>
      <c r="C91" s="31" t="s">
        <v>25</v>
      </c>
      <c r="D91" s="39"/>
      <c r="E91" s="39"/>
      <c r="F91" s="26" t="str">
        <f>E15</f>
        <v>FORESTINA s.r.o.</v>
      </c>
      <c r="G91" s="39"/>
      <c r="H91" s="39"/>
      <c r="I91" s="31" t="s">
        <v>31</v>
      </c>
      <c r="J91" s="35" t="str">
        <f>E21</f>
        <v>STA projektový ateliér, s.r.o.</v>
      </c>
      <c r="K91" s="39"/>
      <c r="L91" s="62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</row>
    <row r="92" s="2" customFormat="1" ht="15.15" customHeight="1">
      <c r="A92" s="37"/>
      <c r="B92" s="38"/>
      <c r="C92" s="31" t="s">
        <v>29</v>
      </c>
      <c r="D92" s="39"/>
      <c r="E92" s="39"/>
      <c r="F92" s="26" t="str">
        <f>IF(E18="","",E18)</f>
        <v>Vyplň údaj</v>
      </c>
      <c r="G92" s="39"/>
      <c r="H92" s="39"/>
      <c r="I92" s="31" t="s">
        <v>34</v>
      </c>
      <c r="J92" s="35" t="str">
        <f>E24</f>
        <v>Pavel Hrba</v>
      </c>
      <c r="K92" s="39"/>
      <c r="L92" s="62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</row>
    <row r="93" s="2" customFormat="1" ht="10.32" customHeight="1">
      <c r="A93" s="37"/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62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</row>
    <row r="94" s="2" customFormat="1" ht="29.28" customHeight="1">
      <c r="A94" s="37"/>
      <c r="B94" s="38"/>
      <c r="C94" s="174" t="s">
        <v>112</v>
      </c>
      <c r="D94" s="175"/>
      <c r="E94" s="175"/>
      <c r="F94" s="175"/>
      <c r="G94" s="175"/>
      <c r="H94" s="175"/>
      <c r="I94" s="175"/>
      <c r="J94" s="176" t="s">
        <v>113</v>
      </c>
      <c r="K94" s="175"/>
      <c r="L94" s="62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</row>
    <row r="95" s="2" customFormat="1" ht="10.32" customHeight="1">
      <c r="A95" s="37"/>
      <c r="B95" s="38"/>
      <c r="C95" s="39"/>
      <c r="D95" s="39"/>
      <c r="E95" s="39"/>
      <c r="F95" s="39"/>
      <c r="G95" s="39"/>
      <c r="H95" s="39"/>
      <c r="I95" s="39"/>
      <c r="J95" s="39"/>
      <c r="K95" s="39"/>
      <c r="L95" s="62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</row>
    <row r="96" s="2" customFormat="1" ht="22.8" customHeight="1">
      <c r="A96" s="37"/>
      <c r="B96" s="38"/>
      <c r="C96" s="177" t="s">
        <v>114</v>
      </c>
      <c r="D96" s="39"/>
      <c r="E96" s="39"/>
      <c r="F96" s="39"/>
      <c r="G96" s="39"/>
      <c r="H96" s="39"/>
      <c r="I96" s="39"/>
      <c r="J96" s="109">
        <f>J130</f>
        <v>0</v>
      </c>
      <c r="K96" s="39"/>
      <c r="L96" s="62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U96" s="16" t="s">
        <v>115</v>
      </c>
    </row>
    <row r="97" s="9" customFormat="1" ht="24.96" customHeight="1">
      <c r="A97" s="9"/>
      <c r="B97" s="178"/>
      <c r="C97" s="179"/>
      <c r="D97" s="180" t="s">
        <v>116</v>
      </c>
      <c r="E97" s="181"/>
      <c r="F97" s="181"/>
      <c r="G97" s="181"/>
      <c r="H97" s="181"/>
      <c r="I97" s="181"/>
      <c r="J97" s="182">
        <f>J131</f>
        <v>0</v>
      </c>
      <c r="K97" s="179"/>
      <c r="L97" s="183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="10" customFormat="1" ht="19.92" customHeight="1">
      <c r="A98" s="10"/>
      <c r="B98" s="184"/>
      <c r="C98" s="185"/>
      <c r="D98" s="186" t="s">
        <v>117</v>
      </c>
      <c r="E98" s="187"/>
      <c r="F98" s="187"/>
      <c r="G98" s="187"/>
      <c r="H98" s="187"/>
      <c r="I98" s="187"/>
      <c r="J98" s="188">
        <f>J132</f>
        <v>0</v>
      </c>
      <c r="K98" s="185"/>
      <c r="L98" s="189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="10" customFormat="1" ht="19.92" customHeight="1">
      <c r="A99" s="10"/>
      <c r="B99" s="184"/>
      <c r="C99" s="185"/>
      <c r="D99" s="186" t="s">
        <v>2152</v>
      </c>
      <c r="E99" s="187"/>
      <c r="F99" s="187"/>
      <c r="G99" s="187"/>
      <c r="H99" s="187"/>
      <c r="I99" s="187"/>
      <c r="J99" s="188">
        <f>J196</f>
        <v>0</v>
      </c>
      <c r="K99" s="185"/>
      <c r="L99" s="189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 s="10" customFormat="1" ht="19.92" customHeight="1">
      <c r="A100" s="10"/>
      <c r="B100" s="184"/>
      <c r="C100" s="185"/>
      <c r="D100" s="186" t="s">
        <v>118</v>
      </c>
      <c r="E100" s="187"/>
      <c r="F100" s="187"/>
      <c r="G100" s="187"/>
      <c r="H100" s="187"/>
      <c r="I100" s="187"/>
      <c r="J100" s="188">
        <f>J223</f>
        <v>0</v>
      </c>
      <c r="K100" s="185"/>
      <c r="L100" s="189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s="10" customFormat="1" ht="19.92" customHeight="1">
      <c r="A101" s="10"/>
      <c r="B101" s="184"/>
      <c r="C101" s="185"/>
      <c r="D101" s="186" t="s">
        <v>119</v>
      </c>
      <c r="E101" s="187"/>
      <c r="F101" s="187"/>
      <c r="G101" s="187"/>
      <c r="H101" s="187"/>
      <c r="I101" s="187"/>
      <c r="J101" s="188">
        <f>J230</f>
        <v>0</v>
      </c>
      <c r="K101" s="185"/>
      <c r="L101" s="189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 s="10" customFormat="1" ht="19.92" customHeight="1">
      <c r="A102" s="10"/>
      <c r="B102" s="184"/>
      <c r="C102" s="185"/>
      <c r="D102" s="186" t="s">
        <v>2153</v>
      </c>
      <c r="E102" s="187"/>
      <c r="F102" s="187"/>
      <c r="G102" s="187"/>
      <c r="H102" s="187"/>
      <c r="I102" s="187"/>
      <c r="J102" s="188">
        <f>J287</f>
        <v>0</v>
      </c>
      <c r="K102" s="185"/>
      <c r="L102" s="189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 s="10" customFormat="1" ht="19.92" customHeight="1">
      <c r="A103" s="10"/>
      <c r="B103" s="184"/>
      <c r="C103" s="185"/>
      <c r="D103" s="186" t="s">
        <v>120</v>
      </c>
      <c r="E103" s="187"/>
      <c r="F103" s="187"/>
      <c r="G103" s="187"/>
      <c r="H103" s="187"/>
      <c r="I103" s="187"/>
      <c r="J103" s="188">
        <f>J290</f>
        <v>0</v>
      </c>
      <c r="K103" s="185"/>
      <c r="L103" s="189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</row>
    <row r="104" s="10" customFormat="1" ht="19.92" customHeight="1">
      <c r="A104" s="10"/>
      <c r="B104" s="184"/>
      <c r="C104" s="185"/>
      <c r="D104" s="186" t="s">
        <v>121</v>
      </c>
      <c r="E104" s="187"/>
      <c r="F104" s="187"/>
      <c r="G104" s="187"/>
      <c r="H104" s="187"/>
      <c r="I104" s="187"/>
      <c r="J104" s="188">
        <f>J298</f>
        <v>0</v>
      </c>
      <c r="K104" s="185"/>
      <c r="L104" s="189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</row>
    <row r="105" s="10" customFormat="1" ht="19.92" customHeight="1">
      <c r="A105" s="10"/>
      <c r="B105" s="184"/>
      <c r="C105" s="185"/>
      <c r="D105" s="186" t="s">
        <v>122</v>
      </c>
      <c r="E105" s="187"/>
      <c r="F105" s="187"/>
      <c r="G105" s="187"/>
      <c r="H105" s="187"/>
      <c r="I105" s="187"/>
      <c r="J105" s="188">
        <f>J338</f>
        <v>0</v>
      </c>
      <c r="K105" s="185"/>
      <c r="L105" s="189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</row>
    <row r="106" s="10" customFormat="1" ht="19.92" customHeight="1">
      <c r="A106" s="10"/>
      <c r="B106" s="184"/>
      <c r="C106" s="185"/>
      <c r="D106" s="186" t="s">
        <v>2154</v>
      </c>
      <c r="E106" s="187"/>
      <c r="F106" s="187"/>
      <c r="G106" s="187"/>
      <c r="H106" s="187"/>
      <c r="I106" s="187"/>
      <c r="J106" s="188">
        <f>J345</f>
        <v>0</v>
      </c>
      <c r="K106" s="185"/>
      <c r="L106" s="189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</row>
    <row r="107" s="10" customFormat="1" ht="19.92" customHeight="1">
      <c r="A107" s="10"/>
      <c r="B107" s="184"/>
      <c r="C107" s="185"/>
      <c r="D107" s="186" t="s">
        <v>123</v>
      </c>
      <c r="E107" s="187"/>
      <c r="F107" s="187"/>
      <c r="G107" s="187"/>
      <c r="H107" s="187"/>
      <c r="I107" s="187"/>
      <c r="J107" s="188">
        <f>J355</f>
        <v>0</v>
      </c>
      <c r="K107" s="185"/>
      <c r="L107" s="189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</row>
    <row r="108" s="10" customFormat="1" ht="19.92" customHeight="1">
      <c r="A108" s="10"/>
      <c r="B108" s="184"/>
      <c r="C108" s="185"/>
      <c r="D108" s="186" t="s">
        <v>2155</v>
      </c>
      <c r="E108" s="187"/>
      <c r="F108" s="187"/>
      <c r="G108" s="187"/>
      <c r="H108" s="187"/>
      <c r="I108" s="187"/>
      <c r="J108" s="188">
        <f>J381</f>
        <v>0</v>
      </c>
      <c r="K108" s="185"/>
      <c r="L108" s="189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</row>
    <row r="109" s="10" customFormat="1" ht="19.92" customHeight="1">
      <c r="A109" s="10"/>
      <c r="B109" s="184"/>
      <c r="C109" s="185"/>
      <c r="D109" s="186" t="s">
        <v>2156</v>
      </c>
      <c r="E109" s="187"/>
      <c r="F109" s="187"/>
      <c r="G109" s="187"/>
      <c r="H109" s="187"/>
      <c r="I109" s="187"/>
      <c r="J109" s="188">
        <f>J383</f>
        <v>0</v>
      </c>
      <c r="K109" s="185"/>
      <c r="L109" s="189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</row>
    <row r="110" s="10" customFormat="1" ht="19.92" customHeight="1">
      <c r="A110" s="10"/>
      <c r="B110" s="184"/>
      <c r="C110" s="185"/>
      <c r="D110" s="186" t="s">
        <v>124</v>
      </c>
      <c r="E110" s="187"/>
      <c r="F110" s="187"/>
      <c r="G110" s="187"/>
      <c r="H110" s="187"/>
      <c r="I110" s="187"/>
      <c r="J110" s="188">
        <f>J386</f>
        <v>0</v>
      </c>
      <c r="K110" s="185"/>
      <c r="L110" s="189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</row>
    <row r="111" s="2" customFormat="1" ht="21.84" customHeight="1">
      <c r="A111" s="37"/>
      <c r="B111" s="38"/>
      <c r="C111" s="39"/>
      <c r="D111" s="39"/>
      <c r="E111" s="39"/>
      <c r="F111" s="39"/>
      <c r="G111" s="39"/>
      <c r="H111" s="39"/>
      <c r="I111" s="39"/>
      <c r="J111" s="39"/>
      <c r="K111" s="39"/>
      <c r="L111" s="62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</row>
    <row r="112" s="2" customFormat="1" ht="6.96" customHeight="1">
      <c r="A112" s="37"/>
      <c r="B112" s="65"/>
      <c r="C112" s="66"/>
      <c r="D112" s="66"/>
      <c r="E112" s="66"/>
      <c r="F112" s="66"/>
      <c r="G112" s="66"/>
      <c r="H112" s="66"/>
      <c r="I112" s="66"/>
      <c r="J112" s="66"/>
      <c r="K112" s="66"/>
      <c r="L112" s="62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</row>
    <row r="116" s="2" customFormat="1" ht="6.96" customHeight="1">
      <c r="A116" s="37"/>
      <c r="B116" s="67"/>
      <c r="C116" s="68"/>
      <c r="D116" s="68"/>
      <c r="E116" s="68"/>
      <c r="F116" s="68"/>
      <c r="G116" s="68"/>
      <c r="H116" s="68"/>
      <c r="I116" s="68"/>
      <c r="J116" s="68"/>
      <c r="K116" s="68"/>
      <c r="L116" s="62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</row>
    <row r="117" s="2" customFormat="1" ht="24.96" customHeight="1">
      <c r="A117" s="37"/>
      <c r="B117" s="38"/>
      <c r="C117" s="22" t="s">
        <v>142</v>
      </c>
      <c r="D117" s="39"/>
      <c r="E117" s="39"/>
      <c r="F117" s="39"/>
      <c r="G117" s="39"/>
      <c r="H117" s="39"/>
      <c r="I117" s="39"/>
      <c r="J117" s="39"/>
      <c r="K117" s="39"/>
      <c r="L117" s="62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</row>
    <row r="118" s="2" customFormat="1" ht="6.96" customHeight="1">
      <c r="A118" s="37"/>
      <c r="B118" s="38"/>
      <c r="C118" s="39"/>
      <c r="D118" s="39"/>
      <c r="E118" s="39"/>
      <c r="F118" s="39"/>
      <c r="G118" s="39"/>
      <c r="H118" s="39"/>
      <c r="I118" s="39"/>
      <c r="J118" s="39"/>
      <c r="K118" s="39"/>
      <c r="L118" s="62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</row>
    <row r="119" s="2" customFormat="1" ht="12" customHeight="1">
      <c r="A119" s="37"/>
      <c r="B119" s="38"/>
      <c r="C119" s="31" t="s">
        <v>17</v>
      </c>
      <c r="D119" s="39"/>
      <c r="E119" s="39"/>
      <c r="F119" s="39"/>
      <c r="G119" s="39"/>
      <c r="H119" s="39"/>
      <c r="I119" s="39"/>
      <c r="J119" s="39"/>
      <c r="K119" s="39"/>
      <c r="L119" s="62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</row>
    <row r="120" s="2" customFormat="1" ht="16.5" customHeight="1">
      <c r="A120" s="37"/>
      <c r="B120" s="38"/>
      <c r="C120" s="39"/>
      <c r="D120" s="39"/>
      <c r="E120" s="173" t="str">
        <f>E7</f>
        <v>Areál společnosti FORESTINA s.r.o. Horažďovice, Blatenská 587</v>
      </c>
      <c r="F120" s="31"/>
      <c r="G120" s="31"/>
      <c r="H120" s="31"/>
      <c r="I120" s="39"/>
      <c r="J120" s="39"/>
      <c r="K120" s="39"/>
      <c r="L120" s="62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</row>
    <row r="121" s="2" customFormat="1" ht="12" customHeight="1">
      <c r="A121" s="37"/>
      <c r="B121" s="38"/>
      <c r="C121" s="31" t="s">
        <v>109</v>
      </c>
      <c r="D121" s="39"/>
      <c r="E121" s="39"/>
      <c r="F121" s="39"/>
      <c r="G121" s="39"/>
      <c r="H121" s="39"/>
      <c r="I121" s="39"/>
      <c r="J121" s="39"/>
      <c r="K121" s="39"/>
      <c r="L121" s="62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</row>
    <row r="122" s="2" customFormat="1" ht="16.5" customHeight="1">
      <c r="A122" s="37"/>
      <c r="B122" s="38"/>
      <c r="C122" s="39"/>
      <c r="D122" s="39"/>
      <c r="E122" s="75" t="str">
        <f>E9</f>
        <v>030 - Venkovní úpravy</v>
      </c>
      <c r="F122" s="39"/>
      <c r="G122" s="39"/>
      <c r="H122" s="39"/>
      <c r="I122" s="39"/>
      <c r="J122" s="39"/>
      <c r="K122" s="39"/>
      <c r="L122" s="62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</row>
    <row r="123" s="2" customFormat="1" ht="6.96" customHeight="1">
      <c r="A123" s="37"/>
      <c r="B123" s="38"/>
      <c r="C123" s="39"/>
      <c r="D123" s="39"/>
      <c r="E123" s="39"/>
      <c r="F123" s="39"/>
      <c r="G123" s="39"/>
      <c r="H123" s="39"/>
      <c r="I123" s="39"/>
      <c r="J123" s="39"/>
      <c r="K123" s="39"/>
      <c r="L123" s="62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</row>
    <row r="124" s="2" customFormat="1" ht="12" customHeight="1">
      <c r="A124" s="37"/>
      <c r="B124" s="38"/>
      <c r="C124" s="31" t="s">
        <v>21</v>
      </c>
      <c r="D124" s="39"/>
      <c r="E124" s="39"/>
      <c r="F124" s="26" t="str">
        <f>F12</f>
        <v>Horažďovice</v>
      </c>
      <c r="G124" s="39"/>
      <c r="H124" s="39"/>
      <c r="I124" s="31" t="s">
        <v>23</v>
      </c>
      <c r="J124" s="78" t="str">
        <f>IF(J12="","",J12)</f>
        <v>26. 11. 2025</v>
      </c>
      <c r="K124" s="39"/>
      <c r="L124" s="62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</row>
    <row r="125" s="2" customFormat="1" ht="6.96" customHeight="1">
      <c r="A125" s="37"/>
      <c r="B125" s="38"/>
      <c r="C125" s="39"/>
      <c r="D125" s="39"/>
      <c r="E125" s="39"/>
      <c r="F125" s="39"/>
      <c r="G125" s="39"/>
      <c r="H125" s="39"/>
      <c r="I125" s="39"/>
      <c r="J125" s="39"/>
      <c r="K125" s="39"/>
      <c r="L125" s="62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</row>
    <row r="126" s="2" customFormat="1" ht="25.65" customHeight="1">
      <c r="A126" s="37"/>
      <c r="B126" s="38"/>
      <c r="C126" s="31" t="s">
        <v>25</v>
      </c>
      <c r="D126" s="39"/>
      <c r="E126" s="39"/>
      <c r="F126" s="26" t="str">
        <f>E15</f>
        <v>FORESTINA s.r.o.</v>
      </c>
      <c r="G126" s="39"/>
      <c r="H126" s="39"/>
      <c r="I126" s="31" t="s">
        <v>31</v>
      </c>
      <c r="J126" s="35" t="str">
        <f>E21</f>
        <v>STA projektový ateliér, s.r.o.</v>
      </c>
      <c r="K126" s="39"/>
      <c r="L126" s="62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</row>
    <row r="127" s="2" customFormat="1" ht="15.15" customHeight="1">
      <c r="A127" s="37"/>
      <c r="B127" s="38"/>
      <c r="C127" s="31" t="s">
        <v>29</v>
      </c>
      <c r="D127" s="39"/>
      <c r="E127" s="39"/>
      <c r="F127" s="26" t="str">
        <f>IF(E18="","",E18)</f>
        <v>Vyplň údaj</v>
      </c>
      <c r="G127" s="39"/>
      <c r="H127" s="39"/>
      <c r="I127" s="31" t="s">
        <v>34</v>
      </c>
      <c r="J127" s="35" t="str">
        <f>E24</f>
        <v>Pavel Hrba</v>
      </c>
      <c r="K127" s="39"/>
      <c r="L127" s="62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</row>
    <row r="128" s="2" customFormat="1" ht="10.32" customHeight="1">
      <c r="A128" s="37"/>
      <c r="B128" s="38"/>
      <c r="C128" s="39"/>
      <c r="D128" s="39"/>
      <c r="E128" s="39"/>
      <c r="F128" s="39"/>
      <c r="G128" s="39"/>
      <c r="H128" s="39"/>
      <c r="I128" s="39"/>
      <c r="J128" s="39"/>
      <c r="K128" s="39"/>
      <c r="L128" s="62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</row>
    <row r="129" s="11" customFormat="1" ht="29.28" customHeight="1">
      <c r="A129" s="190"/>
      <c r="B129" s="191"/>
      <c r="C129" s="192" t="s">
        <v>143</v>
      </c>
      <c r="D129" s="193" t="s">
        <v>62</v>
      </c>
      <c r="E129" s="193" t="s">
        <v>58</v>
      </c>
      <c r="F129" s="193" t="s">
        <v>59</v>
      </c>
      <c r="G129" s="193" t="s">
        <v>144</v>
      </c>
      <c r="H129" s="193" t="s">
        <v>145</v>
      </c>
      <c r="I129" s="193" t="s">
        <v>146</v>
      </c>
      <c r="J129" s="194" t="s">
        <v>113</v>
      </c>
      <c r="K129" s="195" t="s">
        <v>147</v>
      </c>
      <c r="L129" s="196"/>
      <c r="M129" s="99" t="s">
        <v>1</v>
      </c>
      <c r="N129" s="100" t="s">
        <v>41</v>
      </c>
      <c r="O129" s="100" t="s">
        <v>148</v>
      </c>
      <c r="P129" s="100" t="s">
        <v>149</v>
      </c>
      <c r="Q129" s="100" t="s">
        <v>150</v>
      </c>
      <c r="R129" s="100" t="s">
        <v>151</v>
      </c>
      <c r="S129" s="100" t="s">
        <v>152</v>
      </c>
      <c r="T129" s="101" t="s">
        <v>153</v>
      </c>
      <c r="U129" s="190"/>
      <c r="V129" s="190"/>
      <c r="W129" s="190"/>
      <c r="X129" s="190"/>
      <c r="Y129" s="190"/>
      <c r="Z129" s="190"/>
      <c r="AA129" s="190"/>
      <c r="AB129" s="190"/>
      <c r="AC129" s="190"/>
      <c r="AD129" s="190"/>
      <c r="AE129" s="190"/>
    </row>
    <row r="130" s="2" customFormat="1" ht="22.8" customHeight="1">
      <c r="A130" s="37"/>
      <c r="B130" s="38"/>
      <c r="C130" s="106" t="s">
        <v>154</v>
      </c>
      <c r="D130" s="39"/>
      <c r="E130" s="39"/>
      <c r="F130" s="39"/>
      <c r="G130" s="39"/>
      <c r="H130" s="39"/>
      <c r="I130" s="39"/>
      <c r="J130" s="197">
        <f>BK130</f>
        <v>0</v>
      </c>
      <c r="K130" s="39"/>
      <c r="L130" s="43"/>
      <c r="M130" s="102"/>
      <c r="N130" s="198"/>
      <c r="O130" s="103"/>
      <c r="P130" s="199">
        <f>P131</f>
        <v>0</v>
      </c>
      <c r="Q130" s="103"/>
      <c r="R130" s="199">
        <f>R131</f>
        <v>6311.559721229999</v>
      </c>
      <c r="S130" s="103"/>
      <c r="T130" s="200">
        <f>T131</f>
        <v>25765.572480000003</v>
      </c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T130" s="16" t="s">
        <v>76</v>
      </c>
      <c r="AU130" s="16" t="s">
        <v>115</v>
      </c>
      <c r="BK130" s="201">
        <f>BK131</f>
        <v>0</v>
      </c>
    </row>
    <row r="131" s="12" customFormat="1" ht="25.92" customHeight="1">
      <c r="A131" s="12"/>
      <c r="B131" s="202"/>
      <c r="C131" s="203"/>
      <c r="D131" s="204" t="s">
        <v>76</v>
      </c>
      <c r="E131" s="205" t="s">
        <v>155</v>
      </c>
      <c r="F131" s="205" t="s">
        <v>156</v>
      </c>
      <c r="G131" s="203"/>
      <c r="H131" s="203"/>
      <c r="I131" s="206"/>
      <c r="J131" s="207">
        <f>BK131</f>
        <v>0</v>
      </c>
      <c r="K131" s="203"/>
      <c r="L131" s="208"/>
      <c r="M131" s="209"/>
      <c r="N131" s="210"/>
      <c r="O131" s="210"/>
      <c r="P131" s="211">
        <f>P132+P196+P223+P230+P287+P290+P298+P338+P345+P355+P381+P383+P386</f>
        <v>0</v>
      </c>
      <c r="Q131" s="210"/>
      <c r="R131" s="211">
        <f>R132+R196+R223+R230+R287+R290+R298+R338+R345+R355+R381+R383+R386</f>
        <v>6311.559721229999</v>
      </c>
      <c r="S131" s="210"/>
      <c r="T131" s="212">
        <f>T132+T196+T223+T230+T287+T290+T298+T338+T345+T355+T381+T383+T386</f>
        <v>25765.572480000003</v>
      </c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R131" s="213" t="s">
        <v>8</v>
      </c>
      <c r="AT131" s="214" t="s">
        <v>76</v>
      </c>
      <c r="AU131" s="214" t="s">
        <v>77</v>
      </c>
      <c r="AY131" s="213" t="s">
        <v>157</v>
      </c>
      <c r="BK131" s="215">
        <f>BK132+BK196+BK223+BK230+BK287+BK290+BK298+BK338+BK345+BK355+BK381+BK383+BK386</f>
        <v>0</v>
      </c>
    </row>
    <row r="132" s="12" customFormat="1" ht="22.8" customHeight="1">
      <c r="A132" s="12"/>
      <c r="B132" s="202"/>
      <c r="C132" s="203"/>
      <c r="D132" s="204" t="s">
        <v>76</v>
      </c>
      <c r="E132" s="216" t="s">
        <v>8</v>
      </c>
      <c r="F132" s="216" t="s">
        <v>158</v>
      </c>
      <c r="G132" s="203"/>
      <c r="H132" s="203"/>
      <c r="I132" s="206"/>
      <c r="J132" s="217">
        <f>BK132</f>
        <v>0</v>
      </c>
      <c r="K132" s="203"/>
      <c r="L132" s="208"/>
      <c r="M132" s="209"/>
      <c r="N132" s="210"/>
      <c r="O132" s="210"/>
      <c r="P132" s="211">
        <f>SUM(P133:P195)</f>
        <v>0</v>
      </c>
      <c r="Q132" s="210"/>
      <c r="R132" s="211">
        <f>SUM(R133:R195)</f>
        <v>575.301829</v>
      </c>
      <c r="S132" s="210"/>
      <c r="T132" s="212">
        <f>SUM(T133:T195)</f>
        <v>25747.440000000002</v>
      </c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R132" s="213" t="s">
        <v>8</v>
      </c>
      <c r="AT132" s="214" t="s">
        <v>76</v>
      </c>
      <c r="AU132" s="214" t="s">
        <v>8</v>
      </c>
      <c r="AY132" s="213" t="s">
        <v>157</v>
      </c>
      <c r="BK132" s="215">
        <f>SUM(BK133:BK195)</f>
        <v>0</v>
      </c>
    </row>
    <row r="133" s="2" customFormat="1" ht="24.15" customHeight="1">
      <c r="A133" s="37"/>
      <c r="B133" s="38"/>
      <c r="C133" s="218" t="s">
        <v>8</v>
      </c>
      <c r="D133" s="218" t="s">
        <v>159</v>
      </c>
      <c r="E133" s="219" t="s">
        <v>2157</v>
      </c>
      <c r="F133" s="220" t="s">
        <v>2158</v>
      </c>
      <c r="G133" s="221" t="s">
        <v>565</v>
      </c>
      <c r="H133" s="222">
        <v>1</v>
      </c>
      <c r="I133" s="223"/>
      <c r="J133" s="224">
        <f>ROUND(I133*H133,0)</f>
        <v>0</v>
      </c>
      <c r="K133" s="225"/>
      <c r="L133" s="43"/>
      <c r="M133" s="226" t="s">
        <v>1</v>
      </c>
      <c r="N133" s="227" t="s">
        <v>42</v>
      </c>
      <c r="O133" s="90"/>
      <c r="P133" s="228">
        <f>O133*H133</f>
        <v>0</v>
      </c>
      <c r="Q133" s="228">
        <v>0</v>
      </c>
      <c r="R133" s="228">
        <f>Q133*H133</f>
        <v>0</v>
      </c>
      <c r="S133" s="228">
        <v>0</v>
      </c>
      <c r="T133" s="229">
        <f>S133*H133</f>
        <v>0</v>
      </c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R133" s="230" t="s">
        <v>163</v>
      </c>
      <c r="AT133" s="230" t="s">
        <v>159</v>
      </c>
      <c r="AU133" s="230" t="s">
        <v>86</v>
      </c>
      <c r="AY133" s="16" t="s">
        <v>157</v>
      </c>
      <c r="BE133" s="231">
        <f>IF(N133="základní",J133,0)</f>
        <v>0</v>
      </c>
      <c r="BF133" s="231">
        <f>IF(N133="snížená",J133,0)</f>
        <v>0</v>
      </c>
      <c r="BG133" s="231">
        <f>IF(N133="zákl. přenesená",J133,0)</f>
        <v>0</v>
      </c>
      <c r="BH133" s="231">
        <f>IF(N133="sníž. přenesená",J133,0)</f>
        <v>0</v>
      </c>
      <c r="BI133" s="231">
        <f>IF(N133="nulová",J133,0)</f>
        <v>0</v>
      </c>
      <c r="BJ133" s="16" t="s">
        <v>8</v>
      </c>
      <c r="BK133" s="231">
        <f>ROUND(I133*H133,0)</f>
        <v>0</v>
      </c>
      <c r="BL133" s="16" t="s">
        <v>163</v>
      </c>
      <c r="BM133" s="230" t="s">
        <v>2159</v>
      </c>
    </row>
    <row r="134" s="2" customFormat="1" ht="21.75" customHeight="1">
      <c r="A134" s="37"/>
      <c r="B134" s="38"/>
      <c r="C134" s="218" t="s">
        <v>86</v>
      </c>
      <c r="D134" s="218" t="s">
        <v>159</v>
      </c>
      <c r="E134" s="219" t="s">
        <v>2160</v>
      </c>
      <c r="F134" s="220" t="s">
        <v>2161</v>
      </c>
      <c r="G134" s="221" t="s">
        <v>565</v>
      </c>
      <c r="H134" s="222">
        <v>1</v>
      </c>
      <c r="I134" s="223"/>
      <c r="J134" s="224">
        <f>ROUND(I134*H134,0)</f>
        <v>0</v>
      </c>
      <c r="K134" s="225"/>
      <c r="L134" s="43"/>
      <c r="M134" s="226" t="s">
        <v>1</v>
      </c>
      <c r="N134" s="227" t="s">
        <v>42</v>
      </c>
      <c r="O134" s="90"/>
      <c r="P134" s="228">
        <f>O134*H134</f>
        <v>0</v>
      </c>
      <c r="Q134" s="228">
        <v>0</v>
      </c>
      <c r="R134" s="228">
        <f>Q134*H134</f>
        <v>0</v>
      </c>
      <c r="S134" s="228">
        <v>0</v>
      </c>
      <c r="T134" s="229">
        <f>S134*H134</f>
        <v>0</v>
      </c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R134" s="230" t="s">
        <v>163</v>
      </c>
      <c r="AT134" s="230" t="s">
        <v>159</v>
      </c>
      <c r="AU134" s="230" t="s">
        <v>86</v>
      </c>
      <c r="AY134" s="16" t="s">
        <v>157</v>
      </c>
      <c r="BE134" s="231">
        <f>IF(N134="základní",J134,0)</f>
        <v>0</v>
      </c>
      <c r="BF134" s="231">
        <f>IF(N134="snížená",J134,0)</f>
        <v>0</v>
      </c>
      <c r="BG134" s="231">
        <f>IF(N134="zákl. přenesená",J134,0)</f>
        <v>0</v>
      </c>
      <c r="BH134" s="231">
        <f>IF(N134="sníž. přenesená",J134,0)</f>
        <v>0</v>
      </c>
      <c r="BI134" s="231">
        <f>IF(N134="nulová",J134,0)</f>
        <v>0</v>
      </c>
      <c r="BJ134" s="16" t="s">
        <v>8</v>
      </c>
      <c r="BK134" s="231">
        <f>ROUND(I134*H134,0)</f>
        <v>0</v>
      </c>
      <c r="BL134" s="16" t="s">
        <v>163</v>
      </c>
      <c r="BM134" s="230" t="s">
        <v>2162</v>
      </c>
    </row>
    <row r="135" s="2" customFormat="1" ht="24.15" customHeight="1">
      <c r="A135" s="37"/>
      <c r="B135" s="38"/>
      <c r="C135" s="218" t="s">
        <v>176</v>
      </c>
      <c r="D135" s="218" t="s">
        <v>159</v>
      </c>
      <c r="E135" s="219" t="s">
        <v>2163</v>
      </c>
      <c r="F135" s="220" t="s">
        <v>2164</v>
      </c>
      <c r="G135" s="221" t="s">
        <v>209</v>
      </c>
      <c r="H135" s="222">
        <v>24176</v>
      </c>
      <c r="I135" s="223"/>
      <c r="J135" s="224">
        <f>ROUND(I135*H135,0)</f>
        <v>0</v>
      </c>
      <c r="K135" s="225"/>
      <c r="L135" s="43"/>
      <c r="M135" s="226" t="s">
        <v>1</v>
      </c>
      <c r="N135" s="227" t="s">
        <v>42</v>
      </c>
      <c r="O135" s="90"/>
      <c r="P135" s="228">
        <f>O135*H135</f>
        <v>0</v>
      </c>
      <c r="Q135" s="228">
        <v>0</v>
      </c>
      <c r="R135" s="228">
        <f>Q135*H135</f>
        <v>0</v>
      </c>
      <c r="S135" s="228">
        <v>0.44</v>
      </c>
      <c r="T135" s="229">
        <f>S135*H135</f>
        <v>10637.440000000001</v>
      </c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R135" s="230" t="s">
        <v>163</v>
      </c>
      <c r="AT135" s="230" t="s">
        <v>159</v>
      </c>
      <c r="AU135" s="230" t="s">
        <v>86</v>
      </c>
      <c r="AY135" s="16" t="s">
        <v>157</v>
      </c>
      <c r="BE135" s="231">
        <f>IF(N135="základní",J135,0)</f>
        <v>0</v>
      </c>
      <c r="BF135" s="231">
        <f>IF(N135="snížená",J135,0)</f>
        <v>0</v>
      </c>
      <c r="BG135" s="231">
        <f>IF(N135="zákl. přenesená",J135,0)</f>
        <v>0</v>
      </c>
      <c r="BH135" s="231">
        <f>IF(N135="sníž. přenesená",J135,0)</f>
        <v>0</v>
      </c>
      <c r="BI135" s="231">
        <f>IF(N135="nulová",J135,0)</f>
        <v>0</v>
      </c>
      <c r="BJ135" s="16" t="s">
        <v>8</v>
      </c>
      <c r="BK135" s="231">
        <f>ROUND(I135*H135,0)</f>
        <v>0</v>
      </c>
      <c r="BL135" s="16" t="s">
        <v>163</v>
      </c>
      <c r="BM135" s="230" t="s">
        <v>2165</v>
      </c>
    </row>
    <row r="136" s="13" customFormat="1">
      <c r="A136" s="13"/>
      <c r="B136" s="232"/>
      <c r="C136" s="233"/>
      <c r="D136" s="234" t="s">
        <v>165</v>
      </c>
      <c r="E136" s="235" t="s">
        <v>1</v>
      </c>
      <c r="F136" s="236" t="s">
        <v>2166</v>
      </c>
      <c r="G136" s="233"/>
      <c r="H136" s="237">
        <v>24176</v>
      </c>
      <c r="I136" s="238"/>
      <c r="J136" s="233"/>
      <c r="K136" s="233"/>
      <c r="L136" s="239"/>
      <c r="M136" s="240"/>
      <c r="N136" s="241"/>
      <c r="O136" s="241"/>
      <c r="P136" s="241"/>
      <c r="Q136" s="241"/>
      <c r="R136" s="241"/>
      <c r="S136" s="241"/>
      <c r="T136" s="242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T136" s="243" t="s">
        <v>165</v>
      </c>
      <c r="AU136" s="243" t="s">
        <v>86</v>
      </c>
      <c r="AV136" s="13" t="s">
        <v>86</v>
      </c>
      <c r="AW136" s="13" t="s">
        <v>32</v>
      </c>
      <c r="AX136" s="13" t="s">
        <v>77</v>
      </c>
      <c r="AY136" s="243" t="s">
        <v>157</v>
      </c>
    </row>
    <row r="137" s="2" customFormat="1" ht="24.15" customHeight="1">
      <c r="A137" s="37"/>
      <c r="B137" s="38"/>
      <c r="C137" s="218" t="s">
        <v>163</v>
      </c>
      <c r="D137" s="218" t="s">
        <v>159</v>
      </c>
      <c r="E137" s="219" t="s">
        <v>2167</v>
      </c>
      <c r="F137" s="220" t="s">
        <v>2168</v>
      </c>
      <c r="G137" s="221" t="s">
        <v>209</v>
      </c>
      <c r="H137" s="222">
        <v>24176</v>
      </c>
      <c r="I137" s="223"/>
      <c r="J137" s="224">
        <f>ROUND(I137*H137,0)</f>
        <v>0</v>
      </c>
      <c r="K137" s="225"/>
      <c r="L137" s="43"/>
      <c r="M137" s="226" t="s">
        <v>1</v>
      </c>
      <c r="N137" s="227" t="s">
        <v>42</v>
      </c>
      <c r="O137" s="90"/>
      <c r="P137" s="228">
        <f>O137*H137</f>
        <v>0</v>
      </c>
      <c r="Q137" s="228">
        <v>0</v>
      </c>
      <c r="R137" s="228">
        <f>Q137*H137</f>
        <v>0</v>
      </c>
      <c r="S137" s="228">
        <v>0.625</v>
      </c>
      <c r="T137" s="229">
        <f>S137*H137</f>
        <v>15110</v>
      </c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R137" s="230" t="s">
        <v>163</v>
      </c>
      <c r="AT137" s="230" t="s">
        <v>159</v>
      </c>
      <c r="AU137" s="230" t="s">
        <v>86</v>
      </c>
      <c r="AY137" s="16" t="s">
        <v>157</v>
      </c>
      <c r="BE137" s="231">
        <f>IF(N137="základní",J137,0)</f>
        <v>0</v>
      </c>
      <c r="BF137" s="231">
        <f>IF(N137="snížená",J137,0)</f>
        <v>0</v>
      </c>
      <c r="BG137" s="231">
        <f>IF(N137="zákl. přenesená",J137,0)</f>
        <v>0</v>
      </c>
      <c r="BH137" s="231">
        <f>IF(N137="sníž. přenesená",J137,0)</f>
        <v>0</v>
      </c>
      <c r="BI137" s="231">
        <f>IF(N137="nulová",J137,0)</f>
        <v>0</v>
      </c>
      <c r="BJ137" s="16" t="s">
        <v>8</v>
      </c>
      <c r="BK137" s="231">
        <f>ROUND(I137*H137,0)</f>
        <v>0</v>
      </c>
      <c r="BL137" s="16" t="s">
        <v>163</v>
      </c>
      <c r="BM137" s="230" t="s">
        <v>2169</v>
      </c>
    </row>
    <row r="138" s="13" customFormat="1">
      <c r="A138" s="13"/>
      <c r="B138" s="232"/>
      <c r="C138" s="233"/>
      <c r="D138" s="234" t="s">
        <v>165</v>
      </c>
      <c r="E138" s="235" t="s">
        <v>1</v>
      </c>
      <c r="F138" s="236" t="s">
        <v>2166</v>
      </c>
      <c r="G138" s="233"/>
      <c r="H138" s="237">
        <v>24176</v>
      </c>
      <c r="I138" s="238"/>
      <c r="J138" s="233"/>
      <c r="K138" s="233"/>
      <c r="L138" s="239"/>
      <c r="M138" s="240"/>
      <c r="N138" s="241"/>
      <c r="O138" s="241"/>
      <c r="P138" s="241"/>
      <c r="Q138" s="241"/>
      <c r="R138" s="241"/>
      <c r="S138" s="241"/>
      <c r="T138" s="242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T138" s="243" t="s">
        <v>165</v>
      </c>
      <c r="AU138" s="243" t="s">
        <v>86</v>
      </c>
      <c r="AV138" s="13" t="s">
        <v>86</v>
      </c>
      <c r="AW138" s="13" t="s">
        <v>32</v>
      </c>
      <c r="AX138" s="13" t="s">
        <v>77</v>
      </c>
      <c r="AY138" s="243" t="s">
        <v>157</v>
      </c>
    </row>
    <row r="139" s="2" customFormat="1" ht="24.15" customHeight="1">
      <c r="A139" s="37"/>
      <c r="B139" s="38"/>
      <c r="C139" s="218" t="s">
        <v>185</v>
      </c>
      <c r="D139" s="218" t="s">
        <v>159</v>
      </c>
      <c r="E139" s="219" t="s">
        <v>2170</v>
      </c>
      <c r="F139" s="220" t="s">
        <v>2171</v>
      </c>
      <c r="G139" s="221" t="s">
        <v>209</v>
      </c>
      <c r="H139" s="222">
        <v>314</v>
      </c>
      <c r="I139" s="223"/>
      <c r="J139" s="224">
        <f>ROUND(I139*H139,0)</f>
        <v>0</v>
      </c>
      <c r="K139" s="225"/>
      <c r="L139" s="43"/>
      <c r="M139" s="226" t="s">
        <v>1</v>
      </c>
      <c r="N139" s="227" t="s">
        <v>42</v>
      </c>
      <c r="O139" s="90"/>
      <c r="P139" s="228">
        <f>O139*H139</f>
        <v>0</v>
      </c>
      <c r="Q139" s="228">
        <v>0</v>
      </c>
      <c r="R139" s="228">
        <f>Q139*H139</f>
        <v>0</v>
      </c>
      <c r="S139" s="228">
        <v>0</v>
      </c>
      <c r="T139" s="229">
        <f>S139*H139</f>
        <v>0</v>
      </c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R139" s="230" t="s">
        <v>163</v>
      </c>
      <c r="AT139" s="230" t="s">
        <v>159</v>
      </c>
      <c r="AU139" s="230" t="s">
        <v>86</v>
      </c>
      <c r="AY139" s="16" t="s">
        <v>157</v>
      </c>
      <c r="BE139" s="231">
        <f>IF(N139="základní",J139,0)</f>
        <v>0</v>
      </c>
      <c r="BF139" s="231">
        <f>IF(N139="snížená",J139,0)</f>
        <v>0</v>
      </c>
      <c r="BG139" s="231">
        <f>IF(N139="zákl. přenesená",J139,0)</f>
        <v>0</v>
      </c>
      <c r="BH139" s="231">
        <f>IF(N139="sníž. přenesená",J139,0)</f>
        <v>0</v>
      </c>
      <c r="BI139" s="231">
        <f>IF(N139="nulová",J139,0)</f>
        <v>0</v>
      </c>
      <c r="BJ139" s="16" t="s">
        <v>8</v>
      </c>
      <c r="BK139" s="231">
        <f>ROUND(I139*H139,0)</f>
        <v>0</v>
      </c>
      <c r="BL139" s="16" t="s">
        <v>163</v>
      </c>
      <c r="BM139" s="230" t="s">
        <v>2172</v>
      </c>
    </row>
    <row r="140" s="2" customFormat="1" ht="37.8" customHeight="1">
      <c r="A140" s="37"/>
      <c r="B140" s="38"/>
      <c r="C140" s="218" t="s">
        <v>190</v>
      </c>
      <c r="D140" s="218" t="s">
        <v>159</v>
      </c>
      <c r="E140" s="219" t="s">
        <v>2173</v>
      </c>
      <c r="F140" s="220" t="s">
        <v>2174</v>
      </c>
      <c r="G140" s="221" t="s">
        <v>162</v>
      </c>
      <c r="H140" s="222">
        <v>10933.700000000001</v>
      </c>
      <c r="I140" s="223"/>
      <c r="J140" s="224">
        <f>ROUND(I140*H140,0)</f>
        <v>0</v>
      </c>
      <c r="K140" s="225"/>
      <c r="L140" s="43"/>
      <c r="M140" s="226" t="s">
        <v>1</v>
      </c>
      <c r="N140" s="227" t="s">
        <v>42</v>
      </c>
      <c r="O140" s="90"/>
      <c r="P140" s="228">
        <f>O140*H140</f>
        <v>0</v>
      </c>
      <c r="Q140" s="228">
        <v>0</v>
      </c>
      <c r="R140" s="228">
        <f>Q140*H140</f>
        <v>0</v>
      </c>
      <c r="S140" s="228">
        <v>0</v>
      </c>
      <c r="T140" s="229">
        <f>S140*H140</f>
        <v>0</v>
      </c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R140" s="230" t="s">
        <v>163</v>
      </c>
      <c r="AT140" s="230" t="s">
        <v>159</v>
      </c>
      <c r="AU140" s="230" t="s">
        <v>86</v>
      </c>
      <c r="AY140" s="16" t="s">
        <v>157</v>
      </c>
      <c r="BE140" s="231">
        <f>IF(N140="základní",J140,0)</f>
        <v>0</v>
      </c>
      <c r="BF140" s="231">
        <f>IF(N140="snížená",J140,0)</f>
        <v>0</v>
      </c>
      <c r="BG140" s="231">
        <f>IF(N140="zákl. přenesená",J140,0)</f>
        <v>0</v>
      </c>
      <c r="BH140" s="231">
        <f>IF(N140="sníž. přenesená",J140,0)</f>
        <v>0</v>
      </c>
      <c r="BI140" s="231">
        <f>IF(N140="nulová",J140,0)</f>
        <v>0</v>
      </c>
      <c r="BJ140" s="16" t="s">
        <v>8</v>
      </c>
      <c r="BK140" s="231">
        <f>ROUND(I140*H140,0)</f>
        <v>0</v>
      </c>
      <c r="BL140" s="16" t="s">
        <v>163</v>
      </c>
      <c r="BM140" s="230" t="s">
        <v>2175</v>
      </c>
    </row>
    <row r="141" s="13" customFormat="1">
      <c r="A141" s="13"/>
      <c r="B141" s="232"/>
      <c r="C141" s="233"/>
      <c r="D141" s="234" t="s">
        <v>165</v>
      </c>
      <c r="E141" s="235" t="s">
        <v>1</v>
      </c>
      <c r="F141" s="236" t="s">
        <v>2176</v>
      </c>
      <c r="G141" s="233"/>
      <c r="H141" s="237">
        <v>10933.700000000001</v>
      </c>
      <c r="I141" s="238"/>
      <c r="J141" s="233"/>
      <c r="K141" s="233"/>
      <c r="L141" s="239"/>
      <c r="M141" s="240"/>
      <c r="N141" s="241"/>
      <c r="O141" s="241"/>
      <c r="P141" s="241"/>
      <c r="Q141" s="241"/>
      <c r="R141" s="241"/>
      <c r="S141" s="241"/>
      <c r="T141" s="242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T141" s="243" t="s">
        <v>165</v>
      </c>
      <c r="AU141" s="243" t="s">
        <v>86</v>
      </c>
      <c r="AV141" s="13" t="s">
        <v>86</v>
      </c>
      <c r="AW141" s="13" t="s">
        <v>32</v>
      </c>
      <c r="AX141" s="13" t="s">
        <v>77</v>
      </c>
      <c r="AY141" s="243" t="s">
        <v>157</v>
      </c>
    </row>
    <row r="142" s="2" customFormat="1" ht="24.15" customHeight="1">
      <c r="A142" s="37"/>
      <c r="B142" s="38"/>
      <c r="C142" s="218" t="s">
        <v>196</v>
      </c>
      <c r="D142" s="218" t="s">
        <v>159</v>
      </c>
      <c r="E142" s="219" t="s">
        <v>2177</v>
      </c>
      <c r="F142" s="220" t="s">
        <v>2178</v>
      </c>
      <c r="G142" s="221" t="s">
        <v>216</v>
      </c>
      <c r="H142" s="222">
        <v>17.600000000000001</v>
      </c>
      <c r="I142" s="223"/>
      <c r="J142" s="224">
        <f>ROUND(I142*H142,0)</f>
        <v>0</v>
      </c>
      <c r="K142" s="225"/>
      <c r="L142" s="43"/>
      <c r="M142" s="226" t="s">
        <v>1</v>
      </c>
      <c r="N142" s="227" t="s">
        <v>42</v>
      </c>
      <c r="O142" s="90"/>
      <c r="P142" s="228">
        <f>O142*H142</f>
        <v>0</v>
      </c>
      <c r="Q142" s="228">
        <v>0</v>
      </c>
      <c r="R142" s="228">
        <f>Q142*H142</f>
        <v>0</v>
      </c>
      <c r="S142" s="228">
        <v>0</v>
      </c>
      <c r="T142" s="229">
        <f>S142*H142</f>
        <v>0</v>
      </c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R142" s="230" t="s">
        <v>163</v>
      </c>
      <c r="AT142" s="230" t="s">
        <v>159</v>
      </c>
      <c r="AU142" s="230" t="s">
        <v>86</v>
      </c>
      <c r="AY142" s="16" t="s">
        <v>157</v>
      </c>
      <c r="BE142" s="231">
        <f>IF(N142="základní",J142,0)</f>
        <v>0</v>
      </c>
      <c r="BF142" s="231">
        <f>IF(N142="snížená",J142,0)</f>
        <v>0</v>
      </c>
      <c r="BG142" s="231">
        <f>IF(N142="zákl. přenesená",J142,0)</f>
        <v>0</v>
      </c>
      <c r="BH142" s="231">
        <f>IF(N142="sníž. přenesená",J142,0)</f>
        <v>0</v>
      </c>
      <c r="BI142" s="231">
        <f>IF(N142="nulová",J142,0)</f>
        <v>0</v>
      </c>
      <c r="BJ142" s="16" t="s">
        <v>8</v>
      </c>
      <c r="BK142" s="231">
        <f>ROUND(I142*H142,0)</f>
        <v>0</v>
      </c>
      <c r="BL142" s="16" t="s">
        <v>163</v>
      </c>
      <c r="BM142" s="230" t="s">
        <v>2179</v>
      </c>
    </row>
    <row r="143" s="13" customFormat="1">
      <c r="A143" s="13"/>
      <c r="B143" s="232"/>
      <c r="C143" s="233"/>
      <c r="D143" s="234" t="s">
        <v>165</v>
      </c>
      <c r="E143" s="235" t="s">
        <v>1</v>
      </c>
      <c r="F143" s="236" t="s">
        <v>2180</v>
      </c>
      <c r="G143" s="233"/>
      <c r="H143" s="237">
        <v>17.600000000000001</v>
      </c>
      <c r="I143" s="238"/>
      <c r="J143" s="233"/>
      <c r="K143" s="233"/>
      <c r="L143" s="239"/>
      <c r="M143" s="240"/>
      <c r="N143" s="241"/>
      <c r="O143" s="241"/>
      <c r="P143" s="241"/>
      <c r="Q143" s="241"/>
      <c r="R143" s="241"/>
      <c r="S143" s="241"/>
      <c r="T143" s="242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T143" s="243" t="s">
        <v>165</v>
      </c>
      <c r="AU143" s="243" t="s">
        <v>86</v>
      </c>
      <c r="AV143" s="13" t="s">
        <v>86</v>
      </c>
      <c r="AW143" s="13" t="s">
        <v>32</v>
      </c>
      <c r="AX143" s="13" t="s">
        <v>77</v>
      </c>
      <c r="AY143" s="243" t="s">
        <v>157</v>
      </c>
    </row>
    <row r="144" s="2" customFormat="1" ht="33" customHeight="1">
      <c r="A144" s="37"/>
      <c r="B144" s="38"/>
      <c r="C144" s="218" t="s">
        <v>200</v>
      </c>
      <c r="D144" s="218" t="s">
        <v>159</v>
      </c>
      <c r="E144" s="219" t="s">
        <v>2181</v>
      </c>
      <c r="F144" s="220" t="s">
        <v>2182</v>
      </c>
      <c r="G144" s="221" t="s">
        <v>162</v>
      </c>
      <c r="H144" s="222">
        <v>106.95999999999999</v>
      </c>
      <c r="I144" s="223"/>
      <c r="J144" s="224">
        <f>ROUND(I144*H144,0)</f>
        <v>0</v>
      </c>
      <c r="K144" s="225"/>
      <c r="L144" s="43"/>
      <c r="M144" s="226" t="s">
        <v>1</v>
      </c>
      <c r="N144" s="227" t="s">
        <v>42</v>
      </c>
      <c r="O144" s="90"/>
      <c r="P144" s="228">
        <f>O144*H144</f>
        <v>0</v>
      </c>
      <c r="Q144" s="228">
        <v>0</v>
      </c>
      <c r="R144" s="228">
        <f>Q144*H144</f>
        <v>0</v>
      </c>
      <c r="S144" s="228">
        <v>0</v>
      </c>
      <c r="T144" s="229">
        <f>S144*H144</f>
        <v>0</v>
      </c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R144" s="230" t="s">
        <v>163</v>
      </c>
      <c r="AT144" s="230" t="s">
        <v>159</v>
      </c>
      <c r="AU144" s="230" t="s">
        <v>86</v>
      </c>
      <c r="AY144" s="16" t="s">
        <v>157</v>
      </c>
      <c r="BE144" s="231">
        <f>IF(N144="základní",J144,0)</f>
        <v>0</v>
      </c>
      <c r="BF144" s="231">
        <f>IF(N144="snížená",J144,0)</f>
        <v>0</v>
      </c>
      <c r="BG144" s="231">
        <f>IF(N144="zákl. přenesená",J144,0)</f>
        <v>0</v>
      </c>
      <c r="BH144" s="231">
        <f>IF(N144="sníž. přenesená",J144,0)</f>
        <v>0</v>
      </c>
      <c r="BI144" s="231">
        <f>IF(N144="nulová",J144,0)</f>
        <v>0</v>
      </c>
      <c r="BJ144" s="16" t="s">
        <v>8</v>
      </c>
      <c r="BK144" s="231">
        <f>ROUND(I144*H144,0)</f>
        <v>0</v>
      </c>
      <c r="BL144" s="16" t="s">
        <v>163</v>
      </c>
      <c r="BM144" s="230" t="s">
        <v>2183</v>
      </c>
    </row>
    <row r="145" s="13" customFormat="1">
      <c r="A145" s="13"/>
      <c r="B145" s="232"/>
      <c r="C145" s="233"/>
      <c r="D145" s="234" t="s">
        <v>165</v>
      </c>
      <c r="E145" s="235" t="s">
        <v>1</v>
      </c>
      <c r="F145" s="236" t="s">
        <v>2184</v>
      </c>
      <c r="G145" s="233"/>
      <c r="H145" s="237">
        <v>106.95999999999999</v>
      </c>
      <c r="I145" s="238"/>
      <c r="J145" s="233"/>
      <c r="K145" s="233"/>
      <c r="L145" s="239"/>
      <c r="M145" s="240"/>
      <c r="N145" s="241"/>
      <c r="O145" s="241"/>
      <c r="P145" s="241"/>
      <c r="Q145" s="241"/>
      <c r="R145" s="241"/>
      <c r="S145" s="241"/>
      <c r="T145" s="242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T145" s="243" t="s">
        <v>165</v>
      </c>
      <c r="AU145" s="243" t="s">
        <v>86</v>
      </c>
      <c r="AV145" s="13" t="s">
        <v>86</v>
      </c>
      <c r="AW145" s="13" t="s">
        <v>32</v>
      </c>
      <c r="AX145" s="13" t="s">
        <v>77</v>
      </c>
      <c r="AY145" s="243" t="s">
        <v>157</v>
      </c>
    </row>
    <row r="146" s="2" customFormat="1" ht="33" customHeight="1">
      <c r="A146" s="37"/>
      <c r="B146" s="38"/>
      <c r="C146" s="218" t="s">
        <v>206</v>
      </c>
      <c r="D146" s="218" t="s">
        <v>159</v>
      </c>
      <c r="E146" s="219" t="s">
        <v>2185</v>
      </c>
      <c r="F146" s="220" t="s">
        <v>2186</v>
      </c>
      <c r="G146" s="221" t="s">
        <v>162</v>
      </c>
      <c r="H146" s="222">
        <v>524.29700000000003</v>
      </c>
      <c r="I146" s="223"/>
      <c r="J146" s="224">
        <f>ROUND(I146*H146,0)</f>
        <v>0</v>
      </c>
      <c r="K146" s="225"/>
      <c r="L146" s="43"/>
      <c r="M146" s="226" t="s">
        <v>1</v>
      </c>
      <c r="N146" s="227" t="s">
        <v>42</v>
      </c>
      <c r="O146" s="90"/>
      <c r="P146" s="228">
        <f>O146*H146</f>
        <v>0</v>
      </c>
      <c r="Q146" s="228">
        <v>0</v>
      </c>
      <c r="R146" s="228">
        <f>Q146*H146</f>
        <v>0</v>
      </c>
      <c r="S146" s="228">
        <v>0</v>
      </c>
      <c r="T146" s="229">
        <f>S146*H146</f>
        <v>0</v>
      </c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R146" s="230" t="s">
        <v>163</v>
      </c>
      <c r="AT146" s="230" t="s">
        <v>159</v>
      </c>
      <c r="AU146" s="230" t="s">
        <v>86</v>
      </c>
      <c r="AY146" s="16" t="s">
        <v>157</v>
      </c>
      <c r="BE146" s="231">
        <f>IF(N146="základní",J146,0)</f>
        <v>0</v>
      </c>
      <c r="BF146" s="231">
        <f>IF(N146="snížená",J146,0)</f>
        <v>0</v>
      </c>
      <c r="BG146" s="231">
        <f>IF(N146="zákl. přenesená",J146,0)</f>
        <v>0</v>
      </c>
      <c r="BH146" s="231">
        <f>IF(N146="sníž. přenesená",J146,0)</f>
        <v>0</v>
      </c>
      <c r="BI146" s="231">
        <f>IF(N146="nulová",J146,0)</f>
        <v>0</v>
      </c>
      <c r="BJ146" s="16" t="s">
        <v>8</v>
      </c>
      <c r="BK146" s="231">
        <f>ROUND(I146*H146,0)</f>
        <v>0</v>
      </c>
      <c r="BL146" s="16" t="s">
        <v>163</v>
      </c>
      <c r="BM146" s="230" t="s">
        <v>2187</v>
      </c>
    </row>
    <row r="147" s="13" customFormat="1">
      <c r="A147" s="13"/>
      <c r="B147" s="232"/>
      <c r="C147" s="233"/>
      <c r="D147" s="234" t="s">
        <v>165</v>
      </c>
      <c r="E147" s="235" t="s">
        <v>1</v>
      </c>
      <c r="F147" s="236" t="s">
        <v>2188</v>
      </c>
      <c r="G147" s="233"/>
      <c r="H147" s="237">
        <v>134.297</v>
      </c>
      <c r="I147" s="238"/>
      <c r="J147" s="233"/>
      <c r="K147" s="233"/>
      <c r="L147" s="239"/>
      <c r="M147" s="240"/>
      <c r="N147" s="241"/>
      <c r="O147" s="241"/>
      <c r="P147" s="241"/>
      <c r="Q147" s="241"/>
      <c r="R147" s="241"/>
      <c r="S147" s="241"/>
      <c r="T147" s="242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T147" s="243" t="s">
        <v>165</v>
      </c>
      <c r="AU147" s="243" t="s">
        <v>86</v>
      </c>
      <c r="AV147" s="13" t="s">
        <v>86</v>
      </c>
      <c r="AW147" s="13" t="s">
        <v>32</v>
      </c>
      <c r="AX147" s="13" t="s">
        <v>77</v>
      </c>
      <c r="AY147" s="243" t="s">
        <v>157</v>
      </c>
    </row>
    <row r="148" s="13" customFormat="1">
      <c r="A148" s="13"/>
      <c r="B148" s="232"/>
      <c r="C148" s="233"/>
      <c r="D148" s="234" t="s">
        <v>165</v>
      </c>
      <c r="E148" s="235" t="s">
        <v>1</v>
      </c>
      <c r="F148" s="236" t="s">
        <v>2189</v>
      </c>
      <c r="G148" s="233"/>
      <c r="H148" s="237">
        <v>230</v>
      </c>
      <c r="I148" s="238"/>
      <c r="J148" s="233"/>
      <c r="K148" s="233"/>
      <c r="L148" s="239"/>
      <c r="M148" s="240"/>
      <c r="N148" s="241"/>
      <c r="O148" s="241"/>
      <c r="P148" s="241"/>
      <c r="Q148" s="241"/>
      <c r="R148" s="241"/>
      <c r="S148" s="241"/>
      <c r="T148" s="242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T148" s="243" t="s">
        <v>165</v>
      </c>
      <c r="AU148" s="243" t="s">
        <v>86</v>
      </c>
      <c r="AV148" s="13" t="s">
        <v>86</v>
      </c>
      <c r="AW148" s="13" t="s">
        <v>32</v>
      </c>
      <c r="AX148" s="13" t="s">
        <v>77</v>
      </c>
      <c r="AY148" s="243" t="s">
        <v>157</v>
      </c>
    </row>
    <row r="149" s="13" customFormat="1">
      <c r="A149" s="13"/>
      <c r="B149" s="232"/>
      <c r="C149" s="233"/>
      <c r="D149" s="234" t="s">
        <v>165</v>
      </c>
      <c r="E149" s="235" t="s">
        <v>1</v>
      </c>
      <c r="F149" s="236" t="s">
        <v>2190</v>
      </c>
      <c r="G149" s="233"/>
      <c r="H149" s="237">
        <v>160</v>
      </c>
      <c r="I149" s="238"/>
      <c r="J149" s="233"/>
      <c r="K149" s="233"/>
      <c r="L149" s="239"/>
      <c r="M149" s="240"/>
      <c r="N149" s="241"/>
      <c r="O149" s="241"/>
      <c r="P149" s="241"/>
      <c r="Q149" s="241"/>
      <c r="R149" s="241"/>
      <c r="S149" s="241"/>
      <c r="T149" s="24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T149" s="243" t="s">
        <v>165</v>
      </c>
      <c r="AU149" s="243" t="s">
        <v>86</v>
      </c>
      <c r="AV149" s="13" t="s">
        <v>86</v>
      </c>
      <c r="AW149" s="13" t="s">
        <v>32</v>
      </c>
      <c r="AX149" s="13" t="s">
        <v>77</v>
      </c>
      <c r="AY149" s="243" t="s">
        <v>157</v>
      </c>
    </row>
    <row r="150" s="2" customFormat="1" ht="33" customHeight="1">
      <c r="A150" s="37"/>
      <c r="B150" s="38"/>
      <c r="C150" s="218" t="s">
        <v>213</v>
      </c>
      <c r="D150" s="218" t="s">
        <v>159</v>
      </c>
      <c r="E150" s="219" t="s">
        <v>2191</v>
      </c>
      <c r="F150" s="220" t="s">
        <v>2192</v>
      </c>
      <c r="G150" s="221" t="s">
        <v>162</v>
      </c>
      <c r="H150" s="222">
        <v>3.5</v>
      </c>
      <c r="I150" s="223"/>
      <c r="J150" s="224">
        <f>ROUND(I150*H150,0)</f>
        <v>0</v>
      </c>
      <c r="K150" s="225"/>
      <c r="L150" s="43"/>
      <c r="M150" s="226" t="s">
        <v>1</v>
      </c>
      <c r="N150" s="227" t="s">
        <v>42</v>
      </c>
      <c r="O150" s="90"/>
      <c r="P150" s="228">
        <f>O150*H150</f>
        <v>0</v>
      </c>
      <c r="Q150" s="228">
        <v>0</v>
      </c>
      <c r="R150" s="228">
        <f>Q150*H150</f>
        <v>0</v>
      </c>
      <c r="S150" s="228">
        <v>0</v>
      </c>
      <c r="T150" s="229">
        <f>S150*H150</f>
        <v>0</v>
      </c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R150" s="230" t="s">
        <v>163</v>
      </c>
      <c r="AT150" s="230" t="s">
        <v>159</v>
      </c>
      <c r="AU150" s="230" t="s">
        <v>86</v>
      </c>
      <c r="AY150" s="16" t="s">
        <v>157</v>
      </c>
      <c r="BE150" s="231">
        <f>IF(N150="základní",J150,0)</f>
        <v>0</v>
      </c>
      <c r="BF150" s="231">
        <f>IF(N150="snížená",J150,0)</f>
        <v>0</v>
      </c>
      <c r="BG150" s="231">
        <f>IF(N150="zákl. přenesená",J150,0)</f>
        <v>0</v>
      </c>
      <c r="BH150" s="231">
        <f>IF(N150="sníž. přenesená",J150,0)</f>
        <v>0</v>
      </c>
      <c r="BI150" s="231">
        <f>IF(N150="nulová",J150,0)</f>
        <v>0</v>
      </c>
      <c r="BJ150" s="16" t="s">
        <v>8</v>
      </c>
      <c r="BK150" s="231">
        <f>ROUND(I150*H150,0)</f>
        <v>0</v>
      </c>
      <c r="BL150" s="16" t="s">
        <v>163</v>
      </c>
      <c r="BM150" s="230" t="s">
        <v>2193</v>
      </c>
    </row>
    <row r="151" s="13" customFormat="1">
      <c r="A151" s="13"/>
      <c r="B151" s="232"/>
      <c r="C151" s="233"/>
      <c r="D151" s="234" t="s">
        <v>165</v>
      </c>
      <c r="E151" s="235" t="s">
        <v>1</v>
      </c>
      <c r="F151" s="236" t="s">
        <v>2194</v>
      </c>
      <c r="G151" s="233"/>
      <c r="H151" s="237">
        <v>3.5</v>
      </c>
      <c r="I151" s="238"/>
      <c r="J151" s="233"/>
      <c r="K151" s="233"/>
      <c r="L151" s="239"/>
      <c r="M151" s="240"/>
      <c r="N151" s="241"/>
      <c r="O151" s="241"/>
      <c r="P151" s="241"/>
      <c r="Q151" s="241"/>
      <c r="R151" s="241"/>
      <c r="S151" s="241"/>
      <c r="T151" s="242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T151" s="243" t="s">
        <v>165</v>
      </c>
      <c r="AU151" s="243" t="s">
        <v>86</v>
      </c>
      <c r="AV151" s="13" t="s">
        <v>86</v>
      </c>
      <c r="AW151" s="13" t="s">
        <v>32</v>
      </c>
      <c r="AX151" s="13" t="s">
        <v>77</v>
      </c>
      <c r="AY151" s="243" t="s">
        <v>157</v>
      </c>
    </row>
    <row r="152" s="2" customFormat="1" ht="33" customHeight="1">
      <c r="A152" s="37"/>
      <c r="B152" s="38"/>
      <c r="C152" s="218" t="s">
        <v>219</v>
      </c>
      <c r="D152" s="218" t="s">
        <v>159</v>
      </c>
      <c r="E152" s="219" t="s">
        <v>2195</v>
      </c>
      <c r="F152" s="220" t="s">
        <v>2196</v>
      </c>
      <c r="G152" s="221" t="s">
        <v>162</v>
      </c>
      <c r="H152" s="222">
        <v>78.400000000000006</v>
      </c>
      <c r="I152" s="223"/>
      <c r="J152" s="224">
        <f>ROUND(I152*H152,0)</f>
        <v>0</v>
      </c>
      <c r="K152" s="225"/>
      <c r="L152" s="43"/>
      <c r="M152" s="226" t="s">
        <v>1</v>
      </c>
      <c r="N152" s="227" t="s">
        <v>42</v>
      </c>
      <c r="O152" s="90"/>
      <c r="P152" s="228">
        <f>O152*H152</f>
        <v>0</v>
      </c>
      <c r="Q152" s="228">
        <v>0</v>
      </c>
      <c r="R152" s="228">
        <f>Q152*H152</f>
        <v>0</v>
      </c>
      <c r="S152" s="228">
        <v>0</v>
      </c>
      <c r="T152" s="229">
        <f>S152*H152</f>
        <v>0</v>
      </c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R152" s="230" t="s">
        <v>163</v>
      </c>
      <c r="AT152" s="230" t="s">
        <v>159</v>
      </c>
      <c r="AU152" s="230" t="s">
        <v>86</v>
      </c>
      <c r="AY152" s="16" t="s">
        <v>157</v>
      </c>
      <c r="BE152" s="231">
        <f>IF(N152="základní",J152,0)</f>
        <v>0</v>
      </c>
      <c r="BF152" s="231">
        <f>IF(N152="snížená",J152,0)</f>
        <v>0</v>
      </c>
      <c r="BG152" s="231">
        <f>IF(N152="zákl. přenesená",J152,0)</f>
        <v>0</v>
      </c>
      <c r="BH152" s="231">
        <f>IF(N152="sníž. přenesená",J152,0)</f>
        <v>0</v>
      </c>
      <c r="BI152" s="231">
        <f>IF(N152="nulová",J152,0)</f>
        <v>0</v>
      </c>
      <c r="BJ152" s="16" t="s">
        <v>8</v>
      </c>
      <c r="BK152" s="231">
        <f>ROUND(I152*H152,0)</f>
        <v>0</v>
      </c>
      <c r="BL152" s="16" t="s">
        <v>163</v>
      </c>
      <c r="BM152" s="230" t="s">
        <v>2197</v>
      </c>
    </row>
    <row r="153" s="13" customFormat="1">
      <c r="A153" s="13"/>
      <c r="B153" s="232"/>
      <c r="C153" s="233"/>
      <c r="D153" s="234" t="s">
        <v>165</v>
      </c>
      <c r="E153" s="235" t="s">
        <v>1</v>
      </c>
      <c r="F153" s="236" t="s">
        <v>2198</v>
      </c>
      <c r="G153" s="233"/>
      <c r="H153" s="237">
        <v>14</v>
      </c>
      <c r="I153" s="238"/>
      <c r="J153" s="233"/>
      <c r="K153" s="233"/>
      <c r="L153" s="239"/>
      <c r="M153" s="240"/>
      <c r="N153" s="241"/>
      <c r="O153" s="241"/>
      <c r="P153" s="241"/>
      <c r="Q153" s="241"/>
      <c r="R153" s="241"/>
      <c r="S153" s="241"/>
      <c r="T153" s="24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T153" s="243" t="s">
        <v>165</v>
      </c>
      <c r="AU153" s="243" t="s">
        <v>86</v>
      </c>
      <c r="AV153" s="13" t="s">
        <v>86</v>
      </c>
      <c r="AW153" s="13" t="s">
        <v>32</v>
      </c>
      <c r="AX153" s="13" t="s">
        <v>77</v>
      </c>
      <c r="AY153" s="243" t="s">
        <v>157</v>
      </c>
    </row>
    <row r="154" s="13" customFormat="1">
      <c r="A154" s="13"/>
      <c r="B154" s="232"/>
      <c r="C154" s="233"/>
      <c r="D154" s="234" t="s">
        <v>165</v>
      </c>
      <c r="E154" s="235" t="s">
        <v>1</v>
      </c>
      <c r="F154" s="236" t="s">
        <v>2199</v>
      </c>
      <c r="G154" s="233"/>
      <c r="H154" s="237">
        <v>64.400000000000006</v>
      </c>
      <c r="I154" s="238"/>
      <c r="J154" s="233"/>
      <c r="K154" s="233"/>
      <c r="L154" s="239"/>
      <c r="M154" s="240"/>
      <c r="N154" s="241"/>
      <c r="O154" s="241"/>
      <c r="P154" s="241"/>
      <c r="Q154" s="241"/>
      <c r="R154" s="241"/>
      <c r="S154" s="241"/>
      <c r="T154" s="24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T154" s="243" t="s">
        <v>165</v>
      </c>
      <c r="AU154" s="243" t="s">
        <v>86</v>
      </c>
      <c r="AV154" s="13" t="s">
        <v>86</v>
      </c>
      <c r="AW154" s="13" t="s">
        <v>32</v>
      </c>
      <c r="AX154" s="13" t="s">
        <v>77</v>
      </c>
      <c r="AY154" s="243" t="s">
        <v>157</v>
      </c>
    </row>
    <row r="155" s="2" customFormat="1" ht="24.15" customHeight="1">
      <c r="A155" s="37"/>
      <c r="B155" s="38"/>
      <c r="C155" s="218" t="s">
        <v>9</v>
      </c>
      <c r="D155" s="218" t="s">
        <v>159</v>
      </c>
      <c r="E155" s="219" t="s">
        <v>2200</v>
      </c>
      <c r="F155" s="220" t="s">
        <v>2201</v>
      </c>
      <c r="G155" s="221" t="s">
        <v>565</v>
      </c>
      <c r="H155" s="222">
        <v>1</v>
      </c>
      <c r="I155" s="223"/>
      <c r="J155" s="224">
        <f>ROUND(I155*H155,0)</f>
        <v>0</v>
      </c>
      <c r="K155" s="225"/>
      <c r="L155" s="43"/>
      <c r="M155" s="226" t="s">
        <v>1</v>
      </c>
      <c r="N155" s="227" t="s">
        <v>42</v>
      </c>
      <c r="O155" s="90"/>
      <c r="P155" s="228">
        <f>O155*H155</f>
        <v>0</v>
      </c>
      <c r="Q155" s="228">
        <v>0</v>
      </c>
      <c r="R155" s="228">
        <f>Q155*H155</f>
        <v>0</v>
      </c>
      <c r="S155" s="228">
        <v>0</v>
      </c>
      <c r="T155" s="229">
        <f>S155*H155</f>
        <v>0</v>
      </c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R155" s="230" t="s">
        <v>163</v>
      </c>
      <c r="AT155" s="230" t="s">
        <v>159</v>
      </c>
      <c r="AU155" s="230" t="s">
        <v>86</v>
      </c>
      <c r="AY155" s="16" t="s">
        <v>157</v>
      </c>
      <c r="BE155" s="231">
        <f>IF(N155="základní",J155,0)</f>
        <v>0</v>
      </c>
      <c r="BF155" s="231">
        <f>IF(N155="snížená",J155,0)</f>
        <v>0</v>
      </c>
      <c r="BG155" s="231">
        <f>IF(N155="zákl. přenesená",J155,0)</f>
        <v>0</v>
      </c>
      <c r="BH155" s="231">
        <f>IF(N155="sníž. přenesená",J155,0)</f>
        <v>0</v>
      </c>
      <c r="BI155" s="231">
        <f>IF(N155="nulová",J155,0)</f>
        <v>0</v>
      </c>
      <c r="BJ155" s="16" t="s">
        <v>8</v>
      </c>
      <c r="BK155" s="231">
        <f>ROUND(I155*H155,0)</f>
        <v>0</v>
      </c>
      <c r="BL155" s="16" t="s">
        <v>163</v>
      </c>
      <c r="BM155" s="230" t="s">
        <v>2202</v>
      </c>
    </row>
    <row r="156" s="2" customFormat="1" ht="24.15" customHeight="1">
      <c r="A156" s="37"/>
      <c r="B156" s="38"/>
      <c r="C156" s="218" t="s">
        <v>228</v>
      </c>
      <c r="D156" s="218" t="s">
        <v>159</v>
      </c>
      <c r="E156" s="219" t="s">
        <v>2203</v>
      </c>
      <c r="F156" s="220" t="s">
        <v>2204</v>
      </c>
      <c r="G156" s="221" t="s">
        <v>565</v>
      </c>
      <c r="H156" s="222">
        <v>1</v>
      </c>
      <c r="I156" s="223"/>
      <c r="J156" s="224">
        <f>ROUND(I156*H156,0)</f>
        <v>0</v>
      </c>
      <c r="K156" s="225"/>
      <c r="L156" s="43"/>
      <c r="M156" s="226" t="s">
        <v>1</v>
      </c>
      <c r="N156" s="227" t="s">
        <v>42</v>
      </c>
      <c r="O156" s="90"/>
      <c r="P156" s="228">
        <f>O156*H156</f>
        <v>0</v>
      </c>
      <c r="Q156" s="228">
        <v>0</v>
      </c>
      <c r="R156" s="228">
        <f>Q156*H156</f>
        <v>0</v>
      </c>
      <c r="S156" s="228">
        <v>0</v>
      </c>
      <c r="T156" s="229">
        <f>S156*H156</f>
        <v>0</v>
      </c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R156" s="230" t="s">
        <v>163</v>
      </c>
      <c r="AT156" s="230" t="s">
        <v>159</v>
      </c>
      <c r="AU156" s="230" t="s">
        <v>86</v>
      </c>
      <c r="AY156" s="16" t="s">
        <v>157</v>
      </c>
      <c r="BE156" s="231">
        <f>IF(N156="základní",J156,0)</f>
        <v>0</v>
      </c>
      <c r="BF156" s="231">
        <f>IF(N156="snížená",J156,0)</f>
        <v>0</v>
      </c>
      <c r="BG156" s="231">
        <f>IF(N156="zákl. přenesená",J156,0)</f>
        <v>0</v>
      </c>
      <c r="BH156" s="231">
        <f>IF(N156="sníž. přenesená",J156,0)</f>
        <v>0</v>
      </c>
      <c r="BI156" s="231">
        <f>IF(N156="nulová",J156,0)</f>
        <v>0</v>
      </c>
      <c r="BJ156" s="16" t="s">
        <v>8</v>
      </c>
      <c r="BK156" s="231">
        <f>ROUND(I156*H156,0)</f>
        <v>0</v>
      </c>
      <c r="BL156" s="16" t="s">
        <v>163</v>
      </c>
      <c r="BM156" s="230" t="s">
        <v>2205</v>
      </c>
    </row>
    <row r="157" s="2" customFormat="1" ht="24.15" customHeight="1">
      <c r="A157" s="37"/>
      <c r="B157" s="38"/>
      <c r="C157" s="218" t="s">
        <v>235</v>
      </c>
      <c r="D157" s="218" t="s">
        <v>159</v>
      </c>
      <c r="E157" s="219" t="s">
        <v>2206</v>
      </c>
      <c r="F157" s="220" t="s">
        <v>2207</v>
      </c>
      <c r="G157" s="221" t="s">
        <v>565</v>
      </c>
      <c r="H157" s="222">
        <v>1</v>
      </c>
      <c r="I157" s="223"/>
      <c r="J157" s="224">
        <f>ROUND(I157*H157,0)</f>
        <v>0</v>
      </c>
      <c r="K157" s="225"/>
      <c r="L157" s="43"/>
      <c r="M157" s="226" t="s">
        <v>1</v>
      </c>
      <c r="N157" s="227" t="s">
        <v>42</v>
      </c>
      <c r="O157" s="90"/>
      <c r="P157" s="228">
        <f>O157*H157</f>
        <v>0</v>
      </c>
      <c r="Q157" s="228">
        <v>0</v>
      </c>
      <c r="R157" s="228">
        <f>Q157*H157</f>
        <v>0</v>
      </c>
      <c r="S157" s="228">
        <v>0</v>
      </c>
      <c r="T157" s="229">
        <f>S157*H157</f>
        <v>0</v>
      </c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R157" s="230" t="s">
        <v>163</v>
      </c>
      <c r="AT157" s="230" t="s">
        <v>159</v>
      </c>
      <c r="AU157" s="230" t="s">
        <v>86</v>
      </c>
      <c r="AY157" s="16" t="s">
        <v>157</v>
      </c>
      <c r="BE157" s="231">
        <f>IF(N157="základní",J157,0)</f>
        <v>0</v>
      </c>
      <c r="BF157" s="231">
        <f>IF(N157="snížená",J157,0)</f>
        <v>0</v>
      </c>
      <c r="BG157" s="231">
        <f>IF(N157="zákl. přenesená",J157,0)</f>
        <v>0</v>
      </c>
      <c r="BH157" s="231">
        <f>IF(N157="sníž. přenesená",J157,0)</f>
        <v>0</v>
      </c>
      <c r="BI157" s="231">
        <f>IF(N157="nulová",J157,0)</f>
        <v>0</v>
      </c>
      <c r="BJ157" s="16" t="s">
        <v>8</v>
      </c>
      <c r="BK157" s="231">
        <f>ROUND(I157*H157,0)</f>
        <v>0</v>
      </c>
      <c r="BL157" s="16" t="s">
        <v>163</v>
      </c>
      <c r="BM157" s="230" t="s">
        <v>2208</v>
      </c>
    </row>
    <row r="158" s="2" customFormat="1" ht="33" customHeight="1">
      <c r="A158" s="37"/>
      <c r="B158" s="38"/>
      <c r="C158" s="218" t="s">
        <v>241</v>
      </c>
      <c r="D158" s="218" t="s">
        <v>159</v>
      </c>
      <c r="E158" s="219" t="s">
        <v>2209</v>
      </c>
      <c r="F158" s="220" t="s">
        <v>2210</v>
      </c>
      <c r="G158" s="221" t="s">
        <v>565</v>
      </c>
      <c r="H158" s="222">
        <v>4</v>
      </c>
      <c r="I158" s="223"/>
      <c r="J158" s="224">
        <f>ROUND(I158*H158,0)</f>
        <v>0</v>
      </c>
      <c r="K158" s="225"/>
      <c r="L158" s="43"/>
      <c r="M158" s="226" t="s">
        <v>1</v>
      </c>
      <c r="N158" s="227" t="s">
        <v>42</v>
      </c>
      <c r="O158" s="90"/>
      <c r="P158" s="228">
        <f>O158*H158</f>
        <v>0</v>
      </c>
      <c r="Q158" s="228">
        <v>0</v>
      </c>
      <c r="R158" s="228">
        <f>Q158*H158</f>
        <v>0</v>
      </c>
      <c r="S158" s="228">
        <v>0</v>
      </c>
      <c r="T158" s="229">
        <f>S158*H158</f>
        <v>0</v>
      </c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R158" s="230" t="s">
        <v>163</v>
      </c>
      <c r="AT158" s="230" t="s">
        <v>159</v>
      </c>
      <c r="AU158" s="230" t="s">
        <v>86</v>
      </c>
      <c r="AY158" s="16" t="s">
        <v>157</v>
      </c>
      <c r="BE158" s="231">
        <f>IF(N158="základní",J158,0)</f>
        <v>0</v>
      </c>
      <c r="BF158" s="231">
        <f>IF(N158="snížená",J158,0)</f>
        <v>0</v>
      </c>
      <c r="BG158" s="231">
        <f>IF(N158="zákl. přenesená",J158,0)</f>
        <v>0</v>
      </c>
      <c r="BH158" s="231">
        <f>IF(N158="sníž. přenesená",J158,0)</f>
        <v>0</v>
      </c>
      <c r="BI158" s="231">
        <f>IF(N158="nulová",J158,0)</f>
        <v>0</v>
      </c>
      <c r="BJ158" s="16" t="s">
        <v>8</v>
      </c>
      <c r="BK158" s="231">
        <f>ROUND(I158*H158,0)</f>
        <v>0</v>
      </c>
      <c r="BL158" s="16" t="s">
        <v>163</v>
      </c>
      <c r="BM158" s="230" t="s">
        <v>2211</v>
      </c>
    </row>
    <row r="159" s="2" customFormat="1" ht="33" customHeight="1">
      <c r="A159" s="37"/>
      <c r="B159" s="38"/>
      <c r="C159" s="218" t="s">
        <v>246</v>
      </c>
      <c r="D159" s="218" t="s">
        <v>159</v>
      </c>
      <c r="E159" s="219" t="s">
        <v>2212</v>
      </c>
      <c r="F159" s="220" t="s">
        <v>2213</v>
      </c>
      <c r="G159" s="221" t="s">
        <v>565</v>
      </c>
      <c r="H159" s="222">
        <v>4</v>
      </c>
      <c r="I159" s="223"/>
      <c r="J159" s="224">
        <f>ROUND(I159*H159,0)</f>
        <v>0</v>
      </c>
      <c r="K159" s="225"/>
      <c r="L159" s="43"/>
      <c r="M159" s="226" t="s">
        <v>1</v>
      </c>
      <c r="N159" s="227" t="s">
        <v>42</v>
      </c>
      <c r="O159" s="90"/>
      <c r="P159" s="228">
        <f>O159*H159</f>
        <v>0</v>
      </c>
      <c r="Q159" s="228">
        <v>0</v>
      </c>
      <c r="R159" s="228">
        <f>Q159*H159</f>
        <v>0</v>
      </c>
      <c r="S159" s="228">
        <v>0</v>
      </c>
      <c r="T159" s="229">
        <f>S159*H159</f>
        <v>0</v>
      </c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R159" s="230" t="s">
        <v>163</v>
      </c>
      <c r="AT159" s="230" t="s">
        <v>159</v>
      </c>
      <c r="AU159" s="230" t="s">
        <v>86</v>
      </c>
      <c r="AY159" s="16" t="s">
        <v>157</v>
      </c>
      <c r="BE159" s="231">
        <f>IF(N159="základní",J159,0)</f>
        <v>0</v>
      </c>
      <c r="BF159" s="231">
        <f>IF(N159="snížená",J159,0)</f>
        <v>0</v>
      </c>
      <c r="BG159" s="231">
        <f>IF(N159="zákl. přenesená",J159,0)</f>
        <v>0</v>
      </c>
      <c r="BH159" s="231">
        <f>IF(N159="sníž. přenesená",J159,0)</f>
        <v>0</v>
      </c>
      <c r="BI159" s="231">
        <f>IF(N159="nulová",J159,0)</f>
        <v>0</v>
      </c>
      <c r="BJ159" s="16" t="s">
        <v>8</v>
      </c>
      <c r="BK159" s="231">
        <f>ROUND(I159*H159,0)</f>
        <v>0</v>
      </c>
      <c r="BL159" s="16" t="s">
        <v>163</v>
      </c>
      <c r="BM159" s="230" t="s">
        <v>2214</v>
      </c>
    </row>
    <row r="160" s="2" customFormat="1" ht="24.15" customHeight="1">
      <c r="A160" s="37"/>
      <c r="B160" s="38"/>
      <c r="C160" s="218" t="s">
        <v>251</v>
      </c>
      <c r="D160" s="218" t="s">
        <v>159</v>
      </c>
      <c r="E160" s="219" t="s">
        <v>2215</v>
      </c>
      <c r="F160" s="220" t="s">
        <v>2216</v>
      </c>
      <c r="G160" s="221" t="s">
        <v>565</v>
      </c>
      <c r="H160" s="222">
        <v>4</v>
      </c>
      <c r="I160" s="223"/>
      <c r="J160" s="224">
        <f>ROUND(I160*H160,0)</f>
        <v>0</v>
      </c>
      <c r="K160" s="225"/>
      <c r="L160" s="43"/>
      <c r="M160" s="226" t="s">
        <v>1</v>
      </c>
      <c r="N160" s="227" t="s">
        <v>42</v>
      </c>
      <c r="O160" s="90"/>
      <c r="P160" s="228">
        <f>O160*H160</f>
        <v>0</v>
      </c>
      <c r="Q160" s="228">
        <v>0</v>
      </c>
      <c r="R160" s="228">
        <f>Q160*H160</f>
        <v>0</v>
      </c>
      <c r="S160" s="228">
        <v>0</v>
      </c>
      <c r="T160" s="229">
        <f>S160*H160</f>
        <v>0</v>
      </c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R160" s="230" t="s">
        <v>163</v>
      </c>
      <c r="AT160" s="230" t="s">
        <v>159</v>
      </c>
      <c r="AU160" s="230" t="s">
        <v>86</v>
      </c>
      <c r="AY160" s="16" t="s">
        <v>157</v>
      </c>
      <c r="BE160" s="231">
        <f>IF(N160="základní",J160,0)</f>
        <v>0</v>
      </c>
      <c r="BF160" s="231">
        <f>IF(N160="snížená",J160,0)</f>
        <v>0</v>
      </c>
      <c r="BG160" s="231">
        <f>IF(N160="zákl. přenesená",J160,0)</f>
        <v>0</v>
      </c>
      <c r="BH160" s="231">
        <f>IF(N160="sníž. přenesená",J160,0)</f>
        <v>0</v>
      </c>
      <c r="BI160" s="231">
        <f>IF(N160="nulová",J160,0)</f>
        <v>0</v>
      </c>
      <c r="BJ160" s="16" t="s">
        <v>8</v>
      </c>
      <c r="BK160" s="231">
        <f>ROUND(I160*H160,0)</f>
        <v>0</v>
      </c>
      <c r="BL160" s="16" t="s">
        <v>163</v>
      </c>
      <c r="BM160" s="230" t="s">
        <v>2217</v>
      </c>
    </row>
    <row r="161" s="2" customFormat="1" ht="37.8" customHeight="1">
      <c r="A161" s="37"/>
      <c r="B161" s="38"/>
      <c r="C161" s="218" t="s">
        <v>256</v>
      </c>
      <c r="D161" s="218" t="s">
        <v>159</v>
      </c>
      <c r="E161" s="219" t="s">
        <v>168</v>
      </c>
      <c r="F161" s="220" t="s">
        <v>169</v>
      </c>
      <c r="G161" s="221" t="s">
        <v>162</v>
      </c>
      <c r="H161" s="222">
        <v>767.01099999999997</v>
      </c>
      <c r="I161" s="223"/>
      <c r="J161" s="224">
        <f>ROUND(I161*H161,0)</f>
        <v>0</v>
      </c>
      <c r="K161" s="225"/>
      <c r="L161" s="43"/>
      <c r="M161" s="226" t="s">
        <v>1</v>
      </c>
      <c r="N161" s="227" t="s">
        <v>42</v>
      </c>
      <c r="O161" s="90"/>
      <c r="P161" s="228">
        <f>O161*H161</f>
        <v>0</v>
      </c>
      <c r="Q161" s="228">
        <v>0</v>
      </c>
      <c r="R161" s="228">
        <f>Q161*H161</f>
        <v>0</v>
      </c>
      <c r="S161" s="228">
        <v>0</v>
      </c>
      <c r="T161" s="229">
        <f>S161*H161</f>
        <v>0</v>
      </c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R161" s="230" t="s">
        <v>163</v>
      </c>
      <c r="AT161" s="230" t="s">
        <v>159</v>
      </c>
      <c r="AU161" s="230" t="s">
        <v>86</v>
      </c>
      <c r="AY161" s="16" t="s">
        <v>157</v>
      </c>
      <c r="BE161" s="231">
        <f>IF(N161="základní",J161,0)</f>
        <v>0</v>
      </c>
      <c r="BF161" s="231">
        <f>IF(N161="snížená",J161,0)</f>
        <v>0</v>
      </c>
      <c r="BG161" s="231">
        <f>IF(N161="zákl. přenesená",J161,0)</f>
        <v>0</v>
      </c>
      <c r="BH161" s="231">
        <f>IF(N161="sníž. přenesená",J161,0)</f>
        <v>0</v>
      </c>
      <c r="BI161" s="231">
        <f>IF(N161="nulová",J161,0)</f>
        <v>0</v>
      </c>
      <c r="BJ161" s="16" t="s">
        <v>8</v>
      </c>
      <c r="BK161" s="231">
        <f>ROUND(I161*H161,0)</f>
        <v>0</v>
      </c>
      <c r="BL161" s="16" t="s">
        <v>163</v>
      </c>
      <c r="BM161" s="230" t="s">
        <v>2218</v>
      </c>
    </row>
    <row r="162" s="13" customFormat="1">
      <c r="A162" s="13"/>
      <c r="B162" s="232"/>
      <c r="C162" s="233"/>
      <c r="D162" s="234" t="s">
        <v>165</v>
      </c>
      <c r="E162" s="235" t="s">
        <v>1</v>
      </c>
      <c r="F162" s="236" t="s">
        <v>2219</v>
      </c>
      <c r="G162" s="233"/>
      <c r="H162" s="237">
        <v>767.01099999999997</v>
      </c>
      <c r="I162" s="238"/>
      <c r="J162" s="233"/>
      <c r="K162" s="233"/>
      <c r="L162" s="239"/>
      <c r="M162" s="240"/>
      <c r="N162" s="241"/>
      <c r="O162" s="241"/>
      <c r="P162" s="241"/>
      <c r="Q162" s="241"/>
      <c r="R162" s="241"/>
      <c r="S162" s="241"/>
      <c r="T162" s="24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T162" s="243" t="s">
        <v>165</v>
      </c>
      <c r="AU162" s="243" t="s">
        <v>86</v>
      </c>
      <c r="AV162" s="13" t="s">
        <v>86</v>
      </c>
      <c r="AW162" s="13" t="s">
        <v>32</v>
      </c>
      <c r="AX162" s="13" t="s">
        <v>77</v>
      </c>
      <c r="AY162" s="243" t="s">
        <v>157</v>
      </c>
    </row>
    <row r="163" s="2" customFormat="1" ht="37.8" customHeight="1">
      <c r="A163" s="37"/>
      <c r="B163" s="38"/>
      <c r="C163" s="218" t="s">
        <v>260</v>
      </c>
      <c r="D163" s="218" t="s">
        <v>159</v>
      </c>
      <c r="E163" s="219" t="s">
        <v>177</v>
      </c>
      <c r="F163" s="220" t="s">
        <v>178</v>
      </c>
      <c r="G163" s="221" t="s">
        <v>162</v>
      </c>
      <c r="H163" s="222">
        <v>11162.427</v>
      </c>
      <c r="I163" s="223"/>
      <c r="J163" s="224">
        <f>ROUND(I163*H163,0)</f>
        <v>0</v>
      </c>
      <c r="K163" s="225"/>
      <c r="L163" s="43"/>
      <c r="M163" s="226" t="s">
        <v>1</v>
      </c>
      <c r="N163" s="227" t="s">
        <v>42</v>
      </c>
      <c r="O163" s="90"/>
      <c r="P163" s="228">
        <f>O163*H163</f>
        <v>0</v>
      </c>
      <c r="Q163" s="228">
        <v>0</v>
      </c>
      <c r="R163" s="228">
        <f>Q163*H163</f>
        <v>0</v>
      </c>
      <c r="S163" s="228">
        <v>0</v>
      </c>
      <c r="T163" s="229">
        <f>S163*H163</f>
        <v>0</v>
      </c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R163" s="230" t="s">
        <v>163</v>
      </c>
      <c r="AT163" s="230" t="s">
        <v>159</v>
      </c>
      <c r="AU163" s="230" t="s">
        <v>86</v>
      </c>
      <c r="AY163" s="16" t="s">
        <v>157</v>
      </c>
      <c r="BE163" s="231">
        <f>IF(N163="základní",J163,0)</f>
        <v>0</v>
      </c>
      <c r="BF163" s="231">
        <f>IF(N163="snížená",J163,0)</f>
        <v>0</v>
      </c>
      <c r="BG163" s="231">
        <f>IF(N163="zákl. přenesená",J163,0)</f>
        <v>0</v>
      </c>
      <c r="BH163" s="231">
        <f>IF(N163="sníž. přenesená",J163,0)</f>
        <v>0</v>
      </c>
      <c r="BI163" s="231">
        <f>IF(N163="nulová",J163,0)</f>
        <v>0</v>
      </c>
      <c r="BJ163" s="16" t="s">
        <v>8</v>
      </c>
      <c r="BK163" s="231">
        <f>ROUND(I163*H163,0)</f>
        <v>0</v>
      </c>
      <c r="BL163" s="16" t="s">
        <v>163</v>
      </c>
      <c r="BM163" s="230" t="s">
        <v>2220</v>
      </c>
    </row>
    <row r="164" s="13" customFormat="1">
      <c r="A164" s="13"/>
      <c r="B164" s="232"/>
      <c r="C164" s="233"/>
      <c r="D164" s="234" t="s">
        <v>165</v>
      </c>
      <c r="E164" s="235" t="s">
        <v>1</v>
      </c>
      <c r="F164" s="236" t="s">
        <v>2221</v>
      </c>
      <c r="G164" s="233"/>
      <c r="H164" s="237">
        <v>336.98700000000002</v>
      </c>
      <c r="I164" s="238"/>
      <c r="J164" s="233"/>
      <c r="K164" s="233"/>
      <c r="L164" s="239"/>
      <c r="M164" s="240"/>
      <c r="N164" s="241"/>
      <c r="O164" s="241"/>
      <c r="P164" s="241"/>
      <c r="Q164" s="241"/>
      <c r="R164" s="241"/>
      <c r="S164" s="241"/>
      <c r="T164" s="242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T164" s="243" t="s">
        <v>165</v>
      </c>
      <c r="AU164" s="243" t="s">
        <v>86</v>
      </c>
      <c r="AV164" s="13" t="s">
        <v>86</v>
      </c>
      <c r="AW164" s="13" t="s">
        <v>32</v>
      </c>
      <c r="AX164" s="13" t="s">
        <v>77</v>
      </c>
      <c r="AY164" s="243" t="s">
        <v>157</v>
      </c>
    </row>
    <row r="165" s="13" customFormat="1">
      <c r="A165" s="13"/>
      <c r="B165" s="232"/>
      <c r="C165" s="233"/>
      <c r="D165" s="234" t="s">
        <v>165</v>
      </c>
      <c r="E165" s="235" t="s">
        <v>1</v>
      </c>
      <c r="F165" s="236" t="s">
        <v>2222</v>
      </c>
      <c r="G165" s="233"/>
      <c r="H165" s="237">
        <v>11592.450999999999</v>
      </c>
      <c r="I165" s="238"/>
      <c r="J165" s="233"/>
      <c r="K165" s="233"/>
      <c r="L165" s="239"/>
      <c r="M165" s="240"/>
      <c r="N165" s="241"/>
      <c r="O165" s="241"/>
      <c r="P165" s="241"/>
      <c r="Q165" s="241"/>
      <c r="R165" s="241"/>
      <c r="S165" s="241"/>
      <c r="T165" s="24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T165" s="243" t="s">
        <v>165</v>
      </c>
      <c r="AU165" s="243" t="s">
        <v>86</v>
      </c>
      <c r="AV165" s="13" t="s">
        <v>86</v>
      </c>
      <c r="AW165" s="13" t="s">
        <v>32</v>
      </c>
      <c r="AX165" s="13" t="s">
        <v>77</v>
      </c>
      <c r="AY165" s="243" t="s">
        <v>157</v>
      </c>
    </row>
    <row r="166" s="13" customFormat="1">
      <c r="A166" s="13"/>
      <c r="B166" s="232"/>
      <c r="C166" s="233"/>
      <c r="D166" s="234" t="s">
        <v>165</v>
      </c>
      <c r="E166" s="235" t="s">
        <v>1</v>
      </c>
      <c r="F166" s="236" t="s">
        <v>2223</v>
      </c>
      <c r="G166" s="233"/>
      <c r="H166" s="237">
        <v>-767.01099999999997</v>
      </c>
      <c r="I166" s="238"/>
      <c r="J166" s="233"/>
      <c r="K166" s="233"/>
      <c r="L166" s="239"/>
      <c r="M166" s="240"/>
      <c r="N166" s="241"/>
      <c r="O166" s="241"/>
      <c r="P166" s="241"/>
      <c r="Q166" s="241"/>
      <c r="R166" s="241"/>
      <c r="S166" s="241"/>
      <c r="T166" s="242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T166" s="243" t="s">
        <v>165</v>
      </c>
      <c r="AU166" s="243" t="s">
        <v>86</v>
      </c>
      <c r="AV166" s="13" t="s">
        <v>86</v>
      </c>
      <c r="AW166" s="13" t="s">
        <v>32</v>
      </c>
      <c r="AX166" s="13" t="s">
        <v>77</v>
      </c>
      <c r="AY166" s="243" t="s">
        <v>157</v>
      </c>
    </row>
    <row r="167" s="2" customFormat="1" ht="37.8" customHeight="1">
      <c r="A167" s="37"/>
      <c r="B167" s="38"/>
      <c r="C167" s="218" t="s">
        <v>265</v>
      </c>
      <c r="D167" s="218" t="s">
        <v>159</v>
      </c>
      <c r="E167" s="219" t="s">
        <v>181</v>
      </c>
      <c r="F167" s="220" t="s">
        <v>182</v>
      </c>
      <c r="G167" s="221" t="s">
        <v>162</v>
      </c>
      <c r="H167" s="222">
        <v>193131.12899999999</v>
      </c>
      <c r="I167" s="223"/>
      <c r="J167" s="224">
        <f>ROUND(I167*H167,0)</f>
        <v>0</v>
      </c>
      <c r="K167" s="225"/>
      <c r="L167" s="43"/>
      <c r="M167" s="226" t="s">
        <v>1</v>
      </c>
      <c r="N167" s="227" t="s">
        <v>42</v>
      </c>
      <c r="O167" s="90"/>
      <c r="P167" s="228">
        <f>O167*H167</f>
        <v>0</v>
      </c>
      <c r="Q167" s="228">
        <v>0</v>
      </c>
      <c r="R167" s="228">
        <f>Q167*H167</f>
        <v>0</v>
      </c>
      <c r="S167" s="228">
        <v>0</v>
      </c>
      <c r="T167" s="229">
        <f>S167*H167</f>
        <v>0</v>
      </c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R167" s="230" t="s">
        <v>163</v>
      </c>
      <c r="AT167" s="230" t="s">
        <v>159</v>
      </c>
      <c r="AU167" s="230" t="s">
        <v>86</v>
      </c>
      <c r="AY167" s="16" t="s">
        <v>157</v>
      </c>
      <c r="BE167" s="231">
        <f>IF(N167="základní",J167,0)</f>
        <v>0</v>
      </c>
      <c r="BF167" s="231">
        <f>IF(N167="snížená",J167,0)</f>
        <v>0</v>
      </c>
      <c r="BG167" s="231">
        <f>IF(N167="zákl. přenesená",J167,0)</f>
        <v>0</v>
      </c>
      <c r="BH167" s="231">
        <f>IF(N167="sníž. přenesená",J167,0)</f>
        <v>0</v>
      </c>
      <c r="BI167" s="231">
        <f>IF(N167="nulová",J167,0)</f>
        <v>0</v>
      </c>
      <c r="BJ167" s="16" t="s">
        <v>8</v>
      </c>
      <c r="BK167" s="231">
        <f>ROUND(I167*H167,0)</f>
        <v>0</v>
      </c>
      <c r="BL167" s="16" t="s">
        <v>163</v>
      </c>
      <c r="BM167" s="230" t="s">
        <v>2224</v>
      </c>
    </row>
    <row r="168" s="13" customFormat="1">
      <c r="A168" s="13"/>
      <c r="B168" s="232"/>
      <c r="C168" s="233"/>
      <c r="D168" s="234" t="s">
        <v>165</v>
      </c>
      <c r="E168" s="235" t="s">
        <v>1</v>
      </c>
      <c r="F168" s="236" t="s">
        <v>2225</v>
      </c>
      <c r="G168" s="233"/>
      <c r="H168" s="237">
        <v>3369.8699999999999</v>
      </c>
      <c r="I168" s="238"/>
      <c r="J168" s="233"/>
      <c r="K168" s="233"/>
      <c r="L168" s="239"/>
      <c r="M168" s="240"/>
      <c r="N168" s="241"/>
      <c r="O168" s="241"/>
      <c r="P168" s="241"/>
      <c r="Q168" s="241"/>
      <c r="R168" s="241"/>
      <c r="S168" s="241"/>
      <c r="T168" s="242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T168" s="243" t="s">
        <v>165</v>
      </c>
      <c r="AU168" s="243" t="s">
        <v>86</v>
      </c>
      <c r="AV168" s="13" t="s">
        <v>86</v>
      </c>
      <c r="AW168" s="13" t="s">
        <v>32</v>
      </c>
      <c r="AX168" s="13" t="s">
        <v>77</v>
      </c>
      <c r="AY168" s="243" t="s">
        <v>157</v>
      </c>
    </row>
    <row r="169" s="13" customFormat="1">
      <c r="A169" s="13"/>
      <c r="B169" s="232"/>
      <c r="C169" s="233"/>
      <c r="D169" s="234" t="s">
        <v>165</v>
      </c>
      <c r="E169" s="235" t="s">
        <v>1</v>
      </c>
      <c r="F169" s="236" t="s">
        <v>2226</v>
      </c>
      <c r="G169" s="233"/>
      <c r="H169" s="237">
        <v>189761.25899999999</v>
      </c>
      <c r="I169" s="238"/>
      <c r="J169" s="233"/>
      <c r="K169" s="233"/>
      <c r="L169" s="239"/>
      <c r="M169" s="240"/>
      <c r="N169" s="241"/>
      <c r="O169" s="241"/>
      <c r="P169" s="241"/>
      <c r="Q169" s="241"/>
      <c r="R169" s="241"/>
      <c r="S169" s="241"/>
      <c r="T169" s="242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T169" s="243" t="s">
        <v>165</v>
      </c>
      <c r="AU169" s="243" t="s">
        <v>86</v>
      </c>
      <c r="AV169" s="13" t="s">
        <v>86</v>
      </c>
      <c r="AW169" s="13" t="s">
        <v>32</v>
      </c>
      <c r="AX169" s="13" t="s">
        <v>77</v>
      </c>
      <c r="AY169" s="243" t="s">
        <v>157</v>
      </c>
    </row>
    <row r="170" s="2" customFormat="1" ht="24.15" customHeight="1">
      <c r="A170" s="37"/>
      <c r="B170" s="38"/>
      <c r="C170" s="218" t="s">
        <v>7</v>
      </c>
      <c r="D170" s="218" t="s">
        <v>159</v>
      </c>
      <c r="E170" s="219" t="s">
        <v>186</v>
      </c>
      <c r="F170" s="220" t="s">
        <v>187</v>
      </c>
      <c r="G170" s="221" t="s">
        <v>162</v>
      </c>
      <c r="H170" s="222">
        <v>1095.73</v>
      </c>
      <c r="I170" s="223"/>
      <c r="J170" s="224">
        <f>ROUND(I170*H170,0)</f>
        <v>0</v>
      </c>
      <c r="K170" s="225"/>
      <c r="L170" s="43"/>
      <c r="M170" s="226" t="s">
        <v>1</v>
      </c>
      <c r="N170" s="227" t="s">
        <v>42</v>
      </c>
      <c r="O170" s="90"/>
      <c r="P170" s="228">
        <f>O170*H170</f>
        <v>0</v>
      </c>
      <c r="Q170" s="228">
        <v>0</v>
      </c>
      <c r="R170" s="228">
        <f>Q170*H170</f>
        <v>0</v>
      </c>
      <c r="S170" s="228">
        <v>0</v>
      </c>
      <c r="T170" s="229">
        <f>S170*H170</f>
        <v>0</v>
      </c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R170" s="230" t="s">
        <v>163</v>
      </c>
      <c r="AT170" s="230" t="s">
        <v>159</v>
      </c>
      <c r="AU170" s="230" t="s">
        <v>86</v>
      </c>
      <c r="AY170" s="16" t="s">
        <v>157</v>
      </c>
      <c r="BE170" s="231">
        <f>IF(N170="základní",J170,0)</f>
        <v>0</v>
      </c>
      <c r="BF170" s="231">
        <f>IF(N170="snížená",J170,0)</f>
        <v>0</v>
      </c>
      <c r="BG170" s="231">
        <f>IF(N170="zákl. přenesená",J170,0)</f>
        <v>0</v>
      </c>
      <c r="BH170" s="231">
        <f>IF(N170="sníž. přenesená",J170,0)</f>
        <v>0</v>
      </c>
      <c r="BI170" s="231">
        <f>IF(N170="nulová",J170,0)</f>
        <v>0</v>
      </c>
      <c r="BJ170" s="16" t="s">
        <v>8</v>
      </c>
      <c r="BK170" s="231">
        <f>ROUND(I170*H170,0)</f>
        <v>0</v>
      </c>
      <c r="BL170" s="16" t="s">
        <v>163</v>
      </c>
      <c r="BM170" s="230" t="s">
        <v>2227</v>
      </c>
    </row>
    <row r="171" s="13" customFormat="1">
      <c r="A171" s="13"/>
      <c r="B171" s="232"/>
      <c r="C171" s="233"/>
      <c r="D171" s="234" t="s">
        <v>165</v>
      </c>
      <c r="E171" s="235" t="s">
        <v>1</v>
      </c>
      <c r="F171" s="236" t="s">
        <v>2228</v>
      </c>
      <c r="G171" s="233"/>
      <c r="H171" s="237">
        <v>1095.73</v>
      </c>
      <c r="I171" s="238"/>
      <c r="J171" s="233"/>
      <c r="K171" s="233"/>
      <c r="L171" s="239"/>
      <c r="M171" s="240"/>
      <c r="N171" s="241"/>
      <c r="O171" s="241"/>
      <c r="P171" s="241"/>
      <c r="Q171" s="241"/>
      <c r="R171" s="241"/>
      <c r="S171" s="241"/>
      <c r="T171" s="242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T171" s="243" t="s">
        <v>165</v>
      </c>
      <c r="AU171" s="243" t="s">
        <v>86</v>
      </c>
      <c r="AV171" s="13" t="s">
        <v>86</v>
      </c>
      <c r="AW171" s="13" t="s">
        <v>32</v>
      </c>
      <c r="AX171" s="13" t="s">
        <v>77</v>
      </c>
      <c r="AY171" s="243" t="s">
        <v>157</v>
      </c>
    </row>
    <row r="172" s="2" customFormat="1" ht="33" customHeight="1">
      <c r="A172" s="37"/>
      <c r="B172" s="38"/>
      <c r="C172" s="218" t="s">
        <v>278</v>
      </c>
      <c r="D172" s="218" t="s">
        <v>159</v>
      </c>
      <c r="E172" s="219" t="s">
        <v>191</v>
      </c>
      <c r="F172" s="220" t="s">
        <v>192</v>
      </c>
      <c r="G172" s="221" t="s">
        <v>193</v>
      </c>
      <c r="H172" s="222">
        <v>19534.246999999999</v>
      </c>
      <c r="I172" s="223"/>
      <c r="J172" s="224">
        <f>ROUND(I172*H172,0)</f>
        <v>0</v>
      </c>
      <c r="K172" s="225"/>
      <c r="L172" s="43"/>
      <c r="M172" s="226" t="s">
        <v>1</v>
      </c>
      <c r="N172" s="227" t="s">
        <v>42</v>
      </c>
      <c r="O172" s="90"/>
      <c r="P172" s="228">
        <f>O172*H172</f>
        <v>0</v>
      </c>
      <c r="Q172" s="228">
        <v>0</v>
      </c>
      <c r="R172" s="228">
        <f>Q172*H172</f>
        <v>0</v>
      </c>
      <c r="S172" s="228">
        <v>0</v>
      </c>
      <c r="T172" s="229">
        <f>S172*H172</f>
        <v>0</v>
      </c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R172" s="230" t="s">
        <v>163</v>
      </c>
      <c r="AT172" s="230" t="s">
        <v>159</v>
      </c>
      <c r="AU172" s="230" t="s">
        <v>86</v>
      </c>
      <c r="AY172" s="16" t="s">
        <v>157</v>
      </c>
      <c r="BE172" s="231">
        <f>IF(N172="základní",J172,0)</f>
        <v>0</v>
      </c>
      <c r="BF172" s="231">
        <f>IF(N172="snížená",J172,0)</f>
        <v>0</v>
      </c>
      <c r="BG172" s="231">
        <f>IF(N172="zákl. přenesená",J172,0)</f>
        <v>0</v>
      </c>
      <c r="BH172" s="231">
        <f>IF(N172="sníž. přenesená",J172,0)</f>
        <v>0</v>
      </c>
      <c r="BI172" s="231">
        <f>IF(N172="nulová",J172,0)</f>
        <v>0</v>
      </c>
      <c r="BJ172" s="16" t="s">
        <v>8</v>
      </c>
      <c r="BK172" s="231">
        <f>ROUND(I172*H172,0)</f>
        <v>0</v>
      </c>
      <c r="BL172" s="16" t="s">
        <v>163</v>
      </c>
      <c r="BM172" s="230" t="s">
        <v>2229</v>
      </c>
    </row>
    <row r="173" s="13" customFormat="1">
      <c r="A173" s="13"/>
      <c r="B173" s="232"/>
      <c r="C173" s="233"/>
      <c r="D173" s="234" t="s">
        <v>165</v>
      </c>
      <c r="E173" s="235" t="s">
        <v>1</v>
      </c>
      <c r="F173" s="236" t="s">
        <v>2230</v>
      </c>
      <c r="G173" s="233"/>
      <c r="H173" s="237">
        <v>19534.246999999999</v>
      </c>
      <c r="I173" s="238"/>
      <c r="J173" s="233"/>
      <c r="K173" s="233"/>
      <c r="L173" s="239"/>
      <c r="M173" s="240"/>
      <c r="N173" s="241"/>
      <c r="O173" s="241"/>
      <c r="P173" s="241"/>
      <c r="Q173" s="241"/>
      <c r="R173" s="241"/>
      <c r="S173" s="241"/>
      <c r="T173" s="24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T173" s="243" t="s">
        <v>165</v>
      </c>
      <c r="AU173" s="243" t="s">
        <v>86</v>
      </c>
      <c r="AV173" s="13" t="s">
        <v>86</v>
      </c>
      <c r="AW173" s="13" t="s">
        <v>32</v>
      </c>
      <c r="AX173" s="13" t="s">
        <v>77</v>
      </c>
      <c r="AY173" s="243" t="s">
        <v>157</v>
      </c>
    </row>
    <row r="174" s="2" customFormat="1" ht="16.5" customHeight="1">
      <c r="A174" s="37"/>
      <c r="B174" s="38"/>
      <c r="C174" s="218" t="s">
        <v>282</v>
      </c>
      <c r="D174" s="218" t="s">
        <v>159</v>
      </c>
      <c r="E174" s="219" t="s">
        <v>197</v>
      </c>
      <c r="F174" s="220" t="s">
        <v>198</v>
      </c>
      <c r="G174" s="221" t="s">
        <v>162</v>
      </c>
      <c r="H174" s="222">
        <v>11162.427</v>
      </c>
      <c r="I174" s="223"/>
      <c r="J174" s="224">
        <f>ROUND(I174*H174,0)</f>
        <v>0</v>
      </c>
      <c r="K174" s="225"/>
      <c r="L174" s="43"/>
      <c r="M174" s="226" t="s">
        <v>1</v>
      </c>
      <c r="N174" s="227" t="s">
        <v>42</v>
      </c>
      <c r="O174" s="90"/>
      <c r="P174" s="228">
        <f>O174*H174</f>
        <v>0</v>
      </c>
      <c r="Q174" s="228">
        <v>0</v>
      </c>
      <c r="R174" s="228">
        <f>Q174*H174</f>
        <v>0</v>
      </c>
      <c r="S174" s="228">
        <v>0</v>
      </c>
      <c r="T174" s="229">
        <f>S174*H174</f>
        <v>0</v>
      </c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R174" s="230" t="s">
        <v>163</v>
      </c>
      <c r="AT174" s="230" t="s">
        <v>159</v>
      </c>
      <c r="AU174" s="230" t="s">
        <v>86</v>
      </c>
      <c r="AY174" s="16" t="s">
        <v>157</v>
      </c>
      <c r="BE174" s="231">
        <f>IF(N174="základní",J174,0)</f>
        <v>0</v>
      </c>
      <c r="BF174" s="231">
        <f>IF(N174="snížená",J174,0)</f>
        <v>0</v>
      </c>
      <c r="BG174" s="231">
        <f>IF(N174="zákl. přenesená",J174,0)</f>
        <v>0</v>
      </c>
      <c r="BH174" s="231">
        <f>IF(N174="sníž. přenesená",J174,0)</f>
        <v>0</v>
      </c>
      <c r="BI174" s="231">
        <f>IF(N174="nulová",J174,0)</f>
        <v>0</v>
      </c>
      <c r="BJ174" s="16" t="s">
        <v>8</v>
      </c>
      <c r="BK174" s="231">
        <f>ROUND(I174*H174,0)</f>
        <v>0</v>
      </c>
      <c r="BL174" s="16" t="s">
        <v>163</v>
      </c>
      <c r="BM174" s="230" t="s">
        <v>2231</v>
      </c>
    </row>
    <row r="175" s="2" customFormat="1" ht="24.15" customHeight="1">
      <c r="A175" s="37"/>
      <c r="B175" s="38"/>
      <c r="C175" s="218" t="s">
        <v>288</v>
      </c>
      <c r="D175" s="218" t="s">
        <v>159</v>
      </c>
      <c r="E175" s="219" t="s">
        <v>201</v>
      </c>
      <c r="F175" s="220" t="s">
        <v>202</v>
      </c>
      <c r="G175" s="221" t="s">
        <v>162</v>
      </c>
      <c r="H175" s="222">
        <v>55.649999999999999</v>
      </c>
      <c r="I175" s="223"/>
      <c r="J175" s="224">
        <f>ROUND(I175*H175,0)</f>
        <v>0</v>
      </c>
      <c r="K175" s="225"/>
      <c r="L175" s="43"/>
      <c r="M175" s="226" t="s">
        <v>1</v>
      </c>
      <c r="N175" s="227" t="s">
        <v>42</v>
      </c>
      <c r="O175" s="90"/>
      <c r="P175" s="228">
        <f>O175*H175</f>
        <v>0</v>
      </c>
      <c r="Q175" s="228">
        <v>0</v>
      </c>
      <c r="R175" s="228">
        <f>Q175*H175</f>
        <v>0</v>
      </c>
      <c r="S175" s="228">
        <v>0</v>
      </c>
      <c r="T175" s="229">
        <f>S175*H175</f>
        <v>0</v>
      </c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R175" s="230" t="s">
        <v>163</v>
      </c>
      <c r="AT175" s="230" t="s">
        <v>159</v>
      </c>
      <c r="AU175" s="230" t="s">
        <v>86</v>
      </c>
      <c r="AY175" s="16" t="s">
        <v>157</v>
      </c>
      <c r="BE175" s="231">
        <f>IF(N175="základní",J175,0)</f>
        <v>0</v>
      </c>
      <c r="BF175" s="231">
        <f>IF(N175="snížená",J175,0)</f>
        <v>0</v>
      </c>
      <c r="BG175" s="231">
        <f>IF(N175="zákl. přenesená",J175,0)</f>
        <v>0</v>
      </c>
      <c r="BH175" s="231">
        <f>IF(N175="sníž. přenesená",J175,0)</f>
        <v>0</v>
      </c>
      <c r="BI175" s="231">
        <f>IF(N175="nulová",J175,0)</f>
        <v>0</v>
      </c>
      <c r="BJ175" s="16" t="s">
        <v>8</v>
      </c>
      <c r="BK175" s="231">
        <f>ROUND(I175*H175,0)</f>
        <v>0</v>
      </c>
      <c r="BL175" s="16" t="s">
        <v>163</v>
      </c>
      <c r="BM175" s="230" t="s">
        <v>2232</v>
      </c>
    </row>
    <row r="176" s="13" customFormat="1">
      <c r="A176" s="13"/>
      <c r="B176" s="232"/>
      <c r="C176" s="233"/>
      <c r="D176" s="234" t="s">
        <v>165</v>
      </c>
      <c r="E176" s="235" t="s">
        <v>1</v>
      </c>
      <c r="F176" s="236" t="s">
        <v>2233</v>
      </c>
      <c r="G176" s="233"/>
      <c r="H176" s="237">
        <v>55.649999999999999</v>
      </c>
      <c r="I176" s="238"/>
      <c r="J176" s="233"/>
      <c r="K176" s="233"/>
      <c r="L176" s="239"/>
      <c r="M176" s="240"/>
      <c r="N176" s="241"/>
      <c r="O176" s="241"/>
      <c r="P176" s="241"/>
      <c r="Q176" s="241"/>
      <c r="R176" s="241"/>
      <c r="S176" s="241"/>
      <c r="T176" s="242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T176" s="243" t="s">
        <v>165</v>
      </c>
      <c r="AU176" s="243" t="s">
        <v>86</v>
      </c>
      <c r="AV176" s="13" t="s">
        <v>86</v>
      </c>
      <c r="AW176" s="13" t="s">
        <v>32</v>
      </c>
      <c r="AX176" s="13" t="s">
        <v>77</v>
      </c>
      <c r="AY176" s="243" t="s">
        <v>157</v>
      </c>
    </row>
    <row r="177" s="2" customFormat="1" ht="33" customHeight="1">
      <c r="A177" s="37"/>
      <c r="B177" s="38"/>
      <c r="C177" s="218" t="s">
        <v>293</v>
      </c>
      <c r="D177" s="218" t="s">
        <v>159</v>
      </c>
      <c r="E177" s="219" t="s">
        <v>2234</v>
      </c>
      <c r="F177" s="220" t="s">
        <v>2235</v>
      </c>
      <c r="G177" s="221" t="s">
        <v>162</v>
      </c>
      <c r="H177" s="222">
        <v>71.798000000000002</v>
      </c>
      <c r="I177" s="223"/>
      <c r="J177" s="224">
        <f>ROUND(I177*H177,0)</f>
        <v>0</v>
      </c>
      <c r="K177" s="225"/>
      <c r="L177" s="43"/>
      <c r="M177" s="226" t="s">
        <v>1</v>
      </c>
      <c r="N177" s="227" t="s">
        <v>42</v>
      </c>
      <c r="O177" s="90"/>
      <c r="P177" s="228">
        <f>O177*H177</f>
        <v>0</v>
      </c>
      <c r="Q177" s="228">
        <v>0</v>
      </c>
      <c r="R177" s="228">
        <f>Q177*H177</f>
        <v>0</v>
      </c>
      <c r="S177" s="228">
        <v>0</v>
      </c>
      <c r="T177" s="229">
        <f>S177*H177</f>
        <v>0</v>
      </c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R177" s="230" t="s">
        <v>163</v>
      </c>
      <c r="AT177" s="230" t="s">
        <v>159</v>
      </c>
      <c r="AU177" s="230" t="s">
        <v>86</v>
      </c>
      <c r="AY177" s="16" t="s">
        <v>157</v>
      </c>
      <c r="BE177" s="231">
        <f>IF(N177="základní",J177,0)</f>
        <v>0</v>
      </c>
      <c r="BF177" s="231">
        <f>IF(N177="snížená",J177,0)</f>
        <v>0</v>
      </c>
      <c r="BG177" s="231">
        <f>IF(N177="zákl. přenesená",J177,0)</f>
        <v>0</v>
      </c>
      <c r="BH177" s="231">
        <f>IF(N177="sníž. přenesená",J177,0)</f>
        <v>0</v>
      </c>
      <c r="BI177" s="231">
        <f>IF(N177="nulová",J177,0)</f>
        <v>0</v>
      </c>
      <c r="BJ177" s="16" t="s">
        <v>8</v>
      </c>
      <c r="BK177" s="231">
        <f>ROUND(I177*H177,0)</f>
        <v>0</v>
      </c>
      <c r="BL177" s="16" t="s">
        <v>163</v>
      </c>
      <c r="BM177" s="230" t="s">
        <v>2236</v>
      </c>
    </row>
    <row r="178" s="13" customFormat="1">
      <c r="A178" s="13"/>
      <c r="B178" s="232"/>
      <c r="C178" s="233"/>
      <c r="D178" s="234" t="s">
        <v>165</v>
      </c>
      <c r="E178" s="235" t="s">
        <v>1</v>
      </c>
      <c r="F178" s="236" t="s">
        <v>2237</v>
      </c>
      <c r="G178" s="233"/>
      <c r="H178" s="237">
        <v>71.798000000000002</v>
      </c>
      <c r="I178" s="238"/>
      <c r="J178" s="233"/>
      <c r="K178" s="233"/>
      <c r="L178" s="239"/>
      <c r="M178" s="240"/>
      <c r="N178" s="241"/>
      <c r="O178" s="241"/>
      <c r="P178" s="241"/>
      <c r="Q178" s="241"/>
      <c r="R178" s="241"/>
      <c r="S178" s="241"/>
      <c r="T178" s="24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T178" s="243" t="s">
        <v>165</v>
      </c>
      <c r="AU178" s="243" t="s">
        <v>86</v>
      </c>
      <c r="AV178" s="13" t="s">
        <v>86</v>
      </c>
      <c r="AW178" s="13" t="s">
        <v>32</v>
      </c>
      <c r="AX178" s="13" t="s">
        <v>77</v>
      </c>
      <c r="AY178" s="243" t="s">
        <v>157</v>
      </c>
    </row>
    <row r="179" s="2" customFormat="1" ht="24.15" customHeight="1">
      <c r="A179" s="37"/>
      <c r="B179" s="38"/>
      <c r="C179" s="218" t="s">
        <v>298</v>
      </c>
      <c r="D179" s="218" t="s">
        <v>159</v>
      </c>
      <c r="E179" s="219" t="s">
        <v>2238</v>
      </c>
      <c r="F179" s="220" t="s">
        <v>2239</v>
      </c>
      <c r="G179" s="221" t="s">
        <v>209</v>
      </c>
      <c r="H179" s="222">
        <v>21867.400000000001</v>
      </c>
      <c r="I179" s="223"/>
      <c r="J179" s="224">
        <f>ROUND(I179*H179,0)</f>
        <v>0</v>
      </c>
      <c r="K179" s="225"/>
      <c r="L179" s="43"/>
      <c r="M179" s="226" t="s">
        <v>1</v>
      </c>
      <c r="N179" s="227" t="s">
        <v>42</v>
      </c>
      <c r="O179" s="90"/>
      <c r="P179" s="228">
        <f>O179*H179</f>
        <v>0</v>
      </c>
      <c r="Q179" s="228">
        <v>0</v>
      </c>
      <c r="R179" s="228">
        <f>Q179*H179</f>
        <v>0</v>
      </c>
      <c r="S179" s="228">
        <v>0</v>
      </c>
      <c r="T179" s="229">
        <f>S179*H179</f>
        <v>0</v>
      </c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R179" s="230" t="s">
        <v>163</v>
      </c>
      <c r="AT179" s="230" t="s">
        <v>159</v>
      </c>
      <c r="AU179" s="230" t="s">
        <v>86</v>
      </c>
      <c r="AY179" s="16" t="s">
        <v>157</v>
      </c>
      <c r="BE179" s="231">
        <f>IF(N179="základní",J179,0)</f>
        <v>0</v>
      </c>
      <c r="BF179" s="231">
        <f>IF(N179="snížená",J179,0)</f>
        <v>0</v>
      </c>
      <c r="BG179" s="231">
        <f>IF(N179="zákl. přenesená",J179,0)</f>
        <v>0</v>
      </c>
      <c r="BH179" s="231">
        <f>IF(N179="sníž. přenesená",J179,0)</f>
        <v>0</v>
      </c>
      <c r="BI179" s="231">
        <f>IF(N179="nulová",J179,0)</f>
        <v>0</v>
      </c>
      <c r="BJ179" s="16" t="s">
        <v>8</v>
      </c>
      <c r="BK179" s="231">
        <f>ROUND(I179*H179,0)</f>
        <v>0</v>
      </c>
      <c r="BL179" s="16" t="s">
        <v>163</v>
      </c>
      <c r="BM179" s="230" t="s">
        <v>2240</v>
      </c>
    </row>
    <row r="180" s="13" customFormat="1">
      <c r="A180" s="13"/>
      <c r="B180" s="232"/>
      <c r="C180" s="233"/>
      <c r="D180" s="234" t="s">
        <v>165</v>
      </c>
      <c r="E180" s="235" t="s">
        <v>1</v>
      </c>
      <c r="F180" s="236" t="s">
        <v>2241</v>
      </c>
      <c r="G180" s="233"/>
      <c r="H180" s="237">
        <v>21867.400000000001</v>
      </c>
      <c r="I180" s="238"/>
      <c r="J180" s="233"/>
      <c r="K180" s="233"/>
      <c r="L180" s="239"/>
      <c r="M180" s="240"/>
      <c r="N180" s="241"/>
      <c r="O180" s="241"/>
      <c r="P180" s="241"/>
      <c r="Q180" s="241"/>
      <c r="R180" s="241"/>
      <c r="S180" s="241"/>
      <c r="T180" s="24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T180" s="243" t="s">
        <v>165</v>
      </c>
      <c r="AU180" s="243" t="s">
        <v>86</v>
      </c>
      <c r="AV180" s="13" t="s">
        <v>86</v>
      </c>
      <c r="AW180" s="13" t="s">
        <v>32</v>
      </c>
      <c r="AX180" s="13" t="s">
        <v>77</v>
      </c>
      <c r="AY180" s="243" t="s">
        <v>157</v>
      </c>
    </row>
    <row r="181" s="2" customFormat="1" ht="33" customHeight="1">
      <c r="A181" s="37"/>
      <c r="B181" s="38"/>
      <c r="C181" s="218" t="s">
        <v>304</v>
      </c>
      <c r="D181" s="218" t="s">
        <v>159</v>
      </c>
      <c r="E181" s="219" t="s">
        <v>2242</v>
      </c>
      <c r="F181" s="220" t="s">
        <v>2243</v>
      </c>
      <c r="G181" s="221" t="s">
        <v>209</v>
      </c>
      <c r="H181" s="222">
        <v>2191.46</v>
      </c>
      <c r="I181" s="223"/>
      <c r="J181" s="224">
        <f>ROUND(I181*H181,0)</f>
        <v>0</v>
      </c>
      <c r="K181" s="225"/>
      <c r="L181" s="43"/>
      <c r="M181" s="226" t="s">
        <v>1</v>
      </c>
      <c r="N181" s="227" t="s">
        <v>42</v>
      </c>
      <c r="O181" s="90"/>
      <c r="P181" s="228">
        <f>O181*H181</f>
        <v>0</v>
      </c>
      <c r="Q181" s="228">
        <v>0</v>
      </c>
      <c r="R181" s="228">
        <f>Q181*H181</f>
        <v>0</v>
      </c>
      <c r="S181" s="228">
        <v>0</v>
      </c>
      <c r="T181" s="229">
        <f>S181*H181</f>
        <v>0</v>
      </c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R181" s="230" t="s">
        <v>163</v>
      </c>
      <c r="AT181" s="230" t="s">
        <v>159</v>
      </c>
      <c r="AU181" s="230" t="s">
        <v>86</v>
      </c>
      <c r="AY181" s="16" t="s">
        <v>157</v>
      </c>
      <c r="BE181" s="231">
        <f>IF(N181="základní",J181,0)</f>
        <v>0</v>
      </c>
      <c r="BF181" s="231">
        <f>IF(N181="snížená",J181,0)</f>
        <v>0</v>
      </c>
      <c r="BG181" s="231">
        <f>IF(N181="zákl. přenesená",J181,0)</f>
        <v>0</v>
      </c>
      <c r="BH181" s="231">
        <f>IF(N181="sníž. přenesená",J181,0)</f>
        <v>0</v>
      </c>
      <c r="BI181" s="231">
        <f>IF(N181="nulová",J181,0)</f>
        <v>0</v>
      </c>
      <c r="BJ181" s="16" t="s">
        <v>8</v>
      </c>
      <c r="BK181" s="231">
        <f>ROUND(I181*H181,0)</f>
        <v>0</v>
      </c>
      <c r="BL181" s="16" t="s">
        <v>163</v>
      </c>
      <c r="BM181" s="230" t="s">
        <v>2244</v>
      </c>
    </row>
    <row r="182" s="13" customFormat="1">
      <c r="A182" s="13"/>
      <c r="B182" s="232"/>
      <c r="C182" s="233"/>
      <c r="D182" s="234" t="s">
        <v>165</v>
      </c>
      <c r="E182" s="235" t="s">
        <v>1</v>
      </c>
      <c r="F182" s="236" t="s">
        <v>2245</v>
      </c>
      <c r="G182" s="233"/>
      <c r="H182" s="237">
        <v>1699.6099999999999</v>
      </c>
      <c r="I182" s="238"/>
      <c r="J182" s="233"/>
      <c r="K182" s="233"/>
      <c r="L182" s="239"/>
      <c r="M182" s="240"/>
      <c r="N182" s="241"/>
      <c r="O182" s="241"/>
      <c r="P182" s="241"/>
      <c r="Q182" s="241"/>
      <c r="R182" s="241"/>
      <c r="S182" s="241"/>
      <c r="T182" s="24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T182" s="243" t="s">
        <v>165</v>
      </c>
      <c r="AU182" s="243" t="s">
        <v>86</v>
      </c>
      <c r="AV182" s="13" t="s">
        <v>86</v>
      </c>
      <c r="AW182" s="13" t="s">
        <v>32</v>
      </c>
      <c r="AX182" s="13" t="s">
        <v>77</v>
      </c>
      <c r="AY182" s="243" t="s">
        <v>157</v>
      </c>
    </row>
    <row r="183" s="13" customFormat="1">
      <c r="A183" s="13"/>
      <c r="B183" s="232"/>
      <c r="C183" s="233"/>
      <c r="D183" s="234" t="s">
        <v>165</v>
      </c>
      <c r="E183" s="235" t="s">
        <v>1</v>
      </c>
      <c r="F183" s="236" t="s">
        <v>2246</v>
      </c>
      <c r="G183" s="233"/>
      <c r="H183" s="237">
        <v>491.85000000000002</v>
      </c>
      <c r="I183" s="238"/>
      <c r="J183" s="233"/>
      <c r="K183" s="233"/>
      <c r="L183" s="239"/>
      <c r="M183" s="240"/>
      <c r="N183" s="241"/>
      <c r="O183" s="241"/>
      <c r="P183" s="241"/>
      <c r="Q183" s="241"/>
      <c r="R183" s="241"/>
      <c r="S183" s="241"/>
      <c r="T183" s="24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T183" s="243" t="s">
        <v>165</v>
      </c>
      <c r="AU183" s="243" t="s">
        <v>86</v>
      </c>
      <c r="AV183" s="13" t="s">
        <v>86</v>
      </c>
      <c r="AW183" s="13" t="s">
        <v>32</v>
      </c>
      <c r="AX183" s="13" t="s">
        <v>77</v>
      </c>
      <c r="AY183" s="243" t="s">
        <v>157</v>
      </c>
    </row>
    <row r="184" s="2" customFormat="1" ht="33" customHeight="1">
      <c r="A184" s="37"/>
      <c r="B184" s="38"/>
      <c r="C184" s="218" t="s">
        <v>310</v>
      </c>
      <c r="D184" s="218" t="s">
        <v>159</v>
      </c>
      <c r="E184" s="219" t="s">
        <v>2247</v>
      </c>
      <c r="F184" s="220" t="s">
        <v>2248</v>
      </c>
      <c r="G184" s="221" t="s">
        <v>209</v>
      </c>
      <c r="H184" s="222">
        <v>2191.46</v>
      </c>
      <c r="I184" s="223"/>
      <c r="J184" s="224">
        <f>ROUND(I184*H184,0)</f>
        <v>0</v>
      </c>
      <c r="K184" s="225"/>
      <c r="L184" s="43"/>
      <c r="M184" s="226" t="s">
        <v>1</v>
      </c>
      <c r="N184" s="227" t="s">
        <v>42</v>
      </c>
      <c r="O184" s="90"/>
      <c r="P184" s="228">
        <f>O184*H184</f>
        <v>0</v>
      </c>
      <c r="Q184" s="228">
        <v>0</v>
      </c>
      <c r="R184" s="228">
        <f>Q184*H184</f>
        <v>0</v>
      </c>
      <c r="S184" s="228">
        <v>0</v>
      </c>
      <c r="T184" s="229">
        <f>S184*H184</f>
        <v>0</v>
      </c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R184" s="230" t="s">
        <v>163</v>
      </c>
      <c r="AT184" s="230" t="s">
        <v>159</v>
      </c>
      <c r="AU184" s="230" t="s">
        <v>86</v>
      </c>
      <c r="AY184" s="16" t="s">
        <v>157</v>
      </c>
      <c r="BE184" s="231">
        <f>IF(N184="základní",J184,0)</f>
        <v>0</v>
      </c>
      <c r="BF184" s="231">
        <f>IF(N184="snížená",J184,0)</f>
        <v>0</v>
      </c>
      <c r="BG184" s="231">
        <f>IF(N184="zákl. přenesená",J184,0)</f>
        <v>0</v>
      </c>
      <c r="BH184" s="231">
        <f>IF(N184="sníž. přenesená",J184,0)</f>
        <v>0</v>
      </c>
      <c r="BI184" s="231">
        <f>IF(N184="nulová",J184,0)</f>
        <v>0</v>
      </c>
      <c r="BJ184" s="16" t="s">
        <v>8</v>
      </c>
      <c r="BK184" s="231">
        <f>ROUND(I184*H184,0)</f>
        <v>0</v>
      </c>
      <c r="BL184" s="16" t="s">
        <v>163</v>
      </c>
      <c r="BM184" s="230" t="s">
        <v>2249</v>
      </c>
    </row>
    <row r="185" s="14" customFormat="1">
      <c r="A185" s="14"/>
      <c r="B185" s="244"/>
      <c r="C185" s="245"/>
      <c r="D185" s="234" t="s">
        <v>165</v>
      </c>
      <c r="E185" s="246" t="s">
        <v>1</v>
      </c>
      <c r="F185" s="247" t="s">
        <v>2250</v>
      </c>
      <c r="G185" s="245"/>
      <c r="H185" s="246" t="s">
        <v>1</v>
      </c>
      <c r="I185" s="248"/>
      <c r="J185" s="245"/>
      <c r="K185" s="245"/>
      <c r="L185" s="249"/>
      <c r="M185" s="250"/>
      <c r="N185" s="251"/>
      <c r="O185" s="251"/>
      <c r="P185" s="251"/>
      <c r="Q185" s="251"/>
      <c r="R185" s="251"/>
      <c r="S185" s="251"/>
      <c r="T185" s="252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T185" s="253" t="s">
        <v>165</v>
      </c>
      <c r="AU185" s="253" t="s">
        <v>86</v>
      </c>
      <c r="AV185" s="14" t="s">
        <v>8</v>
      </c>
      <c r="AW185" s="14" t="s">
        <v>32</v>
      </c>
      <c r="AX185" s="14" t="s">
        <v>77</v>
      </c>
      <c r="AY185" s="253" t="s">
        <v>157</v>
      </c>
    </row>
    <row r="186" s="13" customFormat="1">
      <c r="A186" s="13"/>
      <c r="B186" s="232"/>
      <c r="C186" s="233"/>
      <c r="D186" s="234" t="s">
        <v>165</v>
      </c>
      <c r="E186" s="235" t="s">
        <v>1</v>
      </c>
      <c r="F186" s="236" t="s">
        <v>2245</v>
      </c>
      <c r="G186" s="233"/>
      <c r="H186" s="237">
        <v>1699.6099999999999</v>
      </c>
      <c r="I186" s="238"/>
      <c r="J186" s="233"/>
      <c r="K186" s="233"/>
      <c r="L186" s="239"/>
      <c r="M186" s="240"/>
      <c r="N186" s="241"/>
      <c r="O186" s="241"/>
      <c r="P186" s="241"/>
      <c r="Q186" s="241"/>
      <c r="R186" s="241"/>
      <c r="S186" s="241"/>
      <c r="T186" s="24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T186" s="243" t="s">
        <v>165</v>
      </c>
      <c r="AU186" s="243" t="s">
        <v>86</v>
      </c>
      <c r="AV186" s="13" t="s">
        <v>86</v>
      </c>
      <c r="AW186" s="13" t="s">
        <v>32</v>
      </c>
      <c r="AX186" s="13" t="s">
        <v>77</v>
      </c>
      <c r="AY186" s="243" t="s">
        <v>157</v>
      </c>
    </row>
    <row r="187" s="13" customFormat="1">
      <c r="A187" s="13"/>
      <c r="B187" s="232"/>
      <c r="C187" s="233"/>
      <c r="D187" s="234" t="s">
        <v>165</v>
      </c>
      <c r="E187" s="235" t="s">
        <v>1</v>
      </c>
      <c r="F187" s="236" t="s">
        <v>2246</v>
      </c>
      <c r="G187" s="233"/>
      <c r="H187" s="237">
        <v>491.85000000000002</v>
      </c>
      <c r="I187" s="238"/>
      <c r="J187" s="233"/>
      <c r="K187" s="233"/>
      <c r="L187" s="239"/>
      <c r="M187" s="240"/>
      <c r="N187" s="241"/>
      <c r="O187" s="241"/>
      <c r="P187" s="241"/>
      <c r="Q187" s="241"/>
      <c r="R187" s="241"/>
      <c r="S187" s="241"/>
      <c r="T187" s="24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T187" s="243" t="s">
        <v>165</v>
      </c>
      <c r="AU187" s="243" t="s">
        <v>86</v>
      </c>
      <c r="AV187" s="13" t="s">
        <v>86</v>
      </c>
      <c r="AW187" s="13" t="s">
        <v>32</v>
      </c>
      <c r="AX187" s="13" t="s">
        <v>77</v>
      </c>
      <c r="AY187" s="243" t="s">
        <v>157</v>
      </c>
    </row>
    <row r="188" s="2" customFormat="1" ht="16.5" customHeight="1">
      <c r="A188" s="37"/>
      <c r="B188" s="38"/>
      <c r="C188" s="254" t="s">
        <v>314</v>
      </c>
      <c r="D188" s="254" t="s">
        <v>229</v>
      </c>
      <c r="E188" s="255" t="s">
        <v>2251</v>
      </c>
      <c r="F188" s="256" t="s">
        <v>2252</v>
      </c>
      <c r="G188" s="257" t="s">
        <v>193</v>
      </c>
      <c r="H188" s="258">
        <v>575.25800000000004</v>
      </c>
      <c r="I188" s="259"/>
      <c r="J188" s="260">
        <f>ROUND(I188*H188,0)</f>
        <v>0</v>
      </c>
      <c r="K188" s="261"/>
      <c r="L188" s="262"/>
      <c r="M188" s="263" t="s">
        <v>1</v>
      </c>
      <c r="N188" s="264" t="s">
        <v>42</v>
      </c>
      <c r="O188" s="90"/>
      <c r="P188" s="228">
        <f>O188*H188</f>
        <v>0</v>
      </c>
      <c r="Q188" s="228">
        <v>1</v>
      </c>
      <c r="R188" s="228">
        <f>Q188*H188</f>
        <v>575.25800000000004</v>
      </c>
      <c r="S188" s="228">
        <v>0</v>
      </c>
      <c r="T188" s="229">
        <f>S188*H188</f>
        <v>0</v>
      </c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R188" s="230" t="s">
        <v>200</v>
      </c>
      <c r="AT188" s="230" t="s">
        <v>229</v>
      </c>
      <c r="AU188" s="230" t="s">
        <v>86</v>
      </c>
      <c r="AY188" s="16" t="s">
        <v>157</v>
      </c>
      <c r="BE188" s="231">
        <f>IF(N188="základní",J188,0)</f>
        <v>0</v>
      </c>
      <c r="BF188" s="231">
        <f>IF(N188="snížená",J188,0)</f>
        <v>0</v>
      </c>
      <c r="BG188" s="231">
        <f>IF(N188="zákl. přenesená",J188,0)</f>
        <v>0</v>
      </c>
      <c r="BH188" s="231">
        <f>IF(N188="sníž. přenesená",J188,0)</f>
        <v>0</v>
      </c>
      <c r="BI188" s="231">
        <f>IF(N188="nulová",J188,0)</f>
        <v>0</v>
      </c>
      <c r="BJ188" s="16" t="s">
        <v>8</v>
      </c>
      <c r="BK188" s="231">
        <f>ROUND(I188*H188,0)</f>
        <v>0</v>
      </c>
      <c r="BL188" s="16" t="s">
        <v>163</v>
      </c>
      <c r="BM188" s="230" t="s">
        <v>2253</v>
      </c>
    </row>
    <row r="189" s="13" customFormat="1">
      <c r="A189" s="13"/>
      <c r="B189" s="232"/>
      <c r="C189" s="233"/>
      <c r="D189" s="234" t="s">
        <v>165</v>
      </c>
      <c r="E189" s="235" t="s">
        <v>1</v>
      </c>
      <c r="F189" s="236" t="s">
        <v>2254</v>
      </c>
      <c r="G189" s="233"/>
      <c r="H189" s="237">
        <v>575.25800000000004</v>
      </c>
      <c r="I189" s="238"/>
      <c r="J189" s="233"/>
      <c r="K189" s="233"/>
      <c r="L189" s="239"/>
      <c r="M189" s="240"/>
      <c r="N189" s="241"/>
      <c r="O189" s="241"/>
      <c r="P189" s="241"/>
      <c r="Q189" s="241"/>
      <c r="R189" s="241"/>
      <c r="S189" s="241"/>
      <c r="T189" s="24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T189" s="243" t="s">
        <v>165</v>
      </c>
      <c r="AU189" s="243" t="s">
        <v>86</v>
      </c>
      <c r="AV189" s="13" t="s">
        <v>86</v>
      </c>
      <c r="AW189" s="13" t="s">
        <v>32</v>
      </c>
      <c r="AX189" s="13" t="s">
        <v>77</v>
      </c>
      <c r="AY189" s="243" t="s">
        <v>157</v>
      </c>
    </row>
    <row r="190" s="2" customFormat="1" ht="24.15" customHeight="1">
      <c r="A190" s="37"/>
      <c r="B190" s="38"/>
      <c r="C190" s="218" t="s">
        <v>319</v>
      </c>
      <c r="D190" s="218" t="s">
        <v>159</v>
      </c>
      <c r="E190" s="219" t="s">
        <v>2255</v>
      </c>
      <c r="F190" s="220" t="s">
        <v>2256</v>
      </c>
      <c r="G190" s="221" t="s">
        <v>209</v>
      </c>
      <c r="H190" s="222">
        <v>2191.46</v>
      </c>
      <c r="I190" s="223"/>
      <c r="J190" s="224">
        <f>ROUND(I190*H190,0)</f>
        <v>0</v>
      </c>
      <c r="K190" s="225"/>
      <c r="L190" s="43"/>
      <c r="M190" s="226" t="s">
        <v>1</v>
      </c>
      <c r="N190" s="227" t="s">
        <v>42</v>
      </c>
      <c r="O190" s="90"/>
      <c r="P190" s="228">
        <f>O190*H190</f>
        <v>0</v>
      </c>
      <c r="Q190" s="228">
        <v>0</v>
      </c>
      <c r="R190" s="228">
        <f>Q190*H190</f>
        <v>0</v>
      </c>
      <c r="S190" s="228">
        <v>0</v>
      </c>
      <c r="T190" s="229">
        <f>S190*H190</f>
        <v>0</v>
      </c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R190" s="230" t="s">
        <v>163</v>
      </c>
      <c r="AT190" s="230" t="s">
        <v>159</v>
      </c>
      <c r="AU190" s="230" t="s">
        <v>86</v>
      </c>
      <c r="AY190" s="16" t="s">
        <v>157</v>
      </c>
      <c r="BE190" s="231">
        <f>IF(N190="základní",J190,0)</f>
        <v>0</v>
      </c>
      <c r="BF190" s="231">
        <f>IF(N190="snížená",J190,0)</f>
        <v>0</v>
      </c>
      <c r="BG190" s="231">
        <f>IF(N190="zákl. přenesená",J190,0)</f>
        <v>0</v>
      </c>
      <c r="BH190" s="231">
        <f>IF(N190="sníž. přenesená",J190,0)</f>
        <v>0</v>
      </c>
      <c r="BI190" s="231">
        <f>IF(N190="nulová",J190,0)</f>
        <v>0</v>
      </c>
      <c r="BJ190" s="16" t="s">
        <v>8</v>
      </c>
      <c r="BK190" s="231">
        <f>ROUND(I190*H190,0)</f>
        <v>0</v>
      </c>
      <c r="BL190" s="16" t="s">
        <v>163</v>
      </c>
      <c r="BM190" s="230" t="s">
        <v>2257</v>
      </c>
    </row>
    <row r="191" s="13" customFormat="1">
      <c r="A191" s="13"/>
      <c r="B191" s="232"/>
      <c r="C191" s="233"/>
      <c r="D191" s="234" t="s">
        <v>165</v>
      </c>
      <c r="E191" s="235" t="s">
        <v>1</v>
      </c>
      <c r="F191" s="236" t="s">
        <v>2245</v>
      </c>
      <c r="G191" s="233"/>
      <c r="H191" s="237">
        <v>1699.6099999999999</v>
      </c>
      <c r="I191" s="238"/>
      <c r="J191" s="233"/>
      <c r="K191" s="233"/>
      <c r="L191" s="239"/>
      <c r="M191" s="240"/>
      <c r="N191" s="241"/>
      <c r="O191" s="241"/>
      <c r="P191" s="241"/>
      <c r="Q191" s="241"/>
      <c r="R191" s="241"/>
      <c r="S191" s="241"/>
      <c r="T191" s="24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T191" s="243" t="s">
        <v>165</v>
      </c>
      <c r="AU191" s="243" t="s">
        <v>86</v>
      </c>
      <c r="AV191" s="13" t="s">
        <v>86</v>
      </c>
      <c r="AW191" s="13" t="s">
        <v>32</v>
      </c>
      <c r="AX191" s="13" t="s">
        <v>77</v>
      </c>
      <c r="AY191" s="243" t="s">
        <v>157</v>
      </c>
    </row>
    <row r="192" s="13" customFormat="1">
      <c r="A192" s="13"/>
      <c r="B192" s="232"/>
      <c r="C192" s="233"/>
      <c r="D192" s="234" t="s">
        <v>165</v>
      </c>
      <c r="E192" s="235" t="s">
        <v>1</v>
      </c>
      <c r="F192" s="236" t="s">
        <v>2246</v>
      </c>
      <c r="G192" s="233"/>
      <c r="H192" s="237">
        <v>491.85000000000002</v>
      </c>
      <c r="I192" s="238"/>
      <c r="J192" s="233"/>
      <c r="K192" s="233"/>
      <c r="L192" s="239"/>
      <c r="M192" s="240"/>
      <c r="N192" s="241"/>
      <c r="O192" s="241"/>
      <c r="P192" s="241"/>
      <c r="Q192" s="241"/>
      <c r="R192" s="241"/>
      <c r="S192" s="241"/>
      <c r="T192" s="24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T192" s="243" t="s">
        <v>165</v>
      </c>
      <c r="AU192" s="243" t="s">
        <v>86</v>
      </c>
      <c r="AV192" s="13" t="s">
        <v>86</v>
      </c>
      <c r="AW192" s="13" t="s">
        <v>32</v>
      </c>
      <c r="AX192" s="13" t="s">
        <v>77</v>
      </c>
      <c r="AY192" s="243" t="s">
        <v>157</v>
      </c>
    </row>
    <row r="193" s="2" customFormat="1" ht="16.5" customHeight="1">
      <c r="A193" s="37"/>
      <c r="B193" s="38"/>
      <c r="C193" s="254" t="s">
        <v>325</v>
      </c>
      <c r="D193" s="254" t="s">
        <v>229</v>
      </c>
      <c r="E193" s="255" t="s">
        <v>2258</v>
      </c>
      <c r="F193" s="256" t="s">
        <v>2259</v>
      </c>
      <c r="G193" s="257" t="s">
        <v>1407</v>
      </c>
      <c r="H193" s="258">
        <v>43.829000000000001</v>
      </c>
      <c r="I193" s="259"/>
      <c r="J193" s="260">
        <f>ROUND(I193*H193,0)</f>
        <v>0</v>
      </c>
      <c r="K193" s="261"/>
      <c r="L193" s="262"/>
      <c r="M193" s="263" t="s">
        <v>1</v>
      </c>
      <c r="N193" s="264" t="s">
        <v>42</v>
      </c>
      <c r="O193" s="90"/>
      <c r="P193" s="228">
        <f>O193*H193</f>
        <v>0</v>
      </c>
      <c r="Q193" s="228">
        <v>0.001</v>
      </c>
      <c r="R193" s="228">
        <f>Q193*H193</f>
        <v>0.043829</v>
      </c>
      <c r="S193" s="228">
        <v>0</v>
      </c>
      <c r="T193" s="229">
        <f>S193*H193</f>
        <v>0</v>
      </c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R193" s="230" t="s">
        <v>200</v>
      </c>
      <c r="AT193" s="230" t="s">
        <v>229</v>
      </c>
      <c r="AU193" s="230" t="s">
        <v>86</v>
      </c>
      <c r="AY193" s="16" t="s">
        <v>157</v>
      </c>
      <c r="BE193" s="231">
        <f>IF(N193="základní",J193,0)</f>
        <v>0</v>
      </c>
      <c r="BF193" s="231">
        <f>IF(N193="snížená",J193,0)</f>
        <v>0</v>
      </c>
      <c r="BG193" s="231">
        <f>IF(N193="zákl. přenesená",J193,0)</f>
        <v>0</v>
      </c>
      <c r="BH193" s="231">
        <f>IF(N193="sníž. přenesená",J193,0)</f>
        <v>0</v>
      </c>
      <c r="BI193" s="231">
        <f>IF(N193="nulová",J193,0)</f>
        <v>0</v>
      </c>
      <c r="BJ193" s="16" t="s">
        <v>8</v>
      </c>
      <c r="BK193" s="231">
        <f>ROUND(I193*H193,0)</f>
        <v>0</v>
      </c>
      <c r="BL193" s="16" t="s">
        <v>163</v>
      </c>
      <c r="BM193" s="230" t="s">
        <v>2260</v>
      </c>
    </row>
    <row r="194" s="13" customFormat="1">
      <c r="A194" s="13"/>
      <c r="B194" s="232"/>
      <c r="C194" s="233"/>
      <c r="D194" s="234" t="s">
        <v>165</v>
      </c>
      <c r="E194" s="235" t="s">
        <v>1</v>
      </c>
      <c r="F194" s="236" t="s">
        <v>2261</v>
      </c>
      <c r="G194" s="233"/>
      <c r="H194" s="237">
        <v>2191.46</v>
      </c>
      <c r="I194" s="238"/>
      <c r="J194" s="233"/>
      <c r="K194" s="233"/>
      <c r="L194" s="239"/>
      <c r="M194" s="240"/>
      <c r="N194" s="241"/>
      <c r="O194" s="241"/>
      <c r="P194" s="241"/>
      <c r="Q194" s="241"/>
      <c r="R194" s="241"/>
      <c r="S194" s="241"/>
      <c r="T194" s="242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T194" s="243" t="s">
        <v>165</v>
      </c>
      <c r="AU194" s="243" t="s">
        <v>86</v>
      </c>
      <c r="AV194" s="13" t="s">
        <v>86</v>
      </c>
      <c r="AW194" s="13" t="s">
        <v>32</v>
      </c>
      <c r="AX194" s="13" t="s">
        <v>8</v>
      </c>
      <c r="AY194" s="243" t="s">
        <v>157</v>
      </c>
    </row>
    <row r="195" s="13" customFormat="1">
      <c r="A195" s="13"/>
      <c r="B195" s="232"/>
      <c r="C195" s="233"/>
      <c r="D195" s="234" t="s">
        <v>165</v>
      </c>
      <c r="E195" s="233"/>
      <c r="F195" s="236" t="s">
        <v>2262</v>
      </c>
      <c r="G195" s="233"/>
      <c r="H195" s="237">
        <v>43.829000000000001</v>
      </c>
      <c r="I195" s="238"/>
      <c r="J195" s="233"/>
      <c r="K195" s="233"/>
      <c r="L195" s="239"/>
      <c r="M195" s="240"/>
      <c r="N195" s="241"/>
      <c r="O195" s="241"/>
      <c r="P195" s="241"/>
      <c r="Q195" s="241"/>
      <c r="R195" s="241"/>
      <c r="S195" s="241"/>
      <c r="T195" s="242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T195" s="243" t="s">
        <v>165</v>
      </c>
      <c r="AU195" s="243" t="s">
        <v>86</v>
      </c>
      <c r="AV195" s="13" t="s">
        <v>86</v>
      </c>
      <c r="AW195" s="13" t="s">
        <v>4</v>
      </c>
      <c r="AX195" s="13" t="s">
        <v>8</v>
      </c>
      <c r="AY195" s="243" t="s">
        <v>157</v>
      </c>
    </row>
    <row r="196" s="12" customFormat="1" ht="22.8" customHeight="1">
      <c r="A196" s="12"/>
      <c r="B196" s="202"/>
      <c r="C196" s="203"/>
      <c r="D196" s="204" t="s">
        <v>76</v>
      </c>
      <c r="E196" s="216" t="s">
        <v>256</v>
      </c>
      <c r="F196" s="216" t="s">
        <v>2263</v>
      </c>
      <c r="G196" s="203"/>
      <c r="H196" s="203"/>
      <c r="I196" s="206"/>
      <c r="J196" s="217">
        <f>BK196</f>
        <v>0</v>
      </c>
      <c r="K196" s="203"/>
      <c r="L196" s="208"/>
      <c r="M196" s="209"/>
      <c r="N196" s="210"/>
      <c r="O196" s="210"/>
      <c r="P196" s="211">
        <f>SUM(P197:P222)</f>
        <v>0</v>
      </c>
      <c r="Q196" s="210"/>
      <c r="R196" s="211">
        <f>SUM(R197:R222)</f>
        <v>287.83325000000002</v>
      </c>
      <c r="S196" s="210"/>
      <c r="T196" s="212">
        <f>SUM(T197:T222)</f>
        <v>0</v>
      </c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R196" s="213" t="s">
        <v>8</v>
      </c>
      <c r="AT196" s="214" t="s">
        <v>76</v>
      </c>
      <c r="AU196" s="214" t="s">
        <v>8</v>
      </c>
      <c r="AY196" s="213" t="s">
        <v>157</v>
      </c>
      <c r="BK196" s="215">
        <f>SUM(BK197:BK222)</f>
        <v>0</v>
      </c>
    </row>
    <row r="197" s="2" customFormat="1" ht="24.15" customHeight="1">
      <c r="A197" s="37"/>
      <c r="B197" s="38"/>
      <c r="C197" s="218" t="s">
        <v>329</v>
      </c>
      <c r="D197" s="218" t="s">
        <v>159</v>
      </c>
      <c r="E197" s="219" t="s">
        <v>2264</v>
      </c>
      <c r="F197" s="220" t="s">
        <v>2265</v>
      </c>
      <c r="G197" s="221" t="s">
        <v>162</v>
      </c>
      <c r="H197" s="222">
        <v>160</v>
      </c>
      <c r="I197" s="223"/>
      <c r="J197" s="224">
        <f>ROUND(I197*H197,0)</f>
        <v>0</v>
      </c>
      <c r="K197" s="225"/>
      <c r="L197" s="43"/>
      <c r="M197" s="226" t="s">
        <v>1</v>
      </c>
      <c r="N197" s="227" t="s">
        <v>42</v>
      </c>
      <c r="O197" s="90"/>
      <c r="P197" s="228">
        <f>O197*H197</f>
        <v>0</v>
      </c>
      <c r="Q197" s="228">
        <v>0</v>
      </c>
      <c r="R197" s="228">
        <f>Q197*H197</f>
        <v>0</v>
      </c>
      <c r="S197" s="228">
        <v>0</v>
      </c>
      <c r="T197" s="229">
        <f>S197*H197</f>
        <v>0</v>
      </c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R197" s="230" t="s">
        <v>163</v>
      </c>
      <c r="AT197" s="230" t="s">
        <v>159</v>
      </c>
      <c r="AU197" s="230" t="s">
        <v>86</v>
      </c>
      <c r="AY197" s="16" t="s">
        <v>157</v>
      </c>
      <c r="BE197" s="231">
        <f>IF(N197="základní",J197,0)</f>
        <v>0</v>
      </c>
      <c r="BF197" s="231">
        <f>IF(N197="snížená",J197,0)</f>
        <v>0</v>
      </c>
      <c r="BG197" s="231">
        <f>IF(N197="zákl. přenesená",J197,0)</f>
        <v>0</v>
      </c>
      <c r="BH197" s="231">
        <f>IF(N197="sníž. přenesená",J197,0)</f>
        <v>0</v>
      </c>
      <c r="BI197" s="231">
        <f>IF(N197="nulová",J197,0)</f>
        <v>0</v>
      </c>
      <c r="BJ197" s="16" t="s">
        <v>8</v>
      </c>
      <c r="BK197" s="231">
        <f>ROUND(I197*H197,0)</f>
        <v>0</v>
      </c>
      <c r="BL197" s="16" t="s">
        <v>163</v>
      </c>
      <c r="BM197" s="230" t="s">
        <v>2266</v>
      </c>
    </row>
    <row r="198" s="13" customFormat="1">
      <c r="A198" s="13"/>
      <c r="B198" s="232"/>
      <c r="C198" s="233"/>
      <c r="D198" s="234" t="s">
        <v>165</v>
      </c>
      <c r="E198" s="235" t="s">
        <v>1</v>
      </c>
      <c r="F198" s="236" t="s">
        <v>2190</v>
      </c>
      <c r="G198" s="233"/>
      <c r="H198" s="237">
        <v>160</v>
      </c>
      <c r="I198" s="238"/>
      <c r="J198" s="233"/>
      <c r="K198" s="233"/>
      <c r="L198" s="239"/>
      <c r="M198" s="240"/>
      <c r="N198" s="241"/>
      <c r="O198" s="241"/>
      <c r="P198" s="241"/>
      <c r="Q198" s="241"/>
      <c r="R198" s="241"/>
      <c r="S198" s="241"/>
      <c r="T198" s="242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T198" s="243" t="s">
        <v>165</v>
      </c>
      <c r="AU198" s="243" t="s">
        <v>86</v>
      </c>
      <c r="AV198" s="13" t="s">
        <v>86</v>
      </c>
      <c r="AW198" s="13" t="s">
        <v>32</v>
      </c>
      <c r="AX198" s="13" t="s">
        <v>77</v>
      </c>
      <c r="AY198" s="243" t="s">
        <v>157</v>
      </c>
    </row>
    <row r="199" s="2" customFormat="1" ht="37.8" customHeight="1">
      <c r="A199" s="37"/>
      <c r="B199" s="38"/>
      <c r="C199" s="218" t="s">
        <v>335</v>
      </c>
      <c r="D199" s="218" t="s">
        <v>159</v>
      </c>
      <c r="E199" s="219" t="s">
        <v>2267</v>
      </c>
      <c r="F199" s="220" t="s">
        <v>2268</v>
      </c>
      <c r="G199" s="221" t="s">
        <v>565</v>
      </c>
      <c r="H199" s="222">
        <v>75</v>
      </c>
      <c r="I199" s="223"/>
      <c r="J199" s="224">
        <f>ROUND(I199*H199,0)</f>
        <v>0</v>
      </c>
      <c r="K199" s="225"/>
      <c r="L199" s="43"/>
      <c r="M199" s="226" t="s">
        <v>1</v>
      </c>
      <c r="N199" s="227" t="s">
        <v>42</v>
      </c>
      <c r="O199" s="90"/>
      <c r="P199" s="228">
        <f>O199*H199</f>
        <v>0</v>
      </c>
      <c r="Q199" s="228">
        <v>0</v>
      </c>
      <c r="R199" s="228">
        <f>Q199*H199</f>
        <v>0</v>
      </c>
      <c r="S199" s="228">
        <v>0</v>
      </c>
      <c r="T199" s="229">
        <f>S199*H199</f>
        <v>0</v>
      </c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R199" s="230" t="s">
        <v>163</v>
      </c>
      <c r="AT199" s="230" t="s">
        <v>159</v>
      </c>
      <c r="AU199" s="230" t="s">
        <v>86</v>
      </c>
      <c r="AY199" s="16" t="s">
        <v>157</v>
      </c>
      <c r="BE199" s="231">
        <f>IF(N199="základní",J199,0)</f>
        <v>0</v>
      </c>
      <c r="BF199" s="231">
        <f>IF(N199="snížená",J199,0)</f>
        <v>0</v>
      </c>
      <c r="BG199" s="231">
        <f>IF(N199="zákl. přenesená",J199,0)</f>
        <v>0</v>
      </c>
      <c r="BH199" s="231">
        <f>IF(N199="sníž. přenesená",J199,0)</f>
        <v>0</v>
      </c>
      <c r="BI199" s="231">
        <f>IF(N199="nulová",J199,0)</f>
        <v>0</v>
      </c>
      <c r="BJ199" s="16" t="s">
        <v>8</v>
      </c>
      <c r="BK199" s="231">
        <f>ROUND(I199*H199,0)</f>
        <v>0</v>
      </c>
      <c r="BL199" s="16" t="s">
        <v>163</v>
      </c>
      <c r="BM199" s="230" t="s">
        <v>2269</v>
      </c>
    </row>
    <row r="200" s="13" customFormat="1">
      <c r="A200" s="13"/>
      <c r="B200" s="232"/>
      <c r="C200" s="233"/>
      <c r="D200" s="234" t="s">
        <v>165</v>
      </c>
      <c r="E200" s="235" t="s">
        <v>1</v>
      </c>
      <c r="F200" s="236" t="s">
        <v>2270</v>
      </c>
      <c r="G200" s="233"/>
      <c r="H200" s="237">
        <v>75</v>
      </c>
      <c r="I200" s="238"/>
      <c r="J200" s="233"/>
      <c r="K200" s="233"/>
      <c r="L200" s="239"/>
      <c r="M200" s="240"/>
      <c r="N200" s="241"/>
      <c r="O200" s="241"/>
      <c r="P200" s="241"/>
      <c r="Q200" s="241"/>
      <c r="R200" s="241"/>
      <c r="S200" s="241"/>
      <c r="T200" s="242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T200" s="243" t="s">
        <v>165</v>
      </c>
      <c r="AU200" s="243" t="s">
        <v>86</v>
      </c>
      <c r="AV200" s="13" t="s">
        <v>86</v>
      </c>
      <c r="AW200" s="13" t="s">
        <v>32</v>
      </c>
      <c r="AX200" s="13" t="s">
        <v>77</v>
      </c>
      <c r="AY200" s="243" t="s">
        <v>157</v>
      </c>
    </row>
    <row r="201" s="2" customFormat="1" ht="37.8" customHeight="1">
      <c r="A201" s="37"/>
      <c r="B201" s="38"/>
      <c r="C201" s="218" t="s">
        <v>341</v>
      </c>
      <c r="D201" s="218" t="s">
        <v>159</v>
      </c>
      <c r="E201" s="219" t="s">
        <v>2271</v>
      </c>
      <c r="F201" s="220" t="s">
        <v>2272</v>
      </c>
      <c r="G201" s="221" t="s">
        <v>565</v>
      </c>
      <c r="H201" s="222">
        <v>9</v>
      </c>
      <c r="I201" s="223"/>
      <c r="J201" s="224">
        <f>ROUND(I201*H201,0)</f>
        <v>0</v>
      </c>
      <c r="K201" s="225"/>
      <c r="L201" s="43"/>
      <c r="M201" s="226" t="s">
        <v>1</v>
      </c>
      <c r="N201" s="227" t="s">
        <v>42</v>
      </c>
      <c r="O201" s="90"/>
      <c r="P201" s="228">
        <f>O201*H201</f>
        <v>0</v>
      </c>
      <c r="Q201" s="228">
        <v>0</v>
      </c>
      <c r="R201" s="228">
        <f>Q201*H201</f>
        <v>0</v>
      </c>
      <c r="S201" s="228">
        <v>0</v>
      </c>
      <c r="T201" s="229">
        <f>S201*H201</f>
        <v>0</v>
      </c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R201" s="230" t="s">
        <v>163</v>
      </c>
      <c r="AT201" s="230" t="s">
        <v>159</v>
      </c>
      <c r="AU201" s="230" t="s">
        <v>86</v>
      </c>
      <c r="AY201" s="16" t="s">
        <v>157</v>
      </c>
      <c r="BE201" s="231">
        <f>IF(N201="základní",J201,0)</f>
        <v>0</v>
      </c>
      <c r="BF201" s="231">
        <f>IF(N201="snížená",J201,0)</f>
        <v>0</v>
      </c>
      <c r="BG201" s="231">
        <f>IF(N201="zákl. přenesená",J201,0)</f>
        <v>0</v>
      </c>
      <c r="BH201" s="231">
        <f>IF(N201="sníž. přenesená",J201,0)</f>
        <v>0</v>
      </c>
      <c r="BI201" s="231">
        <f>IF(N201="nulová",J201,0)</f>
        <v>0</v>
      </c>
      <c r="BJ201" s="16" t="s">
        <v>8</v>
      </c>
      <c r="BK201" s="231">
        <f>ROUND(I201*H201,0)</f>
        <v>0</v>
      </c>
      <c r="BL201" s="16" t="s">
        <v>163</v>
      </c>
      <c r="BM201" s="230" t="s">
        <v>2273</v>
      </c>
    </row>
    <row r="202" s="13" customFormat="1">
      <c r="A202" s="13"/>
      <c r="B202" s="232"/>
      <c r="C202" s="233"/>
      <c r="D202" s="234" t="s">
        <v>165</v>
      </c>
      <c r="E202" s="235" t="s">
        <v>1</v>
      </c>
      <c r="F202" s="236" t="s">
        <v>2274</v>
      </c>
      <c r="G202" s="233"/>
      <c r="H202" s="237">
        <v>9</v>
      </c>
      <c r="I202" s="238"/>
      <c r="J202" s="233"/>
      <c r="K202" s="233"/>
      <c r="L202" s="239"/>
      <c r="M202" s="240"/>
      <c r="N202" s="241"/>
      <c r="O202" s="241"/>
      <c r="P202" s="241"/>
      <c r="Q202" s="241"/>
      <c r="R202" s="241"/>
      <c r="S202" s="241"/>
      <c r="T202" s="242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T202" s="243" t="s">
        <v>165</v>
      </c>
      <c r="AU202" s="243" t="s">
        <v>86</v>
      </c>
      <c r="AV202" s="13" t="s">
        <v>86</v>
      </c>
      <c r="AW202" s="13" t="s">
        <v>32</v>
      </c>
      <c r="AX202" s="13" t="s">
        <v>77</v>
      </c>
      <c r="AY202" s="243" t="s">
        <v>157</v>
      </c>
    </row>
    <row r="203" s="2" customFormat="1" ht="24.15" customHeight="1">
      <c r="A203" s="37"/>
      <c r="B203" s="38"/>
      <c r="C203" s="218" t="s">
        <v>345</v>
      </c>
      <c r="D203" s="218" t="s">
        <v>159</v>
      </c>
      <c r="E203" s="219" t="s">
        <v>2275</v>
      </c>
      <c r="F203" s="220" t="s">
        <v>2276</v>
      </c>
      <c r="G203" s="221" t="s">
        <v>565</v>
      </c>
      <c r="H203" s="222">
        <v>75</v>
      </c>
      <c r="I203" s="223"/>
      <c r="J203" s="224">
        <f>ROUND(I203*H203,0)</f>
        <v>0</v>
      </c>
      <c r="K203" s="225"/>
      <c r="L203" s="43"/>
      <c r="M203" s="226" t="s">
        <v>1</v>
      </c>
      <c r="N203" s="227" t="s">
        <v>42</v>
      </c>
      <c r="O203" s="90"/>
      <c r="P203" s="228">
        <f>O203*H203</f>
        <v>0</v>
      </c>
      <c r="Q203" s="228">
        <v>0</v>
      </c>
      <c r="R203" s="228">
        <f>Q203*H203</f>
        <v>0</v>
      </c>
      <c r="S203" s="228">
        <v>0</v>
      </c>
      <c r="T203" s="229">
        <f>S203*H203</f>
        <v>0</v>
      </c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R203" s="230" t="s">
        <v>163</v>
      </c>
      <c r="AT203" s="230" t="s">
        <v>159</v>
      </c>
      <c r="AU203" s="230" t="s">
        <v>86</v>
      </c>
      <c r="AY203" s="16" t="s">
        <v>157</v>
      </c>
      <c r="BE203" s="231">
        <f>IF(N203="základní",J203,0)</f>
        <v>0</v>
      </c>
      <c r="BF203" s="231">
        <f>IF(N203="snížená",J203,0)</f>
        <v>0</v>
      </c>
      <c r="BG203" s="231">
        <f>IF(N203="zákl. přenesená",J203,0)</f>
        <v>0</v>
      </c>
      <c r="BH203" s="231">
        <f>IF(N203="sníž. přenesená",J203,0)</f>
        <v>0</v>
      </c>
      <c r="BI203" s="231">
        <f>IF(N203="nulová",J203,0)</f>
        <v>0</v>
      </c>
      <c r="BJ203" s="16" t="s">
        <v>8</v>
      </c>
      <c r="BK203" s="231">
        <f>ROUND(I203*H203,0)</f>
        <v>0</v>
      </c>
      <c r="BL203" s="16" t="s">
        <v>163</v>
      </c>
      <c r="BM203" s="230" t="s">
        <v>2277</v>
      </c>
    </row>
    <row r="204" s="2" customFormat="1" ht="16.5" customHeight="1">
      <c r="A204" s="37"/>
      <c r="B204" s="38"/>
      <c r="C204" s="254" t="s">
        <v>350</v>
      </c>
      <c r="D204" s="254" t="s">
        <v>229</v>
      </c>
      <c r="E204" s="255" t="s">
        <v>2278</v>
      </c>
      <c r="F204" s="256" t="s">
        <v>2279</v>
      </c>
      <c r="G204" s="257" t="s">
        <v>216</v>
      </c>
      <c r="H204" s="258">
        <v>150</v>
      </c>
      <c r="I204" s="259"/>
      <c r="J204" s="260">
        <f>ROUND(I204*H204,0)</f>
        <v>0</v>
      </c>
      <c r="K204" s="261"/>
      <c r="L204" s="262"/>
      <c r="M204" s="263" t="s">
        <v>1</v>
      </c>
      <c r="N204" s="264" t="s">
        <v>42</v>
      </c>
      <c r="O204" s="90"/>
      <c r="P204" s="228">
        <f>O204*H204</f>
        <v>0</v>
      </c>
      <c r="Q204" s="228">
        <v>0</v>
      </c>
      <c r="R204" s="228">
        <f>Q204*H204</f>
        <v>0</v>
      </c>
      <c r="S204" s="228">
        <v>0</v>
      </c>
      <c r="T204" s="229">
        <f>S204*H204</f>
        <v>0</v>
      </c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R204" s="230" t="s">
        <v>200</v>
      </c>
      <c r="AT204" s="230" t="s">
        <v>229</v>
      </c>
      <c r="AU204" s="230" t="s">
        <v>86</v>
      </c>
      <c r="AY204" s="16" t="s">
        <v>157</v>
      </c>
      <c r="BE204" s="231">
        <f>IF(N204="základní",J204,0)</f>
        <v>0</v>
      </c>
      <c r="BF204" s="231">
        <f>IF(N204="snížená",J204,0)</f>
        <v>0</v>
      </c>
      <c r="BG204" s="231">
        <f>IF(N204="zákl. přenesená",J204,0)</f>
        <v>0</v>
      </c>
      <c r="BH204" s="231">
        <f>IF(N204="sníž. přenesená",J204,0)</f>
        <v>0</v>
      </c>
      <c r="BI204" s="231">
        <f>IF(N204="nulová",J204,0)</f>
        <v>0</v>
      </c>
      <c r="BJ204" s="16" t="s">
        <v>8</v>
      </c>
      <c r="BK204" s="231">
        <f>ROUND(I204*H204,0)</f>
        <v>0</v>
      </c>
      <c r="BL204" s="16" t="s">
        <v>163</v>
      </c>
      <c r="BM204" s="230" t="s">
        <v>2280</v>
      </c>
    </row>
    <row r="205" s="2" customFormat="1" ht="24.15" customHeight="1">
      <c r="A205" s="37"/>
      <c r="B205" s="38"/>
      <c r="C205" s="218" t="s">
        <v>356</v>
      </c>
      <c r="D205" s="218" t="s">
        <v>159</v>
      </c>
      <c r="E205" s="219" t="s">
        <v>2281</v>
      </c>
      <c r="F205" s="220" t="s">
        <v>2282</v>
      </c>
      <c r="G205" s="221" t="s">
        <v>565</v>
      </c>
      <c r="H205" s="222">
        <v>25</v>
      </c>
      <c r="I205" s="223"/>
      <c r="J205" s="224">
        <f>ROUND(I205*H205,0)</f>
        <v>0</v>
      </c>
      <c r="K205" s="225"/>
      <c r="L205" s="43"/>
      <c r="M205" s="226" t="s">
        <v>1</v>
      </c>
      <c r="N205" s="227" t="s">
        <v>42</v>
      </c>
      <c r="O205" s="90"/>
      <c r="P205" s="228">
        <f>O205*H205</f>
        <v>0</v>
      </c>
      <c r="Q205" s="228">
        <v>0</v>
      </c>
      <c r="R205" s="228">
        <f>Q205*H205</f>
        <v>0</v>
      </c>
      <c r="S205" s="228">
        <v>0</v>
      </c>
      <c r="T205" s="229">
        <f>S205*H205</f>
        <v>0</v>
      </c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R205" s="230" t="s">
        <v>163</v>
      </c>
      <c r="AT205" s="230" t="s">
        <v>159</v>
      </c>
      <c r="AU205" s="230" t="s">
        <v>86</v>
      </c>
      <c r="AY205" s="16" t="s">
        <v>157</v>
      </c>
      <c r="BE205" s="231">
        <f>IF(N205="základní",J205,0)</f>
        <v>0</v>
      </c>
      <c r="BF205" s="231">
        <f>IF(N205="snížená",J205,0)</f>
        <v>0</v>
      </c>
      <c r="BG205" s="231">
        <f>IF(N205="zákl. přenesená",J205,0)</f>
        <v>0</v>
      </c>
      <c r="BH205" s="231">
        <f>IF(N205="sníž. přenesená",J205,0)</f>
        <v>0</v>
      </c>
      <c r="BI205" s="231">
        <f>IF(N205="nulová",J205,0)</f>
        <v>0</v>
      </c>
      <c r="BJ205" s="16" t="s">
        <v>8</v>
      </c>
      <c r="BK205" s="231">
        <f>ROUND(I205*H205,0)</f>
        <v>0</v>
      </c>
      <c r="BL205" s="16" t="s">
        <v>163</v>
      </c>
      <c r="BM205" s="230" t="s">
        <v>2283</v>
      </c>
    </row>
    <row r="206" s="13" customFormat="1">
      <c r="A206" s="13"/>
      <c r="B206" s="232"/>
      <c r="C206" s="233"/>
      <c r="D206" s="234" t="s">
        <v>165</v>
      </c>
      <c r="E206" s="235" t="s">
        <v>1</v>
      </c>
      <c r="F206" s="236" t="s">
        <v>2284</v>
      </c>
      <c r="G206" s="233"/>
      <c r="H206" s="237">
        <v>25</v>
      </c>
      <c r="I206" s="238"/>
      <c r="J206" s="233"/>
      <c r="K206" s="233"/>
      <c r="L206" s="239"/>
      <c r="M206" s="240"/>
      <c r="N206" s="241"/>
      <c r="O206" s="241"/>
      <c r="P206" s="241"/>
      <c r="Q206" s="241"/>
      <c r="R206" s="241"/>
      <c r="S206" s="241"/>
      <c r="T206" s="242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T206" s="243" t="s">
        <v>165</v>
      </c>
      <c r="AU206" s="243" t="s">
        <v>86</v>
      </c>
      <c r="AV206" s="13" t="s">
        <v>86</v>
      </c>
      <c r="AW206" s="13" t="s">
        <v>32</v>
      </c>
      <c r="AX206" s="13" t="s">
        <v>77</v>
      </c>
      <c r="AY206" s="243" t="s">
        <v>157</v>
      </c>
    </row>
    <row r="207" s="2" customFormat="1" ht="24.15" customHeight="1">
      <c r="A207" s="37"/>
      <c r="B207" s="38"/>
      <c r="C207" s="254" t="s">
        <v>364</v>
      </c>
      <c r="D207" s="254" t="s">
        <v>229</v>
      </c>
      <c r="E207" s="255" t="s">
        <v>2285</v>
      </c>
      <c r="F207" s="256" t="s">
        <v>2286</v>
      </c>
      <c r="G207" s="257" t="s">
        <v>353</v>
      </c>
      <c r="H207" s="258">
        <v>25</v>
      </c>
      <c r="I207" s="259"/>
      <c r="J207" s="260">
        <f>ROUND(I207*H207,0)</f>
        <v>0</v>
      </c>
      <c r="K207" s="261"/>
      <c r="L207" s="262"/>
      <c r="M207" s="263" t="s">
        <v>1</v>
      </c>
      <c r="N207" s="264" t="s">
        <v>42</v>
      </c>
      <c r="O207" s="90"/>
      <c r="P207" s="228">
        <f>O207*H207</f>
        <v>0</v>
      </c>
      <c r="Q207" s="228">
        <v>0</v>
      </c>
      <c r="R207" s="228">
        <f>Q207*H207</f>
        <v>0</v>
      </c>
      <c r="S207" s="228">
        <v>0</v>
      </c>
      <c r="T207" s="229">
        <f>S207*H207</f>
        <v>0</v>
      </c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R207" s="230" t="s">
        <v>200</v>
      </c>
      <c r="AT207" s="230" t="s">
        <v>229</v>
      </c>
      <c r="AU207" s="230" t="s">
        <v>86</v>
      </c>
      <c r="AY207" s="16" t="s">
        <v>157</v>
      </c>
      <c r="BE207" s="231">
        <f>IF(N207="základní",J207,0)</f>
        <v>0</v>
      </c>
      <c r="BF207" s="231">
        <f>IF(N207="snížená",J207,0)</f>
        <v>0</v>
      </c>
      <c r="BG207" s="231">
        <f>IF(N207="zákl. přenesená",J207,0)</f>
        <v>0</v>
      </c>
      <c r="BH207" s="231">
        <f>IF(N207="sníž. přenesená",J207,0)</f>
        <v>0</v>
      </c>
      <c r="BI207" s="231">
        <f>IF(N207="nulová",J207,0)</f>
        <v>0</v>
      </c>
      <c r="BJ207" s="16" t="s">
        <v>8</v>
      </c>
      <c r="BK207" s="231">
        <f>ROUND(I207*H207,0)</f>
        <v>0</v>
      </c>
      <c r="BL207" s="16" t="s">
        <v>163</v>
      </c>
      <c r="BM207" s="230" t="s">
        <v>2287</v>
      </c>
    </row>
    <row r="208" s="2" customFormat="1" ht="33" customHeight="1">
      <c r="A208" s="37"/>
      <c r="B208" s="38"/>
      <c r="C208" s="218" t="s">
        <v>371</v>
      </c>
      <c r="D208" s="218" t="s">
        <v>159</v>
      </c>
      <c r="E208" s="219" t="s">
        <v>2288</v>
      </c>
      <c r="F208" s="220" t="s">
        <v>2289</v>
      </c>
      <c r="G208" s="221" t="s">
        <v>565</v>
      </c>
      <c r="H208" s="222">
        <v>25</v>
      </c>
      <c r="I208" s="223"/>
      <c r="J208" s="224">
        <f>ROUND(I208*H208,0)</f>
        <v>0</v>
      </c>
      <c r="K208" s="225"/>
      <c r="L208" s="43"/>
      <c r="M208" s="226" t="s">
        <v>1</v>
      </c>
      <c r="N208" s="227" t="s">
        <v>42</v>
      </c>
      <c r="O208" s="90"/>
      <c r="P208" s="228">
        <f>O208*H208</f>
        <v>0</v>
      </c>
      <c r="Q208" s="228">
        <v>6.0000000000000002E-05</v>
      </c>
      <c r="R208" s="228">
        <f>Q208*H208</f>
        <v>0.0015</v>
      </c>
      <c r="S208" s="228">
        <v>0</v>
      </c>
      <c r="T208" s="229">
        <f>S208*H208</f>
        <v>0</v>
      </c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R208" s="230" t="s">
        <v>163</v>
      </c>
      <c r="AT208" s="230" t="s">
        <v>159</v>
      </c>
      <c r="AU208" s="230" t="s">
        <v>86</v>
      </c>
      <c r="AY208" s="16" t="s">
        <v>157</v>
      </c>
      <c r="BE208" s="231">
        <f>IF(N208="základní",J208,0)</f>
        <v>0</v>
      </c>
      <c r="BF208" s="231">
        <f>IF(N208="snížená",J208,0)</f>
        <v>0</v>
      </c>
      <c r="BG208" s="231">
        <f>IF(N208="zákl. přenesená",J208,0)</f>
        <v>0</v>
      </c>
      <c r="BH208" s="231">
        <f>IF(N208="sníž. přenesená",J208,0)</f>
        <v>0</v>
      </c>
      <c r="BI208" s="231">
        <f>IF(N208="nulová",J208,0)</f>
        <v>0</v>
      </c>
      <c r="BJ208" s="16" t="s">
        <v>8</v>
      </c>
      <c r="BK208" s="231">
        <f>ROUND(I208*H208,0)</f>
        <v>0</v>
      </c>
      <c r="BL208" s="16" t="s">
        <v>163</v>
      </c>
      <c r="BM208" s="230" t="s">
        <v>2290</v>
      </c>
    </row>
    <row r="209" s="2" customFormat="1" ht="21.75" customHeight="1">
      <c r="A209" s="37"/>
      <c r="B209" s="38"/>
      <c r="C209" s="254" t="s">
        <v>375</v>
      </c>
      <c r="D209" s="254" t="s">
        <v>229</v>
      </c>
      <c r="E209" s="255" t="s">
        <v>2291</v>
      </c>
      <c r="F209" s="256" t="s">
        <v>2292</v>
      </c>
      <c r="G209" s="257" t="s">
        <v>565</v>
      </c>
      <c r="H209" s="258">
        <v>75</v>
      </c>
      <c r="I209" s="259"/>
      <c r="J209" s="260">
        <f>ROUND(I209*H209,0)</f>
        <v>0</v>
      </c>
      <c r="K209" s="261"/>
      <c r="L209" s="262"/>
      <c r="M209" s="263" t="s">
        <v>1</v>
      </c>
      <c r="N209" s="264" t="s">
        <v>42</v>
      </c>
      <c r="O209" s="90"/>
      <c r="P209" s="228">
        <f>O209*H209</f>
        <v>0</v>
      </c>
      <c r="Q209" s="228">
        <v>0.0070899999999999999</v>
      </c>
      <c r="R209" s="228">
        <f>Q209*H209</f>
        <v>0.53174999999999994</v>
      </c>
      <c r="S209" s="228">
        <v>0</v>
      </c>
      <c r="T209" s="229">
        <f>S209*H209</f>
        <v>0</v>
      </c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R209" s="230" t="s">
        <v>200</v>
      </c>
      <c r="AT209" s="230" t="s">
        <v>229</v>
      </c>
      <c r="AU209" s="230" t="s">
        <v>86</v>
      </c>
      <c r="AY209" s="16" t="s">
        <v>157</v>
      </c>
      <c r="BE209" s="231">
        <f>IF(N209="základní",J209,0)</f>
        <v>0</v>
      </c>
      <c r="BF209" s="231">
        <f>IF(N209="snížená",J209,0)</f>
        <v>0</v>
      </c>
      <c r="BG209" s="231">
        <f>IF(N209="zákl. přenesená",J209,0)</f>
        <v>0</v>
      </c>
      <c r="BH209" s="231">
        <f>IF(N209="sníž. přenesená",J209,0)</f>
        <v>0</v>
      </c>
      <c r="BI209" s="231">
        <f>IF(N209="nulová",J209,0)</f>
        <v>0</v>
      </c>
      <c r="BJ209" s="16" t="s">
        <v>8</v>
      </c>
      <c r="BK209" s="231">
        <f>ROUND(I209*H209,0)</f>
        <v>0</v>
      </c>
      <c r="BL209" s="16" t="s">
        <v>163</v>
      </c>
      <c r="BM209" s="230" t="s">
        <v>2293</v>
      </c>
    </row>
    <row r="210" s="13" customFormat="1">
      <c r="A210" s="13"/>
      <c r="B210" s="232"/>
      <c r="C210" s="233"/>
      <c r="D210" s="234" t="s">
        <v>165</v>
      </c>
      <c r="E210" s="235" t="s">
        <v>1</v>
      </c>
      <c r="F210" s="236" t="s">
        <v>2294</v>
      </c>
      <c r="G210" s="233"/>
      <c r="H210" s="237">
        <v>75</v>
      </c>
      <c r="I210" s="238"/>
      <c r="J210" s="233"/>
      <c r="K210" s="233"/>
      <c r="L210" s="239"/>
      <c r="M210" s="240"/>
      <c r="N210" s="241"/>
      <c r="O210" s="241"/>
      <c r="P210" s="241"/>
      <c r="Q210" s="241"/>
      <c r="R210" s="241"/>
      <c r="S210" s="241"/>
      <c r="T210" s="242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T210" s="243" t="s">
        <v>165</v>
      </c>
      <c r="AU210" s="243" t="s">
        <v>86</v>
      </c>
      <c r="AV210" s="13" t="s">
        <v>86</v>
      </c>
      <c r="AW210" s="13" t="s">
        <v>32</v>
      </c>
      <c r="AX210" s="13" t="s">
        <v>8</v>
      </c>
      <c r="AY210" s="243" t="s">
        <v>157</v>
      </c>
    </row>
    <row r="211" s="2" customFormat="1" ht="24.15" customHeight="1">
      <c r="A211" s="37"/>
      <c r="B211" s="38"/>
      <c r="C211" s="218" t="s">
        <v>381</v>
      </c>
      <c r="D211" s="218" t="s">
        <v>159</v>
      </c>
      <c r="E211" s="219" t="s">
        <v>2295</v>
      </c>
      <c r="F211" s="220" t="s">
        <v>2296</v>
      </c>
      <c r="G211" s="221" t="s">
        <v>565</v>
      </c>
      <c r="H211" s="222">
        <v>25</v>
      </c>
      <c r="I211" s="223"/>
      <c r="J211" s="224">
        <f>ROUND(I211*H211,0)</f>
        <v>0</v>
      </c>
      <c r="K211" s="225"/>
      <c r="L211" s="43"/>
      <c r="M211" s="226" t="s">
        <v>1</v>
      </c>
      <c r="N211" s="227" t="s">
        <v>42</v>
      </c>
      <c r="O211" s="90"/>
      <c r="P211" s="228">
        <f>O211*H211</f>
        <v>0</v>
      </c>
      <c r="Q211" s="228">
        <v>0</v>
      </c>
      <c r="R211" s="228">
        <f>Q211*H211</f>
        <v>0</v>
      </c>
      <c r="S211" s="228">
        <v>0</v>
      </c>
      <c r="T211" s="229">
        <f>S211*H211</f>
        <v>0</v>
      </c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R211" s="230" t="s">
        <v>163</v>
      </c>
      <c r="AT211" s="230" t="s">
        <v>159</v>
      </c>
      <c r="AU211" s="230" t="s">
        <v>86</v>
      </c>
      <c r="AY211" s="16" t="s">
        <v>157</v>
      </c>
      <c r="BE211" s="231">
        <f>IF(N211="základní",J211,0)</f>
        <v>0</v>
      </c>
      <c r="BF211" s="231">
        <f>IF(N211="snížená",J211,0)</f>
        <v>0</v>
      </c>
      <c r="BG211" s="231">
        <f>IF(N211="zákl. přenesená",J211,0)</f>
        <v>0</v>
      </c>
      <c r="BH211" s="231">
        <f>IF(N211="sníž. přenesená",J211,0)</f>
        <v>0</v>
      </c>
      <c r="BI211" s="231">
        <f>IF(N211="nulová",J211,0)</f>
        <v>0</v>
      </c>
      <c r="BJ211" s="16" t="s">
        <v>8</v>
      </c>
      <c r="BK211" s="231">
        <f>ROUND(I211*H211,0)</f>
        <v>0</v>
      </c>
      <c r="BL211" s="16" t="s">
        <v>163</v>
      </c>
      <c r="BM211" s="230" t="s">
        <v>2297</v>
      </c>
    </row>
    <row r="212" s="2" customFormat="1" ht="24.15" customHeight="1">
      <c r="A212" s="37"/>
      <c r="B212" s="38"/>
      <c r="C212" s="218" t="s">
        <v>386</v>
      </c>
      <c r="D212" s="218" t="s">
        <v>159</v>
      </c>
      <c r="E212" s="219" t="s">
        <v>2298</v>
      </c>
      <c r="F212" s="220" t="s">
        <v>2299</v>
      </c>
      <c r="G212" s="221" t="s">
        <v>162</v>
      </c>
      <c r="H212" s="222">
        <v>169</v>
      </c>
      <c r="I212" s="223"/>
      <c r="J212" s="224">
        <f>ROUND(I212*H212,0)</f>
        <v>0</v>
      </c>
      <c r="K212" s="225"/>
      <c r="L212" s="43"/>
      <c r="M212" s="226" t="s">
        <v>1</v>
      </c>
      <c r="N212" s="227" t="s">
        <v>42</v>
      </c>
      <c r="O212" s="90"/>
      <c r="P212" s="228">
        <f>O212*H212</f>
        <v>0</v>
      </c>
      <c r="Q212" s="228">
        <v>0</v>
      </c>
      <c r="R212" s="228">
        <f>Q212*H212</f>
        <v>0</v>
      </c>
      <c r="S212" s="228">
        <v>0</v>
      </c>
      <c r="T212" s="229">
        <f>S212*H212</f>
        <v>0</v>
      </c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R212" s="230" t="s">
        <v>163</v>
      </c>
      <c r="AT212" s="230" t="s">
        <v>159</v>
      </c>
      <c r="AU212" s="230" t="s">
        <v>86</v>
      </c>
      <c r="AY212" s="16" t="s">
        <v>157</v>
      </c>
      <c r="BE212" s="231">
        <f>IF(N212="základní",J212,0)</f>
        <v>0</v>
      </c>
      <c r="BF212" s="231">
        <f>IF(N212="snížená",J212,0)</f>
        <v>0</v>
      </c>
      <c r="BG212" s="231">
        <f>IF(N212="zákl. přenesená",J212,0)</f>
        <v>0</v>
      </c>
      <c r="BH212" s="231">
        <f>IF(N212="sníž. přenesená",J212,0)</f>
        <v>0</v>
      </c>
      <c r="BI212" s="231">
        <f>IF(N212="nulová",J212,0)</f>
        <v>0</v>
      </c>
      <c r="BJ212" s="16" t="s">
        <v>8</v>
      </c>
      <c r="BK212" s="231">
        <f>ROUND(I212*H212,0)</f>
        <v>0</v>
      </c>
      <c r="BL212" s="16" t="s">
        <v>163</v>
      </c>
      <c r="BM212" s="230" t="s">
        <v>2300</v>
      </c>
    </row>
    <row r="213" s="13" customFormat="1">
      <c r="A213" s="13"/>
      <c r="B213" s="232"/>
      <c r="C213" s="233"/>
      <c r="D213" s="234" t="s">
        <v>165</v>
      </c>
      <c r="E213" s="235" t="s">
        <v>1</v>
      </c>
      <c r="F213" s="236" t="s">
        <v>2190</v>
      </c>
      <c r="G213" s="233"/>
      <c r="H213" s="237">
        <v>160</v>
      </c>
      <c r="I213" s="238"/>
      <c r="J213" s="233"/>
      <c r="K213" s="233"/>
      <c r="L213" s="239"/>
      <c r="M213" s="240"/>
      <c r="N213" s="241"/>
      <c r="O213" s="241"/>
      <c r="P213" s="241"/>
      <c r="Q213" s="241"/>
      <c r="R213" s="241"/>
      <c r="S213" s="241"/>
      <c r="T213" s="242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T213" s="243" t="s">
        <v>165</v>
      </c>
      <c r="AU213" s="243" t="s">
        <v>86</v>
      </c>
      <c r="AV213" s="13" t="s">
        <v>86</v>
      </c>
      <c r="AW213" s="13" t="s">
        <v>32</v>
      </c>
      <c r="AX213" s="13" t="s">
        <v>77</v>
      </c>
      <c r="AY213" s="243" t="s">
        <v>157</v>
      </c>
    </row>
    <row r="214" s="13" customFormat="1">
      <c r="A214" s="13"/>
      <c r="B214" s="232"/>
      <c r="C214" s="233"/>
      <c r="D214" s="234" t="s">
        <v>165</v>
      </c>
      <c r="E214" s="235" t="s">
        <v>1</v>
      </c>
      <c r="F214" s="236" t="s">
        <v>2301</v>
      </c>
      <c r="G214" s="233"/>
      <c r="H214" s="237">
        <v>9</v>
      </c>
      <c r="I214" s="238"/>
      <c r="J214" s="233"/>
      <c r="K214" s="233"/>
      <c r="L214" s="239"/>
      <c r="M214" s="240"/>
      <c r="N214" s="241"/>
      <c r="O214" s="241"/>
      <c r="P214" s="241"/>
      <c r="Q214" s="241"/>
      <c r="R214" s="241"/>
      <c r="S214" s="241"/>
      <c r="T214" s="242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T214" s="243" t="s">
        <v>165</v>
      </c>
      <c r="AU214" s="243" t="s">
        <v>86</v>
      </c>
      <c r="AV214" s="13" t="s">
        <v>86</v>
      </c>
      <c r="AW214" s="13" t="s">
        <v>32</v>
      </c>
      <c r="AX214" s="13" t="s">
        <v>77</v>
      </c>
      <c r="AY214" s="243" t="s">
        <v>157</v>
      </c>
    </row>
    <row r="215" s="2" customFormat="1" ht="37.8" customHeight="1">
      <c r="A215" s="37"/>
      <c r="B215" s="38"/>
      <c r="C215" s="254" t="s">
        <v>390</v>
      </c>
      <c r="D215" s="254" t="s">
        <v>229</v>
      </c>
      <c r="E215" s="255" t="s">
        <v>2302</v>
      </c>
      <c r="F215" s="256" t="s">
        <v>2303</v>
      </c>
      <c r="G215" s="257" t="s">
        <v>162</v>
      </c>
      <c r="H215" s="258">
        <v>169</v>
      </c>
      <c r="I215" s="259"/>
      <c r="J215" s="260">
        <f>ROUND(I215*H215,0)</f>
        <v>0</v>
      </c>
      <c r="K215" s="261"/>
      <c r="L215" s="262"/>
      <c r="M215" s="263" t="s">
        <v>1</v>
      </c>
      <c r="N215" s="264" t="s">
        <v>42</v>
      </c>
      <c r="O215" s="90"/>
      <c r="P215" s="228">
        <f>O215*H215</f>
        <v>0</v>
      </c>
      <c r="Q215" s="228">
        <v>1.7</v>
      </c>
      <c r="R215" s="228">
        <f>Q215*H215</f>
        <v>287.30000000000001</v>
      </c>
      <c r="S215" s="228">
        <v>0</v>
      </c>
      <c r="T215" s="229">
        <f>S215*H215</f>
        <v>0</v>
      </c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R215" s="230" t="s">
        <v>200</v>
      </c>
      <c r="AT215" s="230" t="s">
        <v>229</v>
      </c>
      <c r="AU215" s="230" t="s">
        <v>86</v>
      </c>
      <c r="AY215" s="16" t="s">
        <v>157</v>
      </c>
      <c r="BE215" s="231">
        <f>IF(N215="základní",J215,0)</f>
        <v>0</v>
      </c>
      <c r="BF215" s="231">
        <f>IF(N215="snížená",J215,0)</f>
        <v>0</v>
      </c>
      <c r="BG215" s="231">
        <f>IF(N215="zákl. přenesená",J215,0)</f>
        <v>0</v>
      </c>
      <c r="BH215" s="231">
        <f>IF(N215="sníž. přenesená",J215,0)</f>
        <v>0</v>
      </c>
      <c r="BI215" s="231">
        <f>IF(N215="nulová",J215,0)</f>
        <v>0</v>
      </c>
      <c r="BJ215" s="16" t="s">
        <v>8</v>
      </c>
      <c r="BK215" s="231">
        <f>ROUND(I215*H215,0)</f>
        <v>0</v>
      </c>
      <c r="BL215" s="16" t="s">
        <v>163</v>
      </c>
      <c r="BM215" s="230" t="s">
        <v>2304</v>
      </c>
    </row>
    <row r="216" s="13" customFormat="1">
      <c r="A216" s="13"/>
      <c r="B216" s="232"/>
      <c r="C216" s="233"/>
      <c r="D216" s="234" t="s">
        <v>165</v>
      </c>
      <c r="E216" s="235" t="s">
        <v>1</v>
      </c>
      <c r="F216" s="236" t="s">
        <v>2190</v>
      </c>
      <c r="G216" s="233"/>
      <c r="H216" s="237">
        <v>160</v>
      </c>
      <c r="I216" s="238"/>
      <c r="J216" s="233"/>
      <c r="K216" s="233"/>
      <c r="L216" s="239"/>
      <c r="M216" s="240"/>
      <c r="N216" s="241"/>
      <c r="O216" s="241"/>
      <c r="P216" s="241"/>
      <c r="Q216" s="241"/>
      <c r="R216" s="241"/>
      <c r="S216" s="241"/>
      <c r="T216" s="242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T216" s="243" t="s">
        <v>165</v>
      </c>
      <c r="AU216" s="243" t="s">
        <v>86</v>
      </c>
      <c r="AV216" s="13" t="s">
        <v>86</v>
      </c>
      <c r="AW216" s="13" t="s">
        <v>32</v>
      </c>
      <c r="AX216" s="13" t="s">
        <v>77</v>
      </c>
      <c r="AY216" s="243" t="s">
        <v>157</v>
      </c>
    </row>
    <row r="217" s="13" customFormat="1">
      <c r="A217" s="13"/>
      <c r="B217" s="232"/>
      <c r="C217" s="233"/>
      <c r="D217" s="234" t="s">
        <v>165</v>
      </c>
      <c r="E217" s="235" t="s">
        <v>1</v>
      </c>
      <c r="F217" s="236" t="s">
        <v>2301</v>
      </c>
      <c r="G217" s="233"/>
      <c r="H217" s="237">
        <v>9</v>
      </c>
      <c r="I217" s="238"/>
      <c r="J217" s="233"/>
      <c r="K217" s="233"/>
      <c r="L217" s="239"/>
      <c r="M217" s="240"/>
      <c r="N217" s="241"/>
      <c r="O217" s="241"/>
      <c r="P217" s="241"/>
      <c r="Q217" s="241"/>
      <c r="R217" s="241"/>
      <c r="S217" s="241"/>
      <c r="T217" s="242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T217" s="243" t="s">
        <v>165</v>
      </c>
      <c r="AU217" s="243" t="s">
        <v>86</v>
      </c>
      <c r="AV217" s="13" t="s">
        <v>86</v>
      </c>
      <c r="AW217" s="13" t="s">
        <v>32</v>
      </c>
      <c r="AX217" s="13" t="s">
        <v>77</v>
      </c>
      <c r="AY217" s="243" t="s">
        <v>157</v>
      </c>
    </row>
    <row r="218" s="2" customFormat="1" ht="21.75" customHeight="1">
      <c r="A218" s="37"/>
      <c r="B218" s="38"/>
      <c r="C218" s="218" t="s">
        <v>398</v>
      </c>
      <c r="D218" s="218" t="s">
        <v>159</v>
      </c>
      <c r="E218" s="219" t="s">
        <v>2305</v>
      </c>
      <c r="F218" s="220" t="s">
        <v>2306</v>
      </c>
      <c r="G218" s="221" t="s">
        <v>162</v>
      </c>
      <c r="H218" s="222">
        <v>13</v>
      </c>
      <c r="I218" s="223"/>
      <c r="J218" s="224">
        <f>ROUND(I218*H218,0)</f>
        <v>0</v>
      </c>
      <c r="K218" s="225"/>
      <c r="L218" s="43"/>
      <c r="M218" s="226" t="s">
        <v>1</v>
      </c>
      <c r="N218" s="227" t="s">
        <v>42</v>
      </c>
      <c r="O218" s="90"/>
      <c r="P218" s="228">
        <f>O218*H218</f>
        <v>0</v>
      </c>
      <c r="Q218" s="228">
        <v>0</v>
      </c>
      <c r="R218" s="228">
        <f>Q218*H218</f>
        <v>0</v>
      </c>
      <c r="S218" s="228">
        <v>0</v>
      </c>
      <c r="T218" s="229">
        <f>S218*H218</f>
        <v>0</v>
      </c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R218" s="230" t="s">
        <v>163</v>
      </c>
      <c r="AT218" s="230" t="s">
        <v>159</v>
      </c>
      <c r="AU218" s="230" t="s">
        <v>86</v>
      </c>
      <c r="AY218" s="16" t="s">
        <v>157</v>
      </c>
      <c r="BE218" s="231">
        <f>IF(N218="základní",J218,0)</f>
        <v>0</v>
      </c>
      <c r="BF218" s="231">
        <f>IF(N218="snížená",J218,0)</f>
        <v>0</v>
      </c>
      <c r="BG218" s="231">
        <f>IF(N218="zákl. přenesená",J218,0)</f>
        <v>0</v>
      </c>
      <c r="BH218" s="231">
        <f>IF(N218="sníž. přenesená",J218,0)</f>
        <v>0</v>
      </c>
      <c r="BI218" s="231">
        <f>IF(N218="nulová",J218,0)</f>
        <v>0</v>
      </c>
      <c r="BJ218" s="16" t="s">
        <v>8</v>
      </c>
      <c r="BK218" s="231">
        <f>ROUND(I218*H218,0)</f>
        <v>0</v>
      </c>
      <c r="BL218" s="16" t="s">
        <v>163</v>
      </c>
      <c r="BM218" s="230" t="s">
        <v>2307</v>
      </c>
    </row>
    <row r="219" s="2" customFormat="1" ht="24.15" customHeight="1">
      <c r="A219" s="37"/>
      <c r="B219" s="38"/>
      <c r="C219" s="218" t="s">
        <v>404</v>
      </c>
      <c r="D219" s="218" t="s">
        <v>159</v>
      </c>
      <c r="E219" s="219" t="s">
        <v>2308</v>
      </c>
      <c r="F219" s="220" t="s">
        <v>2309</v>
      </c>
      <c r="G219" s="221" t="s">
        <v>162</v>
      </c>
      <c r="H219" s="222">
        <v>26</v>
      </c>
      <c r="I219" s="223"/>
      <c r="J219" s="224">
        <f>ROUND(I219*H219,0)</f>
        <v>0</v>
      </c>
      <c r="K219" s="225"/>
      <c r="L219" s="43"/>
      <c r="M219" s="226" t="s">
        <v>1</v>
      </c>
      <c r="N219" s="227" t="s">
        <v>42</v>
      </c>
      <c r="O219" s="90"/>
      <c r="P219" s="228">
        <f>O219*H219</f>
        <v>0</v>
      </c>
      <c r="Q219" s="228">
        <v>0</v>
      </c>
      <c r="R219" s="228">
        <f>Q219*H219</f>
        <v>0</v>
      </c>
      <c r="S219" s="228">
        <v>0</v>
      </c>
      <c r="T219" s="229">
        <f>S219*H219</f>
        <v>0</v>
      </c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R219" s="230" t="s">
        <v>163</v>
      </c>
      <c r="AT219" s="230" t="s">
        <v>159</v>
      </c>
      <c r="AU219" s="230" t="s">
        <v>86</v>
      </c>
      <c r="AY219" s="16" t="s">
        <v>157</v>
      </c>
      <c r="BE219" s="231">
        <f>IF(N219="základní",J219,0)</f>
        <v>0</v>
      </c>
      <c r="BF219" s="231">
        <f>IF(N219="snížená",J219,0)</f>
        <v>0</v>
      </c>
      <c r="BG219" s="231">
        <f>IF(N219="zákl. přenesená",J219,0)</f>
        <v>0</v>
      </c>
      <c r="BH219" s="231">
        <f>IF(N219="sníž. přenesená",J219,0)</f>
        <v>0</v>
      </c>
      <c r="BI219" s="231">
        <f>IF(N219="nulová",J219,0)</f>
        <v>0</v>
      </c>
      <c r="BJ219" s="16" t="s">
        <v>8</v>
      </c>
      <c r="BK219" s="231">
        <f>ROUND(I219*H219,0)</f>
        <v>0</v>
      </c>
      <c r="BL219" s="16" t="s">
        <v>163</v>
      </c>
      <c r="BM219" s="230" t="s">
        <v>2310</v>
      </c>
    </row>
    <row r="220" s="13" customFormat="1">
      <c r="A220" s="13"/>
      <c r="B220" s="232"/>
      <c r="C220" s="233"/>
      <c r="D220" s="234" t="s">
        <v>165</v>
      </c>
      <c r="E220" s="235" t="s">
        <v>1</v>
      </c>
      <c r="F220" s="236" t="s">
        <v>2311</v>
      </c>
      <c r="G220" s="233"/>
      <c r="H220" s="237">
        <v>26</v>
      </c>
      <c r="I220" s="238"/>
      <c r="J220" s="233"/>
      <c r="K220" s="233"/>
      <c r="L220" s="239"/>
      <c r="M220" s="240"/>
      <c r="N220" s="241"/>
      <c r="O220" s="241"/>
      <c r="P220" s="241"/>
      <c r="Q220" s="241"/>
      <c r="R220" s="241"/>
      <c r="S220" s="241"/>
      <c r="T220" s="242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T220" s="243" t="s">
        <v>165</v>
      </c>
      <c r="AU220" s="243" t="s">
        <v>86</v>
      </c>
      <c r="AV220" s="13" t="s">
        <v>86</v>
      </c>
      <c r="AW220" s="13" t="s">
        <v>32</v>
      </c>
      <c r="AX220" s="13" t="s">
        <v>77</v>
      </c>
      <c r="AY220" s="243" t="s">
        <v>157</v>
      </c>
    </row>
    <row r="221" s="2" customFormat="1" ht="16.5" customHeight="1">
      <c r="A221" s="37"/>
      <c r="B221" s="38"/>
      <c r="C221" s="218" t="s">
        <v>409</v>
      </c>
      <c r="D221" s="218" t="s">
        <v>159</v>
      </c>
      <c r="E221" s="219" t="s">
        <v>2312</v>
      </c>
      <c r="F221" s="220" t="s">
        <v>2313</v>
      </c>
      <c r="G221" s="221" t="s">
        <v>353</v>
      </c>
      <c r="H221" s="222">
        <v>25</v>
      </c>
      <c r="I221" s="223"/>
      <c r="J221" s="224">
        <f>ROUND(I221*H221,0)</f>
        <v>0</v>
      </c>
      <c r="K221" s="225"/>
      <c r="L221" s="43"/>
      <c r="M221" s="226" t="s">
        <v>1</v>
      </c>
      <c r="N221" s="227" t="s">
        <v>42</v>
      </c>
      <c r="O221" s="90"/>
      <c r="P221" s="228">
        <f>O221*H221</f>
        <v>0</v>
      </c>
      <c r="Q221" s="228">
        <v>0</v>
      </c>
      <c r="R221" s="228">
        <f>Q221*H221</f>
        <v>0</v>
      </c>
      <c r="S221" s="228">
        <v>0</v>
      </c>
      <c r="T221" s="229">
        <f>S221*H221</f>
        <v>0</v>
      </c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R221" s="230" t="s">
        <v>163</v>
      </c>
      <c r="AT221" s="230" t="s">
        <v>159</v>
      </c>
      <c r="AU221" s="230" t="s">
        <v>86</v>
      </c>
      <c r="AY221" s="16" t="s">
        <v>157</v>
      </c>
      <c r="BE221" s="231">
        <f>IF(N221="základní",J221,0)</f>
        <v>0</v>
      </c>
      <c r="BF221" s="231">
        <f>IF(N221="snížená",J221,0)</f>
        <v>0</v>
      </c>
      <c r="BG221" s="231">
        <f>IF(N221="zákl. přenesená",J221,0)</f>
        <v>0</v>
      </c>
      <c r="BH221" s="231">
        <f>IF(N221="sníž. přenesená",J221,0)</f>
        <v>0</v>
      </c>
      <c r="BI221" s="231">
        <f>IF(N221="nulová",J221,0)</f>
        <v>0</v>
      </c>
      <c r="BJ221" s="16" t="s">
        <v>8</v>
      </c>
      <c r="BK221" s="231">
        <f>ROUND(I221*H221,0)</f>
        <v>0</v>
      </c>
      <c r="BL221" s="16" t="s">
        <v>163</v>
      </c>
      <c r="BM221" s="230" t="s">
        <v>2314</v>
      </c>
    </row>
    <row r="222" s="2" customFormat="1" ht="21.75" customHeight="1">
      <c r="A222" s="37"/>
      <c r="B222" s="38"/>
      <c r="C222" s="218" t="s">
        <v>414</v>
      </c>
      <c r="D222" s="218" t="s">
        <v>159</v>
      </c>
      <c r="E222" s="219" t="s">
        <v>2315</v>
      </c>
      <c r="F222" s="220" t="s">
        <v>2316</v>
      </c>
      <c r="G222" s="221" t="s">
        <v>407</v>
      </c>
      <c r="H222" s="222">
        <v>1</v>
      </c>
      <c r="I222" s="223"/>
      <c r="J222" s="224">
        <f>ROUND(I222*H222,0)</f>
        <v>0</v>
      </c>
      <c r="K222" s="225"/>
      <c r="L222" s="43"/>
      <c r="M222" s="226" t="s">
        <v>1</v>
      </c>
      <c r="N222" s="227" t="s">
        <v>42</v>
      </c>
      <c r="O222" s="90"/>
      <c r="P222" s="228">
        <f>O222*H222</f>
        <v>0</v>
      </c>
      <c r="Q222" s="228">
        <v>0</v>
      </c>
      <c r="R222" s="228">
        <f>Q222*H222</f>
        <v>0</v>
      </c>
      <c r="S222" s="228">
        <v>0</v>
      </c>
      <c r="T222" s="229">
        <f>S222*H222</f>
        <v>0</v>
      </c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R222" s="230" t="s">
        <v>163</v>
      </c>
      <c r="AT222" s="230" t="s">
        <v>159</v>
      </c>
      <c r="AU222" s="230" t="s">
        <v>86</v>
      </c>
      <c r="AY222" s="16" t="s">
        <v>157</v>
      </c>
      <c r="BE222" s="231">
        <f>IF(N222="základní",J222,0)</f>
        <v>0</v>
      </c>
      <c r="BF222" s="231">
        <f>IF(N222="snížená",J222,0)</f>
        <v>0</v>
      </c>
      <c r="BG222" s="231">
        <f>IF(N222="zákl. přenesená",J222,0)</f>
        <v>0</v>
      </c>
      <c r="BH222" s="231">
        <f>IF(N222="sníž. přenesená",J222,0)</f>
        <v>0</v>
      </c>
      <c r="BI222" s="231">
        <f>IF(N222="nulová",J222,0)</f>
        <v>0</v>
      </c>
      <c r="BJ222" s="16" t="s">
        <v>8</v>
      </c>
      <c r="BK222" s="231">
        <f>ROUND(I222*H222,0)</f>
        <v>0</v>
      </c>
      <c r="BL222" s="16" t="s">
        <v>163</v>
      </c>
      <c r="BM222" s="230" t="s">
        <v>2317</v>
      </c>
    </row>
    <row r="223" s="12" customFormat="1" ht="22.8" customHeight="1">
      <c r="A223" s="12"/>
      <c r="B223" s="202"/>
      <c r="C223" s="203"/>
      <c r="D223" s="204" t="s">
        <v>76</v>
      </c>
      <c r="E223" s="216" t="s">
        <v>86</v>
      </c>
      <c r="F223" s="216" t="s">
        <v>212</v>
      </c>
      <c r="G223" s="203"/>
      <c r="H223" s="203"/>
      <c r="I223" s="206"/>
      <c r="J223" s="217">
        <f>BK223</f>
        <v>0</v>
      </c>
      <c r="K223" s="203"/>
      <c r="L223" s="208"/>
      <c r="M223" s="209"/>
      <c r="N223" s="210"/>
      <c r="O223" s="210"/>
      <c r="P223" s="211">
        <f>SUM(P224:P229)</f>
        <v>0</v>
      </c>
      <c r="Q223" s="210"/>
      <c r="R223" s="211">
        <f>SUM(R224:R229)</f>
        <v>54.029265249999995</v>
      </c>
      <c r="S223" s="210"/>
      <c r="T223" s="212">
        <f>SUM(T224:T229)</f>
        <v>0</v>
      </c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R223" s="213" t="s">
        <v>8</v>
      </c>
      <c r="AT223" s="214" t="s">
        <v>76</v>
      </c>
      <c r="AU223" s="214" t="s">
        <v>8</v>
      </c>
      <c r="AY223" s="213" t="s">
        <v>157</v>
      </c>
      <c r="BK223" s="215">
        <f>SUM(BK224:BK229)</f>
        <v>0</v>
      </c>
    </row>
    <row r="224" s="2" customFormat="1" ht="24.15" customHeight="1">
      <c r="A224" s="37"/>
      <c r="B224" s="38"/>
      <c r="C224" s="218" t="s">
        <v>419</v>
      </c>
      <c r="D224" s="218" t="s">
        <v>159</v>
      </c>
      <c r="E224" s="219" t="s">
        <v>2318</v>
      </c>
      <c r="F224" s="220" t="s">
        <v>2319</v>
      </c>
      <c r="G224" s="221" t="s">
        <v>162</v>
      </c>
      <c r="H224" s="222">
        <v>3.5</v>
      </c>
      <c r="I224" s="223"/>
      <c r="J224" s="224">
        <f>ROUND(I224*H224,0)</f>
        <v>0</v>
      </c>
      <c r="K224" s="225"/>
      <c r="L224" s="43"/>
      <c r="M224" s="226" t="s">
        <v>1</v>
      </c>
      <c r="N224" s="227" t="s">
        <v>42</v>
      </c>
      <c r="O224" s="90"/>
      <c r="P224" s="228">
        <f>O224*H224</f>
        <v>0</v>
      </c>
      <c r="Q224" s="228">
        <v>2.1600000000000001</v>
      </c>
      <c r="R224" s="228">
        <f>Q224*H224</f>
        <v>7.5600000000000005</v>
      </c>
      <c r="S224" s="228">
        <v>0</v>
      </c>
      <c r="T224" s="229">
        <f>S224*H224</f>
        <v>0</v>
      </c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R224" s="230" t="s">
        <v>163</v>
      </c>
      <c r="AT224" s="230" t="s">
        <v>159</v>
      </c>
      <c r="AU224" s="230" t="s">
        <v>86</v>
      </c>
      <c r="AY224" s="16" t="s">
        <v>157</v>
      </c>
      <c r="BE224" s="231">
        <f>IF(N224="základní",J224,0)</f>
        <v>0</v>
      </c>
      <c r="BF224" s="231">
        <f>IF(N224="snížená",J224,0)</f>
        <v>0</v>
      </c>
      <c r="BG224" s="231">
        <f>IF(N224="zákl. přenesená",J224,0)</f>
        <v>0</v>
      </c>
      <c r="BH224" s="231">
        <f>IF(N224="sníž. přenesená",J224,0)</f>
        <v>0</v>
      </c>
      <c r="BI224" s="231">
        <f>IF(N224="nulová",J224,0)</f>
        <v>0</v>
      </c>
      <c r="BJ224" s="16" t="s">
        <v>8</v>
      </c>
      <c r="BK224" s="231">
        <f>ROUND(I224*H224,0)</f>
        <v>0</v>
      </c>
      <c r="BL224" s="16" t="s">
        <v>163</v>
      </c>
      <c r="BM224" s="230" t="s">
        <v>2320</v>
      </c>
    </row>
    <row r="225" s="13" customFormat="1">
      <c r="A225" s="13"/>
      <c r="B225" s="232"/>
      <c r="C225" s="233"/>
      <c r="D225" s="234" t="s">
        <v>165</v>
      </c>
      <c r="E225" s="235" t="s">
        <v>1</v>
      </c>
      <c r="F225" s="236" t="s">
        <v>2321</v>
      </c>
      <c r="G225" s="233"/>
      <c r="H225" s="237">
        <v>3.5</v>
      </c>
      <c r="I225" s="238"/>
      <c r="J225" s="233"/>
      <c r="K225" s="233"/>
      <c r="L225" s="239"/>
      <c r="M225" s="240"/>
      <c r="N225" s="241"/>
      <c r="O225" s="241"/>
      <c r="P225" s="241"/>
      <c r="Q225" s="241"/>
      <c r="R225" s="241"/>
      <c r="S225" s="241"/>
      <c r="T225" s="242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T225" s="243" t="s">
        <v>165</v>
      </c>
      <c r="AU225" s="243" t="s">
        <v>86</v>
      </c>
      <c r="AV225" s="13" t="s">
        <v>86</v>
      </c>
      <c r="AW225" s="13" t="s">
        <v>32</v>
      </c>
      <c r="AX225" s="13" t="s">
        <v>77</v>
      </c>
      <c r="AY225" s="243" t="s">
        <v>157</v>
      </c>
    </row>
    <row r="226" s="2" customFormat="1" ht="24.15" customHeight="1">
      <c r="A226" s="37"/>
      <c r="B226" s="38"/>
      <c r="C226" s="218" t="s">
        <v>423</v>
      </c>
      <c r="D226" s="218" t="s">
        <v>159</v>
      </c>
      <c r="E226" s="219" t="s">
        <v>2322</v>
      </c>
      <c r="F226" s="220" t="s">
        <v>2323</v>
      </c>
      <c r="G226" s="221" t="s">
        <v>162</v>
      </c>
      <c r="H226" s="222">
        <v>18.113</v>
      </c>
      <c r="I226" s="223"/>
      <c r="J226" s="224">
        <f>ROUND(I226*H226,0)</f>
        <v>0</v>
      </c>
      <c r="K226" s="225"/>
      <c r="L226" s="43"/>
      <c r="M226" s="226" t="s">
        <v>1</v>
      </c>
      <c r="N226" s="227" t="s">
        <v>42</v>
      </c>
      <c r="O226" s="90"/>
      <c r="P226" s="228">
        <f>O226*H226</f>
        <v>0</v>
      </c>
      <c r="Q226" s="228">
        <v>2.5018699999999998</v>
      </c>
      <c r="R226" s="228">
        <f>Q226*H226</f>
        <v>45.316371309999994</v>
      </c>
      <c r="S226" s="228">
        <v>0</v>
      </c>
      <c r="T226" s="229">
        <f>S226*H226</f>
        <v>0</v>
      </c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R226" s="230" t="s">
        <v>163</v>
      </c>
      <c r="AT226" s="230" t="s">
        <v>159</v>
      </c>
      <c r="AU226" s="230" t="s">
        <v>86</v>
      </c>
      <c r="AY226" s="16" t="s">
        <v>157</v>
      </c>
      <c r="BE226" s="231">
        <f>IF(N226="základní",J226,0)</f>
        <v>0</v>
      </c>
      <c r="BF226" s="231">
        <f>IF(N226="snížená",J226,0)</f>
        <v>0</v>
      </c>
      <c r="BG226" s="231">
        <f>IF(N226="zákl. přenesená",J226,0)</f>
        <v>0</v>
      </c>
      <c r="BH226" s="231">
        <f>IF(N226="sníž. přenesená",J226,0)</f>
        <v>0</v>
      </c>
      <c r="BI226" s="231">
        <f>IF(N226="nulová",J226,0)</f>
        <v>0</v>
      </c>
      <c r="BJ226" s="16" t="s">
        <v>8</v>
      </c>
      <c r="BK226" s="231">
        <f>ROUND(I226*H226,0)</f>
        <v>0</v>
      </c>
      <c r="BL226" s="16" t="s">
        <v>163</v>
      </c>
      <c r="BM226" s="230" t="s">
        <v>2324</v>
      </c>
    </row>
    <row r="227" s="13" customFormat="1">
      <c r="A227" s="13"/>
      <c r="B227" s="232"/>
      <c r="C227" s="233"/>
      <c r="D227" s="234" t="s">
        <v>165</v>
      </c>
      <c r="E227" s="235" t="s">
        <v>1</v>
      </c>
      <c r="F227" s="236" t="s">
        <v>2325</v>
      </c>
      <c r="G227" s="233"/>
      <c r="H227" s="237">
        <v>18.113</v>
      </c>
      <c r="I227" s="238"/>
      <c r="J227" s="233"/>
      <c r="K227" s="233"/>
      <c r="L227" s="239"/>
      <c r="M227" s="240"/>
      <c r="N227" s="241"/>
      <c r="O227" s="241"/>
      <c r="P227" s="241"/>
      <c r="Q227" s="241"/>
      <c r="R227" s="241"/>
      <c r="S227" s="241"/>
      <c r="T227" s="242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T227" s="243" t="s">
        <v>165</v>
      </c>
      <c r="AU227" s="243" t="s">
        <v>86</v>
      </c>
      <c r="AV227" s="13" t="s">
        <v>86</v>
      </c>
      <c r="AW227" s="13" t="s">
        <v>32</v>
      </c>
      <c r="AX227" s="13" t="s">
        <v>77</v>
      </c>
      <c r="AY227" s="243" t="s">
        <v>157</v>
      </c>
    </row>
    <row r="228" s="2" customFormat="1" ht="21.75" customHeight="1">
      <c r="A228" s="37"/>
      <c r="B228" s="38"/>
      <c r="C228" s="218" t="s">
        <v>428</v>
      </c>
      <c r="D228" s="218" t="s">
        <v>159</v>
      </c>
      <c r="E228" s="219" t="s">
        <v>283</v>
      </c>
      <c r="F228" s="220" t="s">
        <v>284</v>
      </c>
      <c r="G228" s="221" t="s">
        <v>193</v>
      </c>
      <c r="H228" s="222">
        <v>1.087</v>
      </c>
      <c r="I228" s="223"/>
      <c r="J228" s="224">
        <f>ROUND(I228*H228,0)</f>
        <v>0</v>
      </c>
      <c r="K228" s="225"/>
      <c r="L228" s="43"/>
      <c r="M228" s="226" t="s">
        <v>1</v>
      </c>
      <c r="N228" s="227" t="s">
        <v>42</v>
      </c>
      <c r="O228" s="90"/>
      <c r="P228" s="228">
        <f>O228*H228</f>
        <v>0</v>
      </c>
      <c r="Q228" s="228">
        <v>1.0606199999999999</v>
      </c>
      <c r="R228" s="228">
        <f>Q228*H228</f>
        <v>1.1528939399999998</v>
      </c>
      <c r="S228" s="228">
        <v>0</v>
      </c>
      <c r="T228" s="229">
        <f>S228*H228</f>
        <v>0</v>
      </c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R228" s="230" t="s">
        <v>163</v>
      </c>
      <c r="AT228" s="230" t="s">
        <v>159</v>
      </c>
      <c r="AU228" s="230" t="s">
        <v>86</v>
      </c>
      <c r="AY228" s="16" t="s">
        <v>157</v>
      </c>
      <c r="BE228" s="231">
        <f>IF(N228="základní",J228,0)</f>
        <v>0</v>
      </c>
      <c r="BF228" s="231">
        <f>IF(N228="snížená",J228,0)</f>
        <v>0</v>
      </c>
      <c r="BG228" s="231">
        <f>IF(N228="zákl. přenesená",J228,0)</f>
        <v>0</v>
      </c>
      <c r="BH228" s="231">
        <f>IF(N228="sníž. přenesená",J228,0)</f>
        <v>0</v>
      </c>
      <c r="BI228" s="231">
        <f>IF(N228="nulová",J228,0)</f>
        <v>0</v>
      </c>
      <c r="BJ228" s="16" t="s">
        <v>8</v>
      </c>
      <c r="BK228" s="231">
        <f>ROUND(I228*H228,0)</f>
        <v>0</v>
      </c>
      <c r="BL228" s="16" t="s">
        <v>163</v>
      </c>
      <c r="BM228" s="230" t="s">
        <v>2326</v>
      </c>
    </row>
    <row r="229" s="13" customFormat="1">
      <c r="A229" s="13"/>
      <c r="B229" s="232"/>
      <c r="C229" s="233"/>
      <c r="D229" s="234" t="s">
        <v>165</v>
      </c>
      <c r="E229" s="235" t="s">
        <v>1</v>
      </c>
      <c r="F229" s="236" t="s">
        <v>2327</v>
      </c>
      <c r="G229" s="233"/>
      <c r="H229" s="237">
        <v>1.087</v>
      </c>
      <c r="I229" s="238"/>
      <c r="J229" s="233"/>
      <c r="K229" s="233"/>
      <c r="L229" s="239"/>
      <c r="M229" s="240"/>
      <c r="N229" s="241"/>
      <c r="O229" s="241"/>
      <c r="P229" s="241"/>
      <c r="Q229" s="241"/>
      <c r="R229" s="241"/>
      <c r="S229" s="241"/>
      <c r="T229" s="242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T229" s="243" t="s">
        <v>165</v>
      </c>
      <c r="AU229" s="243" t="s">
        <v>86</v>
      </c>
      <c r="AV229" s="13" t="s">
        <v>86</v>
      </c>
      <c r="AW229" s="13" t="s">
        <v>32</v>
      </c>
      <c r="AX229" s="13" t="s">
        <v>77</v>
      </c>
      <c r="AY229" s="243" t="s">
        <v>157</v>
      </c>
    </row>
    <row r="230" s="12" customFormat="1" ht="22.8" customHeight="1">
      <c r="A230" s="12"/>
      <c r="B230" s="202"/>
      <c r="C230" s="203"/>
      <c r="D230" s="204" t="s">
        <v>76</v>
      </c>
      <c r="E230" s="216" t="s">
        <v>176</v>
      </c>
      <c r="F230" s="216" t="s">
        <v>287</v>
      </c>
      <c r="G230" s="203"/>
      <c r="H230" s="203"/>
      <c r="I230" s="206"/>
      <c r="J230" s="217">
        <f>BK230</f>
        <v>0</v>
      </c>
      <c r="K230" s="203"/>
      <c r="L230" s="208"/>
      <c r="M230" s="209"/>
      <c r="N230" s="210"/>
      <c r="O230" s="210"/>
      <c r="P230" s="211">
        <f>SUM(P231:P286)</f>
        <v>0</v>
      </c>
      <c r="Q230" s="210"/>
      <c r="R230" s="211">
        <f>SUM(R231:R286)</f>
        <v>199.73644801</v>
      </c>
      <c r="S230" s="210"/>
      <c r="T230" s="212">
        <f>SUM(T231:T286)</f>
        <v>0</v>
      </c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R230" s="213" t="s">
        <v>8</v>
      </c>
      <c r="AT230" s="214" t="s">
        <v>76</v>
      </c>
      <c r="AU230" s="214" t="s">
        <v>8</v>
      </c>
      <c r="AY230" s="213" t="s">
        <v>157</v>
      </c>
      <c r="BK230" s="215">
        <f>SUM(BK231:BK286)</f>
        <v>0</v>
      </c>
    </row>
    <row r="231" s="2" customFormat="1" ht="37.8" customHeight="1">
      <c r="A231" s="37"/>
      <c r="B231" s="38"/>
      <c r="C231" s="218" t="s">
        <v>433</v>
      </c>
      <c r="D231" s="218" t="s">
        <v>159</v>
      </c>
      <c r="E231" s="219" t="s">
        <v>2328</v>
      </c>
      <c r="F231" s="220" t="s">
        <v>2329</v>
      </c>
      <c r="G231" s="221" t="s">
        <v>209</v>
      </c>
      <c r="H231" s="222">
        <v>35</v>
      </c>
      <c r="I231" s="223"/>
      <c r="J231" s="224">
        <f>ROUND(I231*H231,0)</f>
        <v>0</v>
      </c>
      <c r="K231" s="225"/>
      <c r="L231" s="43"/>
      <c r="M231" s="226" t="s">
        <v>1</v>
      </c>
      <c r="N231" s="227" t="s">
        <v>42</v>
      </c>
      <c r="O231" s="90"/>
      <c r="P231" s="228">
        <f>O231*H231</f>
        <v>0</v>
      </c>
      <c r="Q231" s="228">
        <v>1.2381500000000001</v>
      </c>
      <c r="R231" s="228">
        <f>Q231*H231</f>
        <v>43.335250000000002</v>
      </c>
      <c r="S231" s="228">
        <v>0</v>
      </c>
      <c r="T231" s="229">
        <f>S231*H231</f>
        <v>0</v>
      </c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R231" s="230" t="s">
        <v>163</v>
      </c>
      <c r="AT231" s="230" t="s">
        <v>159</v>
      </c>
      <c r="AU231" s="230" t="s">
        <v>86</v>
      </c>
      <c r="AY231" s="16" t="s">
        <v>157</v>
      </c>
      <c r="BE231" s="231">
        <f>IF(N231="základní",J231,0)</f>
        <v>0</v>
      </c>
      <c r="BF231" s="231">
        <f>IF(N231="snížená",J231,0)</f>
        <v>0</v>
      </c>
      <c r="BG231" s="231">
        <f>IF(N231="zákl. přenesená",J231,0)</f>
        <v>0</v>
      </c>
      <c r="BH231" s="231">
        <f>IF(N231="sníž. přenesená",J231,0)</f>
        <v>0</v>
      </c>
      <c r="BI231" s="231">
        <f>IF(N231="nulová",J231,0)</f>
        <v>0</v>
      </c>
      <c r="BJ231" s="16" t="s">
        <v>8</v>
      </c>
      <c r="BK231" s="231">
        <f>ROUND(I231*H231,0)</f>
        <v>0</v>
      </c>
      <c r="BL231" s="16" t="s">
        <v>163</v>
      </c>
      <c r="BM231" s="230" t="s">
        <v>2330</v>
      </c>
    </row>
    <row r="232" s="13" customFormat="1">
      <c r="A232" s="13"/>
      <c r="B232" s="232"/>
      <c r="C232" s="233"/>
      <c r="D232" s="234" t="s">
        <v>165</v>
      </c>
      <c r="E232" s="235" t="s">
        <v>1</v>
      </c>
      <c r="F232" s="236" t="s">
        <v>2331</v>
      </c>
      <c r="G232" s="233"/>
      <c r="H232" s="237">
        <v>35</v>
      </c>
      <c r="I232" s="238"/>
      <c r="J232" s="233"/>
      <c r="K232" s="233"/>
      <c r="L232" s="239"/>
      <c r="M232" s="240"/>
      <c r="N232" s="241"/>
      <c r="O232" s="241"/>
      <c r="P232" s="241"/>
      <c r="Q232" s="241"/>
      <c r="R232" s="241"/>
      <c r="S232" s="241"/>
      <c r="T232" s="242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T232" s="243" t="s">
        <v>165</v>
      </c>
      <c r="AU232" s="243" t="s">
        <v>86</v>
      </c>
      <c r="AV232" s="13" t="s">
        <v>86</v>
      </c>
      <c r="AW232" s="13" t="s">
        <v>32</v>
      </c>
      <c r="AX232" s="13" t="s">
        <v>77</v>
      </c>
      <c r="AY232" s="243" t="s">
        <v>157</v>
      </c>
    </row>
    <row r="233" s="2" customFormat="1" ht="16.5" customHeight="1">
      <c r="A233" s="37"/>
      <c r="B233" s="38"/>
      <c r="C233" s="218" t="s">
        <v>438</v>
      </c>
      <c r="D233" s="218" t="s">
        <v>159</v>
      </c>
      <c r="E233" s="219" t="s">
        <v>315</v>
      </c>
      <c r="F233" s="220" t="s">
        <v>316</v>
      </c>
      <c r="G233" s="221" t="s">
        <v>193</v>
      </c>
      <c r="H233" s="222">
        <v>1.05</v>
      </c>
      <c r="I233" s="223"/>
      <c r="J233" s="224">
        <f>ROUND(I233*H233,0)</f>
        <v>0</v>
      </c>
      <c r="K233" s="225"/>
      <c r="L233" s="43"/>
      <c r="M233" s="226" t="s">
        <v>1</v>
      </c>
      <c r="N233" s="227" t="s">
        <v>42</v>
      </c>
      <c r="O233" s="90"/>
      <c r="P233" s="228">
        <f>O233*H233</f>
        <v>0</v>
      </c>
      <c r="Q233" s="228">
        <v>1.04922</v>
      </c>
      <c r="R233" s="228">
        <f>Q233*H233</f>
        <v>1.1016810000000001</v>
      </c>
      <c r="S233" s="228">
        <v>0</v>
      </c>
      <c r="T233" s="229">
        <f>S233*H233</f>
        <v>0</v>
      </c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R233" s="230" t="s">
        <v>163</v>
      </c>
      <c r="AT233" s="230" t="s">
        <v>159</v>
      </c>
      <c r="AU233" s="230" t="s">
        <v>86</v>
      </c>
      <c r="AY233" s="16" t="s">
        <v>157</v>
      </c>
      <c r="BE233" s="231">
        <f>IF(N233="základní",J233,0)</f>
        <v>0</v>
      </c>
      <c r="BF233" s="231">
        <f>IF(N233="snížená",J233,0)</f>
        <v>0</v>
      </c>
      <c r="BG233" s="231">
        <f>IF(N233="zákl. přenesená",J233,0)</f>
        <v>0</v>
      </c>
      <c r="BH233" s="231">
        <f>IF(N233="sníž. přenesená",J233,0)</f>
        <v>0</v>
      </c>
      <c r="BI233" s="231">
        <f>IF(N233="nulová",J233,0)</f>
        <v>0</v>
      </c>
      <c r="BJ233" s="16" t="s">
        <v>8</v>
      </c>
      <c r="BK233" s="231">
        <f>ROUND(I233*H233,0)</f>
        <v>0</v>
      </c>
      <c r="BL233" s="16" t="s">
        <v>163</v>
      </c>
      <c r="BM233" s="230" t="s">
        <v>2332</v>
      </c>
    </row>
    <row r="234" s="13" customFormat="1">
      <c r="A234" s="13"/>
      <c r="B234" s="232"/>
      <c r="C234" s="233"/>
      <c r="D234" s="234" t="s">
        <v>165</v>
      </c>
      <c r="E234" s="235" t="s">
        <v>1</v>
      </c>
      <c r="F234" s="236" t="s">
        <v>2333</v>
      </c>
      <c r="G234" s="233"/>
      <c r="H234" s="237">
        <v>1.05</v>
      </c>
      <c r="I234" s="238"/>
      <c r="J234" s="233"/>
      <c r="K234" s="233"/>
      <c r="L234" s="239"/>
      <c r="M234" s="240"/>
      <c r="N234" s="241"/>
      <c r="O234" s="241"/>
      <c r="P234" s="241"/>
      <c r="Q234" s="241"/>
      <c r="R234" s="241"/>
      <c r="S234" s="241"/>
      <c r="T234" s="242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T234" s="243" t="s">
        <v>165</v>
      </c>
      <c r="AU234" s="243" t="s">
        <v>86</v>
      </c>
      <c r="AV234" s="13" t="s">
        <v>86</v>
      </c>
      <c r="AW234" s="13" t="s">
        <v>32</v>
      </c>
      <c r="AX234" s="13" t="s">
        <v>77</v>
      </c>
      <c r="AY234" s="243" t="s">
        <v>157</v>
      </c>
    </row>
    <row r="235" s="2" customFormat="1" ht="16.5" customHeight="1">
      <c r="A235" s="37"/>
      <c r="B235" s="38"/>
      <c r="C235" s="218" t="s">
        <v>443</v>
      </c>
      <c r="D235" s="218" t="s">
        <v>159</v>
      </c>
      <c r="E235" s="219" t="s">
        <v>2334</v>
      </c>
      <c r="F235" s="220" t="s">
        <v>2335</v>
      </c>
      <c r="G235" s="221" t="s">
        <v>162</v>
      </c>
      <c r="H235" s="222">
        <v>94.230999999999995</v>
      </c>
      <c r="I235" s="223"/>
      <c r="J235" s="224">
        <f>ROUND(I235*H235,0)</f>
        <v>0</v>
      </c>
      <c r="K235" s="225"/>
      <c r="L235" s="43"/>
      <c r="M235" s="226" t="s">
        <v>1</v>
      </c>
      <c r="N235" s="227" t="s">
        <v>42</v>
      </c>
      <c r="O235" s="90"/>
      <c r="P235" s="228">
        <f>O235*H235</f>
        <v>0</v>
      </c>
      <c r="Q235" s="228">
        <v>0</v>
      </c>
      <c r="R235" s="228">
        <f>Q235*H235</f>
        <v>0</v>
      </c>
      <c r="S235" s="228">
        <v>0</v>
      </c>
      <c r="T235" s="229">
        <f>S235*H235</f>
        <v>0</v>
      </c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R235" s="230" t="s">
        <v>163</v>
      </c>
      <c r="AT235" s="230" t="s">
        <v>159</v>
      </c>
      <c r="AU235" s="230" t="s">
        <v>86</v>
      </c>
      <c r="AY235" s="16" t="s">
        <v>157</v>
      </c>
      <c r="BE235" s="231">
        <f>IF(N235="základní",J235,0)</f>
        <v>0</v>
      </c>
      <c r="BF235" s="231">
        <f>IF(N235="snížená",J235,0)</f>
        <v>0</v>
      </c>
      <c r="BG235" s="231">
        <f>IF(N235="zákl. přenesená",J235,0)</f>
        <v>0</v>
      </c>
      <c r="BH235" s="231">
        <f>IF(N235="sníž. přenesená",J235,0)</f>
        <v>0</v>
      </c>
      <c r="BI235" s="231">
        <f>IF(N235="nulová",J235,0)</f>
        <v>0</v>
      </c>
      <c r="BJ235" s="16" t="s">
        <v>8</v>
      </c>
      <c r="BK235" s="231">
        <f>ROUND(I235*H235,0)</f>
        <v>0</v>
      </c>
      <c r="BL235" s="16" t="s">
        <v>163</v>
      </c>
      <c r="BM235" s="230" t="s">
        <v>2336</v>
      </c>
    </row>
    <row r="236" s="13" customFormat="1">
      <c r="A236" s="13"/>
      <c r="B236" s="232"/>
      <c r="C236" s="233"/>
      <c r="D236" s="234" t="s">
        <v>165</v>
      </c>
      <c r="E236" s="235" t="s">
        <v>1</v>
      </c>
      <c r="F236" s="236" t="s">
        <v>2337</v>
      </c>
      <c r="G236" s="233"/>
      <c r="H236" s="237">
        <v>94.230999999999995</v>
      </c>
      <c r="I236" s="238"/>
      <c r="J236" s="233"/>
      <c r="K236" s="233"/>
      <c r="L236" s="239"/>
      <c r="M236" s="240"/>
      <c r="N236" s="241"/>
      <c r="O236" s="241"/>
      <c r="P236" s="241"/>
      <c r="Q236" s="241"/>
      <c r="R236" s="241"/>
      <c r="S236" s="241"/>
      <c r="T236" s="242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T236" s="243" t="s">
        <v>165</v>
      </c>
      <c r="AU236" s="243" t="s">
        <v>86</v>
      </c>
      <c r="AV236" s="13" t="s">
        <v>86</v>
      </c>
      <c r="AW236" s="13" t="s">
        <v>32</v>
      </c>
      <c r="AX236" s="13" t="s">
        <v>77</v>
      </c>
      <c r="AY236" s="243" t="s">
        <v>157</v>
      </c>
    </row>
    <row r="237" s="2" customFormat="1" ht="24.15" customHeight="1">
      <c r="A237" s="37"/>
      <c r="B237" s="38"/>
      <c r="C237" s="218" t="s">
        <v>447</v>
      </c>
      <c r="D237" s="218" t="s">
        <v>159</v>
      </c>
      <c r="E237" s="219" t="s">
        <v>2338</v>
      </c>
      <c r="F237" s="220" t="s">
        <v>2339</v>
      </c>
      <c r="G237" s="221" t="s">
        <v>209</v>
      </c>
      <c r="H237" s="222">
        <v>547.39999999999998</v>
      </c>
      <c r="I237" s="223"/>
      <c r="J237" s="224">
        <f>ROUND(I237*H237,0)</f>
        <v>0</v>
      </c>
      <c r="K237" s="225"/>
      <c r="L237" s="43"/>
      <c r="M237" s="226" t="s">
        <v>1</v>
      </c>
      <c r="N237" s="227" t="s">
        <v>42</v>
      </c>
      <c r="O237" s="90"/>
      <c r="P237" s="228">
        <f>O237*H237</f>
        <v>0</v>
      </c>
      <c r="Q237" s="228">
        <v>0.0033500000000000001</v>
      </c>
      <c r="R237" s="228">
        <f>Q237*H237</f>
        <v>1.83379</v>
      </c>
      <c r="S237" s="228">
        <v>0</v>
      </c>
      <c r="T237" s="229">
        <f>S237*H237</f>
        <v>0</v>
      </c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R237" s="230" t="s">
        <v>163</v>
      </c>
      <c r="AT237" s="230" t="s">
        <v>159</v>
      </c>
      <c r="AU237" s="230" t="s">
        <v>86</v>
      </c>
      <c r="AY237" s="16" t="s">
        <v>157</v>
      </c>
      <c r="BE237" s="231">
        <f>IF(N237="základní",J237,0)</f>
        <v>0</v>
      </c>
      <c r="BF237" s="231">
        <f>IF(N237="snížená",J237,0)</f>
        <v>0</v>
      </c>
      <c r="BG237" s="231">
        <f>IF(N237="zákl. přenesená",J237,0)</f>
        <v>0</v>
      </c>
      <c r="BH237" s="231">
        <f>IF(N237="sníž. přenesená",J237,0)</f>
        <v>0</v>
      </c>
      <c r="BI237" s="231">
        <f>IF(N237="nulová",J237,0)</f>
        <v>0</v>
      </c>
      <c r="BJ237" s="16" t="s">
        <v>8</v>
      </c>
      <c r="BK237" s="231">
        <f>ROUND(I237*H237,0)</f>
        <v>0</v>
      </c>
      <c r="BL237" s="16" t="s">
        <v>163</v>
      </c>
      <c r="BM237" s="230" t="s">
        <v>2340</v>
      </c>
    </row>
    <row r="238" s="13" customFormat="1">
      <c r="A238" s="13"/>
      <c r="B238" s="232"/>
      <c r="C238" s="233"/>
      <c r="D238" s="234" t="s">
        <v>165</v>
      </c>
      <c r="E238" s="235" t="s">
        <v>1</v>
      </c>
      <c r="F238" s="236" t="s">
        <v>2341</v>
      </c>
      <c r="G238" s="233"/>
      <c r="H238" s="237">
        <v>547.39999999999998</v>
      </c>
      <c r="I238" s="238"/>
      <c r="J238" s="233"/>
      <c r="K238" s="233"/>
      <c r="L238" s="239"/>
      <c r="M238" s="240"/>
      <c r="N238" s="241"/>
      <c r="O238" s="241"/>
      <c r="P238" s="241"/>
      <c r="Q238" s="241"/>
      <c r="R238" s="241"/>
      <c r="S238" s="241"/>
      <c r="T238" s="242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T238" s="243" t="s">
        <v>165</v>
      </c>
      <c r="AU238" s="243" t="s">
        <v>86</v>
      </c>
      <c r="AV238" s="13" t="s">
        <v>86</v>
      </c>
      <c r="AW238" s="13" t="s">
        <v>32</v>
      </c>
      <c r="AX238" s="13" t="s">
        <v>77</v>
      </c>
      <c r="AY238" s="243" t="s">
        <v>157</v>
      </c>
    </row>
    <row r="239" s="2" customFormat="1" ht="24.15" customHeight="1">
      <c r="A239" s="37"/>
      <c r="B239" s="38"/>
      <c r="C239" s="218" t="s">
        <v>453</v>
      </c>
      <c r="D239" s="218" t="s">
        <v>159</v>
      </c>
      <c r="E239" s="219" t="s">
        <v>2342</v>
      </c>
      <c r="F239" s="220" t="s">
        <v>2343</v>
      </c>
      <c r="G239" s="221" t="s">
        <v>209</v>
      </c>
      <c r="H239" s="222">
        <v>547.39999999999998</v>
      </c>
      <c r="I239" s="223"/>
      <c r="J239" s="224">
        <f>ROUND(I239*H239,0)</f>
        <v>0</v>
      </c>
      <c r="K239" s="225"/>
      <c r="L239" s="43"/>
      <c r="M239" s="226" t="s">
        <v>1</v>
      </c>
      <c r="N239" s="227" t="s">
        <v>42</v>
      </c>
      <c r="O239" s="90"/>
      <c r="P239" s="228">
        <f>O239*H239</f>
        <v>0</v>
      </c>
      <c r="Q239" s="228">
        <v>0</v>
      </c>
      <c r="R239" s="228">
        <f>Q239*H239</f>
        <v>0</v>
      </c>
      <c r="S239" s="228">
        <v>0</v>
      </c>
      <c r="T239" s="229">
        <f>S239*H239</f>
        <v>0</v>
      </c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R239" s="230" t="s">
        <v>163</v>
      </c>
      <c r="AT239" s="230" t="s">
        <v>159</v>
      </c>
      <c r="AU239" s="230" t="s">
        <v>86</v>
      </c>
      <c r="AY239" s="16" t="s">
        <v>157</v>
      </c>
      <c r="BE239" s="231">
        <f>IF(N239="základní",J239,0)</f>
        <v>0</v>
      </c>
      <c r="BF239" s="231">
        <f>IF(N239="snížená",J239,0)</f>
        <v>0</v>
      </c>
      <c r="BG239" s="231">
        <f>IF(N239="zákl. přenesená",J239,0)</f>
        <v>0</v>
      </c>
      <c r="BH239" s="231">
        <f>IF(N239="sníž. přenesená",J239,0)</f>
        <v>0</v>
      </c>
      <c r="BI239" s="231">
        <f>IF(N239="nulová",J239,0)</f>
        <v>0</v>
      </c>
      <c r="BJ239" s="16" t="s">
        <v>8</v>
      </c>
      <c r="BK239" s="231">
        <f>ROUND(I239*H239,0)</f>
        <v>0</v>
      </c>
      <c r="BL239" s="16" t="s">
        <v>163</v>
      </c>
      <c r="BM239" s="230" t="s">
        <v>2344</v>
      </c>
    </row>
    <row r="240" s="2" customFormat="1" ht="24.15" customHeight="1">
      <c r="A240" s="37"/>
      <c r="B240" s="38"/>
      <c r="C240" s="218" t="s">
        <v>458</v>
      </c>
      <c r="D240" s="218" t="s">
        <v>159</v>
      </c>
      <c r="E240" s="219" t="s">
        <v>2345</v>
      </c>
      <c r="F240" s="220" t="s">
        <v>2346</v>
      </c>
      <c r="G240" s="221" t="s">
        <v>193</v>
      </c>
      <c r="H240" s="222">
        <v>5.6539999999999999</v>
      </c>
      <c r="I240" s="223"/>
      <c r="J240" s="224">
        <f>ROUND(I240*H240,0)</f>
        <v>0</v>
      </c>
      <c r="K240" s="225"/>
      <c r="L240" s="43"/>
      <c r="M240" s="226" t="s">
        <v>1</v>
      </c>
      <c r="N240" s="227" t="s">
        <v>42</v>
      </c>
      <c r="O240" s="90"/>
      <c r="P240" s="228">
        <f>O240*H240</f>
        <v>0</v>
      </c>
      <c r="Q240" s="228">
        <v>1.04359</v>
      </c>
      <c r="R240" s="228">
        <f>Q240*H240</f>
        <v>5.9004578600000004</v>
      </c>
      <c r="S240" s="228">
        <v>0</v>
      </c>
      <c r="T240" s="229">
        <f>S240*H240</f>
        <v>0</v>
      </c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R240" s="230" t="s">
        <v>163</v>
      </c>
      <c r="AT240" s="230" t="s">
        <v>159</v>
      </c>
      <c r="AU240" s="230" t="s">
        <v>86</v>
      </c>
      <c r="AY240" s="16" t="s">
        <v>157</v>
      </c>
      <c r="BE240" s="231">
        <f>IF(N240="základní",J240,0)</f>
        <v>0</v>
      </c>
      <c r="BF240" s="231">
        <f>IF(N240="snížená",J240,0)</f>
        <v>0</v>
      </c>
      <c r="BG240" s="231">
        <f>IF(N240="zákl. přenesená",J240,0)</f>
        <v>0</v>
      </c>
      <c r="BH240" s="231">
        <f>IF(N240="sníž. přenesená",J240,0)</f>
        <v>0</v>
      </c>
      <c r="BI240" s="231">
        <f>IF(N240="nulová",J240,0)</f>
        <v>0</v>
      </c>
      <c r="BJ240" s="16" t="s">
        <v>8</v>
      </c>
      <c r="BK240" s="231">
        <f>ROUND(I240*H240,0)</f>
        <v>0</v>
      </c>
      <c r="BL240" s="16" t="s">
        <v>163</v>
      </c>
      <c r="BM240" s="230" t="s">
        <v>2347</v>
      </c>
    </row>
    <row r="241" s="13" customFormat="1">
      <c r="A241" s="13"/>
      <c r="B241" s="232"/>
      <c r="C241" s="233"/>
      <c r="D241" s="234" t="s">
        <v>165</v>
      </c>
      <c r="E241" s="235" t="s">
        <v>1</v>
      </c>
      <c r="F241" s="236" t="s">
        <v>2348</v>
      </c>
      <c r="G241" s="233"/>
      <c r="H241" s="237">
        <v>5.6539999999999999</v>
      </c>
      <c r="I241" s="238"/>
      <c r="J241" s="233"/>
      <c r="K241" s="233"/>
      <c r="L241" s="239"/>
      <c r="M241" s="240"/>
      <c r="N241" s="241"/>
      <c r="O241" s="241"/>
      <c r="P241" s="241"/>
      <c r="Q241" s="241"/>
      <c r="R241" s="241"/>
      <c r="S241" s="241"/>
      <c r="T241" s="242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T241" s="243" t="s">
        <v>165</v>
      </c>
      <c r="AU241" s="243" t="s">
        <v>86</v>
      </c>
      <c r="AV241" s="13" t="s">
        <v>86</v>
      </c>
      <c r="AW241" s="13" t="s">
        <v>32</v>
      </c>
      <c r="AX241" s="13" t="s">
        <v>77</v>
      </c>
      <c r="AY241" s="243" t="s">
        <v>157</v>
      </c>
    </row>
    <row r="242" s="2" customFormat="1" ht="24.15" customHeight="1">
      <c r="A242" s="37"/>
      <c r="B242" s="38"/>
      <c r="C242" s="218" t="s">
        <v>464</v>
      </c>
      <c r="D242" s="218" t="s">
        <v>159</v>
      </c>
      <c r="E242" s="219" t="s">
        <v>2349</v>
      </c>
      <c r="F242" s="220" t="s">
        <v>2350</v>
      </c>
      <c r="G242" s="221" t="s">
        <v>565</v>
      </c>
      <c r="H242" s="222">
        <v>22</v>
      </c>
      <c r="I242" s="223"/>
      <c r="J242" s="224">
        <f>ROUND(I242*H242,0)</f>
        <v>0</v>
      </c>
      <c r="K242" s="225"/>
      <c r="L242" s="43"/>
      <c r="M242" s="226" t="s">
        <v>1</v>
      </c>
      <c r="N242" s="227" t="s">
        <v>42</v>
      </c>
      <c r="O242" s="90"/>
      <c r="P242" s="228">
        <f>O242*H242</f>
        <v>0</v>
      </c>
      <c r="Q242" s="228">
        <v>0.17488999999999999</v>
      </c>
      <c r="R242" s="228">
        <f>Q242*H242</f>
        <v>3.8475799999999998</v>
      </c>
      <c r="S242" s="228">
        <v>0</v>
      </c>
      <c r="T242" s="229">
        <f>S242*H242</f>
        <v>0</v>
      </c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R242" s="230" t="s">
        <v>163</v>
      </c>
      <c r="AT242" s="230" t="s">
        <v>159</v>
      </c>
      <c r="AU242" s="230" t="s">
        <v>86</v>
      </c>
      <c r="AY242" s="16" t="s">
        <v>157</v>
      </c>
      <c r="BE242" s="231">
        <f>IF(N242="základní",J242,0)</f>
        <v>0</v>
      </c>
      <c r="BF242" s="231">
        <f>IF(N242="snížená",J242,0)</f>
        <v>0</v>
      </c>
      <c r="BG242" s="231">
        <f>IF(N242="zákl. přenesená",J242,0)</f>
        <v>0</v>
      </c>
      <c r="BH242" s="231">
        <f>IF(N242="sníž. přenesená",J242,0)</f>
        <v>0</v>
      </c>
      <c r="BI242" s="231">
        <f>IF(N242="nulová",J242,0)</f>
        <v>0</v>
      </c>
      <c r="BJ242" s="16" t="s">
        <v>8</v>
      </c>
      <c r="BK242" s="231">
        <f>ROUND(I242*H242,0)</f>
        <v>0</v>
      </c>
      <c r="BL242" s="16" t="s">
        <v>163</v>
      </c>
      <c r="BM242" s="230" t="s">
        <v>2351</v>
      </c>
    </row>
    <row r="243" s="13" customFormat="1">
      <c r="A243" s="13"/>
      <c r="B243" s="232"/>
      <c r="C243" s="233"/>
      <c r="D243" s="234" t="s">
        <v>165</v>
      </c>
      <c r="E243" s="235" t="s">
        <v>1</v>
      </c>
      <c r="F243" s="236" t="s">
        <v>2352</v>
      </c>
      <c r="G243" s="233"/>
      <c r="H243" s="237">
        <v>22</v>
      </c>
      <c r="I243" s="238"/>
      <c r="J243" s="233"/>
      <c r="K243" s="233"/>
      <c r="L243" s="239"/>
      <c r="M243" s="240"/>
      <c r="N243" s="241"/>
      <c r="O243" s="241"/>
      <c r="P243" s="241"/>
      <c r="Q243" s="241"/>
      <c r="R243" s="241"/>
      <c r="S243" s="241"/>
      <c r="T243" s="242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T243" s="243" t="s">
        <v>165</v>
      </c>
      <c r="AU243" s="243" t="s">
        <v>86</v>
      </c>
      <c r="AV243" s="13" t="s">
        <v>86</v>
      </c>
      <c r="AW243" s="13" t="s">
        <v>32</v>
      </c>
      <c r="AX243" s="13" t="s">
        <v>77</v>
      </c>
      <c r="AY243" s="243" t="s">
        <v>157</v>
      </c>
    </row>
    <row r="244" s="2" customFormat="1" ht="24.15" customHeight="1">
      <c r="A244" s="37"/>
      <c r="B244" s="38"/>
      <c r="C244" s="254" t="s">
        <v>468</v>
      </c>
      <c r="D244" s="254" t="s">
        <v>229</v>
      </c>
      <c r="E244" s="255" t="s">
        <v>2353</v>
      </c>
      <c r="F244" s="256" t="s">
        <v>2354</v>
      </c>
      <c r="G244" s="257" t="s">
        <v>565</v>
      </c>
      <c r="H244" s="258">
        <v>22</v>
      </c>
      <c r="I244" s="259"/>
      <c r="J244" s="260">
        <f>ROUND(I244*H244,0)</f>
        <v>0</v>
      </c>
      <c r="K244" s="261"/>
      <c r="L244" s="262"/>
      <c r="M244" s="263" t="s">
        <v>1</v>
      </c>
      <c r="N244" s="264" t="s">
        <v>42</v>
      </c>
      <c r="O244" s="90"/>
      <c r="P244" s="228">
        <f>O244*H244</f>
        <v>0</v>
      </c>
      <c r="Q244" s="228">
        <v>0.0043</v>
      </c>
      <c r="R244" s="228">
        <f>Q244*H244</f>
        <v>0.094600000000000004</v>
      </c>
      <c r="S244" s="228">
        <v>0</v>
      </c>
      <c r="T244" s="229">
        <f>S244*H244</f>
        <v>0</v>
      </c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R244" s="230" t="s">
        <v>200</v>
      </c>
      <c r="AT244" s="230" t="s">
        <v>229</v>
      </c>
      <c r="AU244" s="230" t="s">
        <v>86</v>
      </c>
      <c r="AY244" s="16" t="s">
        <v>157</v>
      </c>
      <c r="BE244" s="231">
        <f>IF(N244="základní",J244,0)</f>
        <v>0</v>
      </c>
      <c r="BF244" s="231">
        <f>IF(N244="snížená",J244,0)</f>
        <v>0</v>
      </c>
      <c r="BG244" s="231">
        <f>IF(N244="zákl. přenesená",J244,0)</f>
        <v>0</v>
      </c>
      <c r="BH244" s="231">
        <f>IF(N244="sníž. přenesená",J244,0)</f>
        <v>0</v>
      </c>
      <c r="BI244" s="231">
        <f>IF(N244="nulová",J244,0)</f>
        <v>0</v>
      </c>
      <c r="BJ244" s="16" t="s">
        <v>8</v>
      </c>
      <c r="BK244" s="231">
        <f>ROUND(I244*H244,0)</f>
        <v>0</v>
      </c>
      <c r="BL244" s="16" t="s">
        <v>163</v>
      </c>
      <c r="BM244" s="230" t="s">
        <v>2355</v>
      </c>
    </row>
    <row r="245" s="2" customFormat="1" ht="33" customHeight="1">
      <c r="A245" s="37"/>
      <c r="B245" s="38"/>
      <c r="C245" s="218" t="s">
        <v>472</v>
      </c>
      <c r="D245" s="218" t="s">
        <v>159</v>
      </c>
      <c r="E245" s="219" t="s">
        <v>2356</v>
      </c>
      <c r="F245" s="220" t="s">
        <v>2357</v>
      </c>
      <c r="G245" s="221" t="s">
        <v>565</v>
      </c>
      <c r="H245" s="222">
        <v>4</v>
      </c>
      <c r="I245" s="223"/>
      <c r="J245" s="224">
        <f>ROUND(I245*H245,0)</f>
        <v>0</v>
      </c>
      <c r="K245" s="225"/>
      <c r="L245" s="43"/>
      <c r="M245" s="226" t="s">
        <v>1</v>
      </c>
      <c r="N245" s="227" t="s">
        <v>42</v>
      </c>
      <c r="O245" s="90"/>
      <c r="P245" s="228">
        <f>O245*H245</f>
        <v>0</v>
      </c>
      <c r="Q245" s="228">
        <v>0</v>
      </c>
      <c r="R245" s="228">
        <f>Q245*H245</f>
        <v>0</v>
      </c>
      <c r="S245" s="228">
        <v>0</v>
      </c>
      <c r="T245" s="229">
        <f>S245*H245</f>
        <v>0</v>
      </c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R245" s="230" t="s">
        <v>163</v>
      </c>
      <c r="AT245" s="230" t="s">
        <v>159</v>
      </c>
      <c r="AU245" s="230" t="s">
        <v>86</v>
      </c>
      <c r="AY245" s="16" t="s">
        <v>157</v>
      </c>
      <c r="BE245" s="231">
        <f>IF(N245="základní",J245,0)</f>
        <v>0</v>
      </c>
      <c r="BF245" s="231">
        <f>IF(N245="snížená",J245,0)</f>
        <v>0</v>
      </c>
      <c r="BG245" s="231">
        <f>IF(N245="zákl. přenesená",J245,0)</f>
        <v>0</v>
      </c>
      <c r="BH245" s="231">
        <f>IF(N245="sníž. přenesená",J245,0)</f>
        <v>0</v>
      </c>
      <c r="BI245" s="231">
        <f>IF(N245="nulová",J245,0)</f>
        <v>0</v>
      </c>
      <c r="BJ245" s="16" t="s">
        <v>8</v>
      </c>
      <c r="BK245" s="231">
        <f>ROUND(I245*H245,0)</f>
        <v>0</v>
      </c>
      <c r="BL245" s="16" t="s">
        <v>163</v>
      </c>
      <c r="BM245" s="230" t="s">
        <v>2358</v>
      </c>
    </row>
    <row r="246" s="2" customFormat="1" ht="37.8" customHeight="1">
      <c r="A246" s="37"/>
      <c r="B246" s="38"/>
      <c r="C246" s="254" t="s">
        <v>478</v>
      </c>
      <c r="D246" s="254" t="s">
        <v>229</v>
      </c>
      <c r="E246" s="255" t="s">
        <v>2359</v>
      </c>
      <c r="F246" s="256" t="s">
        <v>2360</v>
      </c>
      <c r="G246" s="257" t="s">
        <v>565</v>
      </c>
      <c r="H246" s="258">
        <v>4</v>
      </c>
      <c r="I246" s="259"/>
      <c r="J246" s="260">
        <f>ROUND(I246*H246,0)</f>
        <v>0</v>
      </c>
      <c r="K246" s="261"/>
      <c r="L246" s="262"/>
      <c r="M246" s="263" t="s">
        <v>1</v>
      </c>
      <c r="N246" s="264" t="s">
        <v>42</v>
      </c>
      <c r="O246" s="90"/>
      <c r="P246" s="228">
        <f>O246*H246</f>
        <v>0</v>
      </c>
      <c r="Q246" s="228">
        <v>0.0033999999999999998</v>
      </c>
      <c r="R246" s="228">
        <f>Q246*H246</f>
        <v>0.013599999999999999</v>
      </c>
      <c r="S246" s="228">
        <v>0</v>
      </c>
      <c r="T246" s="229">
        <f>S246*H246</f>
        <v>0</v>
      </c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R246" s="230" t="s">
        <v>200</v>
      </c>
      <c r="AT246" s="230" t="s">
        <v>229</v>
      </c>
      <c r="AU246" s="230" t="s">
        <v>86</v>
      </c>
      <c r="AY246" s="16" t="s">
        <v>157</v>
      </c>
      <c r="BE246" s="231">
        <f>IF(N246="základní",J246,0)</f>
        <v>0</v>
      </c>
      <c r="BF246" s="231">
        <f>IF(N246="snížená",J246,0)</f>
        <v>0</v>
      </c>
      <c r="BG246" s="231">
        <f>IF(N246="zákl. přenesená",J246,0)</f>
        <v>0</v>
      </c>
      <c r="BH246" s="231">
        <f>IF(N246="sníž. přenesená",J246,0)</f>
        <v>0</v>
      </c>
      <c r="BI246" s="231">
        <f>IF(N246="nulová",J246,0)</f>
        <v>0</v>
      </c>
      <c r="BJ246" s="16" t="s">
        <v>8</v>
      </c>
      <c r="BK246" s="231">
        <f>ROUND(I246*H246,0)</f>
        <v>0</v>
      </c>
      <c r="BL246" s="16" t="s">
        <v>163</v>
      </c>
      <c r="BM246" s="230" t="s">
        <v>2361</v>
      </c>
    </row>
    <row r="247" s="2" customFormat="1" ht="21.75" customHeight="1">
      <c r="A247" s="37"/>
      <c r="B247" s="38"/>
      <c r="C247" s="254" t="s">
        <v>483</v>
      </c>
      <c r="D247" s="254" t="s">
        <v>229</v>
      </c>
      <c r="E247" s="255" t="s">
        <v>2362</v>
      </c>
      <c r="F247" s="256" t="s">
        <v>2363</v>
      </c>
      <c r="G247" s="257" t="s">
        <v>565</v>
      </c>
      <c r="H247" s="258">
        <v>4</v>
      </c>
      <c r="I247" s="259"/>
      <c r="J247" s="260">
        <f>ROUND(I247*H247,0)</f>
        <v>0</v>
      </c>
      <c r="K247" s="261"/>
      <c r="L247" s="262"/>
      <c r="M247" s="263" t="s">
        <v>1</v>
      </c>
      <c r="N247" s="264" t="s">
        <v>42</v>
      </c>
      <c r="O247" s="90"/>
      <c r="P247" s="228">
        <f>O247*H247</f>
        <v>0</v>
      </c>
      <c r="Q247" s="228">
        <v>0.00010000000000000001</v>
      </c>
      <c r="R247" s="228">
        <f>Q247*H247</f>
        <v>0.00040000000000000002</v>
      </c>
      <c r="S247" s="228">
        <v>0</v>
      </c>
      <c r="T247" s="229">
        <f>S247*H247</f>
        <v>0</v>
      </c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R247" s="230" t="s">
        <v>200</v>
      </c>
      <c r="AT247" s="230" t="s">
        <v>229</v>
      </c>
      <c r="AU247" s="230" t="s">
        <v>86</v>
      </c>
      <c r="AY247" s="16" t="s">
        <v>157</v>
      </c>
      <c r="BE247" s="231">
        <f>IF(N247="základní",J247,0)</f>
        <v>0</v>
      </c>
      <c r="BF247" s="231">
        <f>IF(N247="snížená",J247,0)</f>
        <v>0</v>
      </c>
      <c r="BG247" s="231">
        <f>IF(N247="zákl. přenesená",J247,0)</f>
        <v>0</v>
      </c>
      <c r="BH247" s="231">
        <f>IF(N247="sníž. přenesená",J247,0)</f>
        <v>0</v>
      </c>
      <c r="BI247" s="231">
        <f>IF(N247="nulová",J247,0)</f>
        <v>0</v>
      </c>
      <c r="BJ247" s="16" t="s">
        <v>8</v>
      </c>
      <c r="BK247" s="231">
        <f>ROUND(I247*H247,0)</f>
        <v>0</v>
      </c>
      <c r="BL247" s="16" t="s">
        <v>163</v>
      </c>
      <c r="BM247" s="230" t="s">
        <v>2364</v>
      </c>
    </row>
    <row r="248" s="2" customFormat="1" ht="24.15" customHeight="1">
      <c r="A248" s="37"/>
      <c r="B248" s="38"/>
      <c r="C248" s="218" t="s">
        <v>490</v>
      </c>
      <c r="D248" s="218" t="s">
        <v>159</v>
      </c>
      <c r="E248" s="219" t="s">
        <v>2365</v>
      </c>
      <c r="F248" s="220" t="s">
        <v>2366</v>
      </c>
      <c r="G248" s="221" t="s">
        <v>565</v>
      </c>
      <c r="H248" s="222">
        <v>1</v>
      </c>
      <c r="I248" s="223"/>
      <c r="J248" s="224">
        <f>ROUND(I248*H248,0)</f>
        <v>0</v>
      </c>
      <c r="K248" s="225"/>
      <c r="L248" s="43"/>
      <c r="M248" s="226" t="s">
        <v>1</v>
      </c>
      <c r="N248" s="227" t="s">
        <v>42</v>
      </c>
      <c r="O248" s="90"/>
      <c r="P248" s="228">
        <f>O248*H248</f>
        <v>0</v>
      </c>
      <c r="Q248" s="228">
        <v>0</v>
      </c>
      <c r="R248" s="228">
        <f>Q248*H248</f>
        <v>0</v>
      </c>
      <c r="S248" s="228">
        <v>0</v>
      </c>
      <c r="T248" s="229">
        <f>S248*H248</f>
        <v>0</v>
      </c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R248" s="230" t="s">
        <v>163</v>
      </c>
      <c r="AT248" s="230" t="s">
        <v>159</v>
      </c>
      <c r="AU248" s="230" t="s">
        <v>86</v>
      </c>
      <c r="AY248" s="16" t="s">
        <v>157</v>
      </c>
      <c r="BE248" s="231">
        <f>IF(N248="základní",J248,0)</f>
        <v>0</v>
      </c>
      <c r="BF248" s="231">
        <f>IF(N248="snížená",J248,0)</f>
        <v>0</v>
      </c>
      <c r="BG248" s="231">
        <f>IF(N248="zákl. přenesená",J248,0)</f>
        <v>0</v>
      </c>
      <c r="BH248" s="231">
        <f>IF(N248="sníž. přenesená",J248,0)</f>
        <v>0</v>
      </c>
      <c r="BI248" s="231">
        <f>IF(N248="nulová",J248,0)</f>
        <v>0</v>
      </c>
      <c r="BJ248" s="16" t="s">
        <v>8</v>
      </c>
      <c r="BK248" s="231">
        <f>ROUND(I248*H248,0)</f>
        <v>0</v>
      </c>
      <c r="BL248" s="16" t="s">
        <v>163</v>
      </c>
      <c r="BM248" s="230" t="s">
        <v>2367</v>
      </c>
    </row>
    <row r="249" s="2" customFormat="1" ht="24.15" customHeight="1">
      <c r="A249" s="37"/>
      <c r="B249" s="38"/>
      <c r="C249" s="254" t="s">
        <v>496</v>
      </c>
      <c r="D249" s="254" t="s">
        <v>229</v>
      </c>
      <c r="E249" s="255" t="s">
        <v>2368</v>
      </c>
      <c r="F249" s="256" t="s">
        <v>2369</v>
      </c>
      <c r="G249" s="257" t="s">
        <v>565</v>
      </c>
      <c r="H249" s="258">
        <v>1</v>
      </c>
      <c r="I249" s="259"/>
      <c r="J249" s="260">
        <f>ROUND(I249*H249,0)</f>
        <v>0</v>
      </c>
      <c r="K249" s="261"/>
      <c r="L249" s="262"/>
      <c r="M249" s="263" t="s">
        <v>1</v>
      </c>
      <c r="N249" s="264" t="s">
        <v>42</v>
      </c>
      <c r="O249" s="90"/>
      <c r="P249" s="228">
        <f>O249*H249</f>
        <v>0</v>
      </c>
      <c r="Q249" s="228">
        <v>0.056300000000000003</v>
      </c>
      <c r="R249" s="228">
        <f>Q249*H249</f>
        <v>0.056300000000000003</v>
      </c>
      <c r="S249" s="228">
        <v>0</v>
      </c>
      <c r="T249" s="229">
        <f>S249*H249</f>
        <v>0</v>
      </c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R249" s="230" t="s">
        <v>200</v>
      </c>
      <c r="AT249" s="230" t="s">
        <v>229</v>
      </c>
      <c r="AU249" s="230" t="s">
        <v>86</v>
      </c>
      <c r="AY249" s="16" t="s">
        <v>157</v>
      </c>
      <c r="BE249" s="231">
        <f>IF(N249="základní",J249,0)</f>
        <v>0</v>
      </c>
      <c r="BF249" s="231">
        <f>IF(N249="snížená",J249,0)</f>
        <v>0</v>
      </c>
      <c r="BG249" s="231">
        <f>IF(N249="zákl. přenesená",J249,0)</f>
        <v>0</v>
      </c>
      <c r="BH249" s="231">
        <f>IF(N249="sníž. přenesená",J249,0)</f>
        <v>0</v>
      </c>
      <c r="BI249" s="231">
        <f>IF(N249="nulová",J249,0)</f>
        <v>0</v>
      </c>
      <c r="BJ249" s="16" t="s">
        <v>8</v>
      </c>
      <c r="BK249" s="231">
        <f>ROUND(I249*H249,0)</f>
        <v>0</v>
      </c>
      <c r="BL249" s="16" t="s">
        <v>163</v>
      </c>
      <c r="BM249" s="230" t="s">
        <v>2370</v>
      </c>
    </row>
    <row r="250" s="2" customFormat="1" ht="24.15" customHeight="1">
      <c r="A250" s="37"/>
      <c r="B250" s="38"/>
      <c r="C250" s="218" t="s">
        <v>500</v>
      </c>
      <c r="D250" s="218" t="s">
        <v>159</v>
      </c>
      <c r="E250" s="219" t="s">
        <v>2371</v>
      </c>
      <c r="F250" s="220" t="s">
        <v>2372</v>
      </c>
      <c r="G250" s="221" t="s">
        <v>565</v>
      </c>
      <c r="H250" s="222">
        <v>1</v>
      </c>
      <c r="I250" s="223"/>
      <c r="J250" s="224">
        <f>ROUND(I250*H250,0)</f>
        <v>0</v>
      </c>
      <c r="K250" s="225"/>
      <c r="L250" s="43"/>
      <c r="M250" s="226" t="s">
        <v>1</v>
      </c>
      <c r="N250" s="227" t="s">
        <v>42</v>
      </c>
      <c r="O250" s="90"/>
      <c r="P250" s="228">
        <f>O250*H250</f>
        <v>0</v>
      </c>
      <c r="Q250" s="228">
        <v>0</v>
      </c>
      <c r="R250" s="228">
        <f>Q250*H250</f>
        <v>0</v>
      </c>
      <c r="S250" s="228">
        <v>0</v>
      </c>
      <c r="T250" s="229">
        <f>S250*H250</f>
        <v>0</v>
      </c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R250" s="230" t="s">
        <v>163</v>
      </c>
      <c r="AT250" s="230" t="s">
        <v>159</v>
      </c>
      <c r="AU250" s="230" t="s">
        <v>86</v>
      </c>
      <c r="AY250" s="16" t="s">
        <v>157</v>
      </c>
      <c r="BE250" s="231">
        <f>IF(N250="základní",J250,0)</f>
        <v>0</v>
      </c>
      <c r="BF250" s="231">
        <f>IF(N250="snížená",J250,0)</f>
        <v>0</v>
      </c>
      <c r="BG250" s="231">
        <f>IF(N250="zákl. přenesená",J250,0)</f>
        <v>0</v>
      </c>
      <c r="BH250" s="231">
        <f>IF(N250="sníž. přenesená",J250,0)</f>
        <v>0</v>
      </c>
      <c r="BI250" s="231">
        <f>IF(N250="nulová",J250,0)</f>
        <v>0</v>
      </c>
      <c r="BJ250" s="16" t="s">
        <v>8</v>
      </c>
      <c r="BK250" s="231">
        <f>ROUND(I250*H250,0)</f>
        <v>0</v>
      </c>
      <c r="BL250" s="16" t="s">
        <v>163</v>
      </c>
      <c r="BM250" s="230" t="s">
        <v>2373</v>
      </c>
    </row>
    <row r="251" s="13" customFormat="1">
      <c r="A251" s="13"/>
      <c r="B251" s="232"/>
      <c r="C251" s="233"/>
      <c r="D251" s="234" t="s">
        <v>165</v>
      </c>
      <c r="E251" s="235" t="s">
        <v>1</v>
      </c>
      <c r="F251" s="236" t="s">
        <v>2374</v>
      </c>
      <c r="G251" s="233"/>
      <c r="H251" s="237">
        <v>1</v>
      </c>
      <c r="I251" s="238"/>
      <c r="J251" s="233"/>
      <c r="K251" s="233"/>
      <c r="L251" s="239"/>
      <c r="M251" s="240"/>
      <c r="N251" s="241"/>
      <c r="O251" s="241"/>
      <c r="P251" s="241"/>
      <c r="Q251" s="241"/>
      <c r="R251" s="241"/>
      <c r="S251" s="241"/>
      <c r="T251" s="242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T251" s="243" t="s">
        <v>165</v>
      </c>
      <c r="AU251" s="243" t="s">
        <v>86</v>
      </c>
      <c r="AV251" s="13" t="s">
        <v>86</v>
      </c>
      <c r="AW251" s="13" t="s">
        <v>32</v>
      </c>
      <c r="AX251" s="13" t="s">
        <v>77</v>
      </c>
      <c r="AY251" s="243" t="s">
        <v>157</v>
      </c>
    </row>
    <row r="252" s="2" customFormat="1" ht="16.5" customHeight="1">
      <c r="A252" s="37"/>
      <c r="B252" s="38"/>
      <c r="C252" s="254" t="s">
        <v>504</v>
      </c>
      <c r="D252" s="254" t="s">
        <v>229</v>
      </c>
      <c r="E252" s="255" t="s">
        <v>2375</v>
      </c>
      <c r="F252" s="256" t="s">
        <v>2376</v>
      </c>
      <c r="G252" s="257" t="s">
        <v>565</v>
      </c>
      <c r="H252" s="258">
        <v>1</v>
      </c>
      <c r="I252" s="259"/>
      <c r="J252" s="260">
        <f>ROUND(I252*H252,0)</f>
        <v>0</v>
      </c>
      <c r="K252" s="261"/>
      <c r="L252" s="262"/>
      <c r="M252" s="263" t="s">
        <v>1</v>
      </c>
      <c r="N252" s="264" t="s">
        <v>42</v>
      </c>
      <c r="O252" s="90"/>
      <c r="P252" s="228">
        <f>O252*H252</f>
        <v>0</v>
      </c>
      <c r="Q252" s="228">
        <v>0.099220000000000003</v>
      </c>
      <c r="R252" s="228">
        <f>Q252*H252</f>
        <v>0.099220000000000003</v>
      </c>
      <c r="S252" s="228">
        <v>0</v>
      </c>
      <c r="T252" s="229">
        <f>S252*H252</f>
        <v>0</v>
      </c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R252" s="230" t="s">
        <v>200</v>
      </c>
      <c r="AT252" s="230" t="s">
        <v>229</v>
      </c>
      <c r="AU252" s="230" t="s">
        <v>86</v>
      </c>
      <c r="AY252" s="16" t="s">
        <v>157</v>
      </c>
      <c r="BE252" s="231">
        <f>IF(N252="základní",J252,0)</f>
        <v>0</v>
      </c>
      <c r="BF252" s="231">
        <f>IF(N252="snížená",J252,0)</f>
        <v>0</v>
      </c>
      <c r="BG252" s="231">
        <f>IF(N252="zákl. přenesená",J252,0)</f>
        <v>0</v>
      </c>
      <c r="BH252" s="231">
        <f>IF(N252="sníž. přenesená",J252,0)</f>
        <v>0</v>
      </c>
      <c r="BI252" s="231">
        <f>IF(N252="nulová",J252,0)</f>
        <v>0</v>
      </c>
      <c r="BJ252" s="16" t="s">
        <v>8</v>
      </c>
      <c r="BK252" s="231">
        <f>ROUND(I252*H252,0)</f>
        <v>0</v>
      </c>
      <c r="BL252" s="16" t="s">
        <v>163</v>
      </c>
      <c r="BM252" s="230" t="s">
        <v>2377</v>
      </c>
    </row>
    <row r="253" s="2" customFormat="1" ht="24.15" customHeight="1">
      <c r="A253" s="37"/>
      <c r="B253" s="38"/>
      <c r="C253" s="218" t="s">
        <v>511</v>
      </c>
      <c r="D253" s="218" t="s">
        <v>159</v>
      </c>
      <c r="E253" s="219" t="s">
        <v>2378</v>
      </c>
      <c r="F253" s="220" t="s">
        <v>2379</v>
      </c>
      <c r="G253" s="221" t="s">
        <v>565</v>
      </c>
      <c r="H253" s="222">
        <v>21</v>
      </c>
      <c r="I253" s="223"/>
      <c r="J253" s="224">
        <f>ROUND(I253*H253,0)</f>
        <v>0</v>
      </c>
      <c r="K253" s="225"/>
      <c r="L253" s="43"/>
      <c r="M253" s="226" t="s">
        <v>1</v>
      </c>
      <c r="N253" s="227" t="s">
        <v>42</v>
      </c>
      <c r="O253" s="90"/>
      <c r="P253" s="228">
        <f>O253*H253</f>
        <v>0</v>
      </c>
      <c r="Q253" s="228">
        <v>0.0011999999999999999</v>
      </c>
      <c r="R253" s="228">
        <f>Q253*H253</f>
        <v>0.025199999999999997</v>
      </c>
      <c r="S253" s="228">
        <v>0</v>
      </c>
      <c r="T253" s="229">
        <f>S253*H253</f>
        <v>0</v>
      </c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R253" s="230" t="s">
        <v>163</v>
      </c>
      <c r="AT253" s="230" t="s">
        <v>159</v>
      </c>
      <c r="AU253" s="230" t="s">
        <v>86</v>
      </c>
      <c r="AY253" s="16" t="s">
        <v>157</v>
      </c>
      <c r="BE253" s="231">
        <f>IF(N253="základní",J253,0)</f>
        <v>0</v>
      </c>
      <c r="BF253" s="231">
        <f>IF(N253="snížená",J253,0)</f>
        <v>0</v>
      </c>
      <c r="BG253" s="231">
        <f>IF(N253="zákl. přenesená",J253,0)</f>
        <v>0</v>
      </c>
      <c r="BH253" s="231">
        <f>IF(N253="sníž. přenesená",J253,0)</f>
        <v>0</v>
      </c>
      <c r="BI253" s="231">
        <f>IF(N253="nulová",J253,0)</f>
        <v>0</v>
      </c>
      <c r="BJ253" s="16" t="s">
        <v>8</v>
      </c>
      <c r="BK253" s="231">
        <f>ROUND(I253*H253,0)</f>
        <v>0</v>
      </c>
      <c r="BL253" s="16" t="s">
        <v>163</v>
      </c>
      <c r="BM253" s="230" t="s">
        <v>2380</v>
      </c>
    </row>
    <row r="254" s="13" customFormat="1">
      <c r="A254" s="13"/>
      <c r="B254" s="232"/>
      <c r="C254" s="233"/>
      <c r="D254" s="234" t="s">
        <v>165</v>
      </c>
      <c r="E254" s="235" t="s">
        <v>1</v>
      </c>
      <c r="F254" s="236" t="s">
        <v>2381</v>
      </c>
      <c r="G254" s="233"/>
      <c r="H254" s="237">
        <v>21</v>
      </c>
      <c r="I254" s="238"/>
      <c r="J254" s="233"/>
      <c r="K254" s="233"/>
      <c r="L254" s="239"/>
      <c r="M254" s="240"/>
      <c r="N254" s="241"/>
      <c r="O254" s="241"/>
      <c r="P254" s="241"/>
      <c r="Q254" s="241"/>
      <c r="R254" s="241"/>
      <c r="S254" s="241"/>
      <c r="T254" s="242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T254" s="243" t="s">
        <v>165</v>
      </c>
      <c r="AU254" s="243" t="s">
        <v>86</v>
      </c>
      <c r="AV254" s="13" t="s">
        <v>86</v>
      </c>
      <c r="AW254" s="13" t="s">
        <v>32</v>
      </c>
      <c r="AX254" s="13" t="s">
        <v>77</v>
      </c>
      <c r="AY254" s="243" t="s">
        <v>157</v>
      </c>
    </row>
    <row r="255" s="2" customFormat="1" ht="37.8" customHeight="1">
      <c r="A255" s="37"/>
      <c r="B255" s="38"/>
      <c r="C255" s="254" t="s">
        <v>517</v>
      </c>
      <c r="D255" s="254" t="s">
        <v>229</v>
      </c>
      <c r="E255" s="255" t="s">
        <v>2382</v>
      </c>
      <c r="F255" s="256" t="s">
        <v>2383</v>
      </c>
      <c r="G255" s="257" t="s">
        <v>565</v>
      </c>
      <c r="H255" s="258">
        <v>21</v>
      </c>
      <c r="I255" s="259"/>
      <c r="J255" s="260">
        <f>ROUND(I255*H255,0)</f>
        <v>0</v>
      </c>
      <c r="K255" s="261"/>
      <c r="L255" s="262"/>
      <c r="M255" s="263" t="s">
        <v>1</v>
      </c>
      <c r="N255" s="264" t="s">
        <v>42</v>
      </c>
      <c r="O255" s="90"/>
      <c r="P255" s="228">
        <f>O255*H255</f>
        <v>0</v>
      </c>
      <c r="Q255" s="228">
        <v>0.070000000000000007</v>
      </c>
      <c r="R255" s="228">
        <f>Q255*H255</f>
        <v>1.4700000000000002</v>
      </c>
      <c r="S255" s="228">
        <v>0</v>
      </c>
      <c r="T255" s="229">
        <f>S255*H255</f>
        <v>0</v>
      </c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R255" s="230" t="s">
        <v>200</v>
      </c>
      <c r="AT255" s="230" t="s">
        <v>229</v>
      </c>
      <c r="AU255" s="230" t="s">
        <v>86</v>
      </c>
      <c r="AY255" s="16" t="s">
        <v>157</v>
      </c>
      <c r="BE255" s="231">
        <f>IF(N255="základní",J255,0)</f>
        <v>0</v>
      </c>
      <c r="BF255" s="231">
        <f>IF(N255="snížená",J255,0)</f>
        <v>0</v>
      </c>
      <c r="BG255" s="231">
        <f>IF(N255="zákl. přenesená",J255,0)</f>
        <v>0</v>
      </c>
      <c r="BH255" s="231">
        <f>IF(N255="sníž. přenesená",J255,0)</f>
        <v>0</v>
      </c>
      <c r="BI255" s="231">
        <f>IF(N255="nulová",J255,0)</f>
        <v>0</v>
      </c>
      <c r="BJ255" s="16" t="s">
        <v>8</v>
      </c>
      <c r="BK255" s="231">
        <f>ROUND(I255*H255,0)</f>
        <v>0</v>
      </c>
      <c r="BL255" s="16" t="s">
        <v>163</v>
      </c>
      <c r="BM255" s="230" t="s">
        <v>2384</v>
      </c>
    </row>
    <row r="256" s="2" customFormat="1" ht="33" customHeight="1">
      <c r="A256" s="37"/>
      <c r="B256" s="38"/>
      <c r="C256" s="254" t="s">
        <v>521</v>
      </c>
      <c r="D256" s="254" t="s">
        <v>229</v>
      </c>
      <c r="E256" s="255" t="s">
        <v>2385</v>
      </c>
      <c r="F256" s="256" t="s">
        <v>2386</v>
      </c>
      <c r="G256" s="257" t="s">
        <v>565</v>
      </c>
      <c r="H256" s="258">
        <v>20</v>
      </c>
      <c r="I256" s="259"/>
      <c r="J256" s="260">
        <f>ROUND(I256*H256,0)</f>
        <v>0</v>
      </c>
      <c r="K256" s="261"/>
      <c r="L256" s="262"/>
      <c r="M256" s="263" t="s">
        <v>1</v>
      </c>
      <c r="N256" s="264" t="s">
        <v>42</v>
      </c>
      <c r="O256" s="90"/>
      <c r="P256" s="228">
        <f>O256*H256</f>
        <v>0</v>
      </c>
      <c r="Q256" s="228">
        <v>0.0028</v>
      </c>
      <c r="R256" s="228">
        <f>Q256*H256</f>
        <v>0.056000000000000001</v>
      </c>
      <c r="S256" s="228">
        <v>0</v>
      </c>
      <c r="T256" s="229">
        <f>S256*H256</f>
        <v>0</v>
      </c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R256" s="230" t="s">
        <v>200</v>
      </c>
      <c r="AT256" s="230" t="s">
        <v>229</v>
      </c>
      <c r="AU256" s="230" t="s">
        <v>86</v>
      </c>
      <c r="AY256" s="16" t="s">
        <v>157</v>
      </c>
      <c r="BE256" s="231">
        <f>IF(N256="základní",J256,0)</f>
        <v>0</v>
      </c>
      <c r="BF256" s="231">
        <f>IF(N256="snížená",J256,0)</f>
        <v>0</v>
      </c>
      <c r="BG256" s="231">
        <f>IF(N256="zákl. přenesená",J256,0)</f>
        <v>0</v>
      </c>
      <c r="BH256" s="231">
        <f>IF(N256="sníž. přenesená",J256,0)</f>
        <v>0</v>
      </c>
      <c r="BI256" s="231">
        <f>IF(N256="nulová",J256,0)</f>
        <v>0</v>
      </c>
      <c r="BJ256" s="16" t="s">
        <v>8</v>
      </c>
      <c r="BK256" s="231">
        <f>ROUND(I256*H256,0)</f>
        <v>0</v>
      </c>
      <c r="BL256" s="16" t="s">
        <v>163</v>
      </c>
      <c r="BM256" s="230" t="s">
        <v>2387</v>
      </c>
    </row>
    <row r="257" s="2" customFormat="1" ht="24.15" customHeight="1">
      <c r="A257" s="37"/>
      <c r="B257" s="38"/>
      <c r="C257" s="254" t="s">
        <v>532</v>
      </c>
      <c r="D257" s="254" t="s">
        <v>229</v>
      </c>
      <c r="E257" s="255" t="s">
        <v>2388</v>
      </c>
      <c r="F257" s="256" t="s">
        <v>2389</v>
      </c>
      <c r="G257" s="257" t="s">
        <v>565</v>
      </c>
      <c r="H257" s="258">
        <v>2</v>
      </c>
      <c r="I257" s="259"/>
      <c r="J257" s="260">
        <f>ROUND(I257*H257,0)</f>
        <v>0</v>
      </c>
      <c r="K257" s="261"/>
      <c r="L257" s="262"/>
      <c r="M257" s="263" t="s">
        <v>1</v>
      </c>
      <c r="N257" s="264" t="s">
        <v>42</v>
      </c>
      <c r="O257" s="90"/>
      <c r="P257" s="228">
        <f>O257*H257</f>
        <v>0</v>
      </c>
      <c r="Q257" s="228">
        <v>0.00089999999999999998</v>
      </c>
      <c r="R257" s="228">
        <f>Q257*H257</f>
        <v>0.0018</v>
      </c>
      <c r="S257" s="228">
        <v>0</v>
      </c>
      <c r="T257" s="229">
        <f>S257*H257</f>
        <v>0</v>
      </c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R257" s="230" t="s">
        <v>200</v>
      </c>
      <c r="AT257" s="230" t="s">
        <v>229</v>
      </c>
      <c r="AU257" s="230" t="s">
        <v>86</v>
      </c>
      <c r="AY257" s="16" t="s">
        <v>157</v>
      </c>
      <c r="BE257" s="231">
        <f>IF(N257="základní",J257,0)</f>
        <v>0</v>
      </c>
      <c r="BF257" s="231">
        <f>IF(N257="snížená",J257,0)</f>
        <v>0</v>
      </c>
      <c r="BG257" s="231">
        <f>IF(N257="zákl. přenesená",J257,0)</f>
        <v>0</v>
      </c>
      <c r="BH257" s="231">
        <f>IF(N257="sníž. přenesená",J257,0)</f>
        <v>0</v>
      </c>
      <c r="BI257" s="231">
        <f>IF(N257="nulová",J257,0)</f>
        <v>0</v>
      </c>
      <c r="BJ257" s="16" t="s">
        <v>8</v>
      </c>
      <c r="BK257" s="231">
        <f>ROUND(I257*H257,0)</f>
        <v>0</v>
      </c>
      <c r="BL257" s="16" t="s">
        <v>163</v>
      </c>
      <c r="BM257" s="230" t="s">
        <v>2390</v>
      </c>
    </row>
    <row r="258" s="2" customFormat="1" ht="24.15" customHeight="1">
      <c r="A258" s="37"/>
      <c r="B258" s="38"/>
      <c r="C258" s="218" t="s">
        <v>539</v>
      </c>
      <c r="D258" s="218" t="s">
        <v>159</v>
      </c>
      <c r="E258" s="219" t="s">
        <v>2391</v>
      </c>
      <c r="F258" s="220" t="s">
        <v>2392</v>
      </c>
      <c r="G258" s="221" t="s">
        <v>565</v>
      </c>
      <c r="H258" s="222">
        <v>2</v>
      </c>
      <c r="I258" s="223"/>
      <c r="J258" s="224">
        <f>ROUND(I258*H258,0)</f>
        <v>0</v>
      </c>
      <c r="K258" s="225"/>
      <c r="L258" s="43"/>
      <c r="M258" s="226" t="s">
        <v>1</v>
      </c>
      <c r="N258" s="227" t="s">
        <v>42</v>
      </c>
      <c r="O258" s="90"/>
      <c r="P258" s="228">
        <f>O258*H258</f>
        <v>0</v>
      </c>
      <c r="Q258" s="228">
        <v>0</v>
      </c>
      <c r="R258" s="228">
        <f>Q258*H258</f>
        <v>0</v>
      </c>
      <c r="S258" s="228">
        <v>0</v>
      </c>
      <c r="T258" s="229">
        <f>S258*H258</f>
        <v>0</v>
      </c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R258" s="230" t="s">
        <v>163</v>
      </c>
      <c r="AT258" s="230" t="s">
        <v>159</v>
      </c>
      <c r="AU258" s="230" t="s">
        <v>86</v>
      </c>
      <c r="AY258" s="16" t="s">
        <v>157</v>
      </c>
      <c r="BE258" s="231">
        <f>IF(N258="základní",J258,0)</f>
        <v>0</v>
      </c>
      <c r="BF258" s="231">
        <f>IF(N258="snížená",J258,0)</f>
        <v>0</v>
      </c>
      <c r="BG258" s="231">
        <f>IF(N258="zákl. přenesená",J258,0)</f>
        <v>0</v>
      </c>
      <c r="BH258" s="231">
        <f>IF(N258="sníž. přenesená",J258,0)</f>
        <v>0</v>
      </c>
      <c r="BI258" s="231">
        <f>IF(N258="nulová",J258,0)</f>
        <v>0</v>
      </c>
      <c r="BJ258" s="16" t="s">
        <v>8</v>
      </c>
      <c r="BK258" s="231">
        <f>ROUND(I258*H258,0)</f>
        <v>0</v>
      </c>
      <c r="BL258" s="16" t="s">
        <v>163</v>
      </c>
      <c r="BM258" s="230" t="s">
        <v>2393</v>
      </c>
    </row>
    <row r="259" s="13" customFormat="1">
      <c r="A259" s="13"/>
      <c r="B259" s="232"/>
      <c r="C259" s="233"/>
      <c r="D259" s="234" t="s">
        <v>165</v>
      </c>
      <c r="E259" s="235" t="s">
        <v>1</v>
      </c>
      <c r="F259" s="236" t="s">
        <v>2394</v>
      </c>
      <c r="G259" s="233"/>
      <c r="H259" s="237">
        <v>2</v>
      </c>
      <c r="I259" s="238"/>
      <c r="J259" s="233"/>
      <c r="K259" s="233"/>
      <c r="L259" s="239"/>
      <c r="M259" s="240"/>
      <c r="N259" s="241"/>
      <c r="O259" s="241"/>
      <c r="P259" s="241"/>
      <c r="Q259" s="241"/>
      <c r="R259" s="241"/>
      <c r="S259" s="241"/>
      <c r="T259" s="242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T259" s="243" t="s">
        <v>165</v>
      </c>
      <c r="AU259" s="243" t="s">
        <v>86</v>
      </c>
      <c r="AV259" s="13" t="s">
        <v>86</v>
      </c>
      <c r="AW259" s="13" t="s">
        <v>32</v>
      </c>
      <c r="AX259" s="13" t="s">
        <v>77</v>
      </c>
      <c r="AY259" s="243" t="s">
        <v>157</v>
      </c>
    </row>
    <row r="260" s="2" customFormat="1" ht="24.15" customHeight="1">
      <c r="A260" s="37"/>
      <c r="B260" s="38"/>
      <c r="C260" s="254" t="s">
        <v>546</v>
      </c>
      <c r="D260" s="254" t="s">
        <v>229</v>
      </c>
      <c r="E260" s="255" t="s">
        <v>2395</v>
      </c>
      <c r="F260" s="256" t="s">
        <v>2396</v>
      </c>
      <c r="G260" s="257" t="s">
        <v>209</v>
      </c>
      <c r="H260" s="258">
        <v>24</v>
      </c>
      <c r="I260" s="259"/>
      <c r="J260" s="260">
        <f>ROUND(I260*H260,0)</f>
        <v>0</v>
      </c>
      <c r="K260" s="261"/>
      <c r="L260" s="262"/>
      <c r="M260" s="263" t="s">
        <v>1</v>
      </c>
      <c r="N260" s="264" t="s">
        <v>42</v>
      </c>
      <c r="O260" s="90"/>
      <c r="P260" s="228">
        <f>O260*H260</f>
        <v>0</v>
      </c>
      <c r="Q260" s="228">
        <v>0.059999999999999998</v>
      </c>
      <c r="R260" s="228">
        <f>Q260*H260</f>
        <v>1.44</v>
      </c>
      <c r="S260" s="228">
        <v>0</v>
      </c>
      <c r="T260" s="229">
        <f>S260*H260</f>
        <v>0</v>
      </c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R260" s="230" t="s">
        <v>200</v>
      </c>
      <c r="AT260" s="230" t="s">
        <v>229</v>
      </c>
      <c r="AU260" s="230" t="s">
        <v>86</v>
      </c>
      <c r="AY260" s="16" t="s">
        <v>157</v>
      </c>
      <c r="BE260" s="231">
        <f>IF(N260="základní",J260,0)</f>
        <v>0</v>
      </c>
      <c r="BF260" s="231">
        <f>IF(N260="snížená",J260,0)</f>
        <v>0</v>
      </c>
      <c r="BG260" s="231">
        <f>IF(N260="zákl. přenesená",J260,0)</f>
        <v>0</v>
      </c>
      <c r="BH260" s="231">
        <f>IF(N260="sníž. přenesená",J260,0)</f>
        <v>0</v>
      </c>
      <c r="BI260" s="231">
        <f>IF(N260="nulová",J260,0)</f>
        <v>0</v>
      </c>
      <c r="BJ260" s="16" t="s">
        <v>8</v>
      </c>
      <c r="BK260" s="231">
        <f>ROUND(I260*H260,0)</f>
        <v>0</v>
      </c>
      <c r="BL260" s="16" t="s">
        <v>163</v>
      </c>
      <c r="BM260" s="230" t="s">
        <v>2397</v>
      </c>
    </row>
    <row r="261" s="13" customFormat="1">
      <c r="A261" s="13"/>
      <c r="B261" s="232"/>
      <c r="C261" s="233"/>
      <c r="D261" s="234" t="s">
        <v>165</v>
      </c>
      <c r="E261" s="233"/>
      <c r="F261" s="236" t="s">
        <v>2398</v>
      </c>
      <c r="G261" s="233"/>
      <c r="H261" s="237">
        <v>24</v>
      </c>
      <c r="I261" s="238"/>
      <c r="J261" s="233"/>
      <c r="K261" s="233"/>
      <c r="L261" s="239"/>
      <c r="M261" s="240"/>
      <c r="N261" s="241"/>
      <c r="O261" s="241"/>
      <c r="P261" s="241"/>
      <c r="Q261" s="241"/>
      <c r="R261" s="241"/>
      <c r="S261" s="241"/>
      <c r="T261" s="242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T261" s="243" t="s">
        <v>165</v>
      </c>
      <c r="AU261" s="243" t="s">
        <v>86</v>
      </c>
      <c r="AV261" s="13" t="s">
        <v>86</v>
      </c>
      <c r="AW261" s="13" t="s">
        <v>4</v>
      </c>
      <c r="AX261" s="13" t="s">
        <v>8</v>
      </c>
      <c r="AY261" s="243" t="s">
        <v>157</v>
      </c>
    </row>
    <row r="262" s="2" customFormat="1" ht="16.5" customHeight="1">
      <c r="A262" s="37"/>
      <c r="B262" s="38"/>
      <c r="C262" s="218" t="s">
        <v>551</v>
      </c>
      <c r="D262" s="218" t="s">
        <v>159</v>
      </c>
      <c r="E262" s="219" t="s">
        <v>2399</v>
      </c>
      <c r="F262" s="220" t="s">
        <v>2400</v>
      </c>
      <c r="G262" s="221" t="s">
        <v>565</v>
      </c>
      <c r="H262" s="222">
        <v>2</v>
      </c>
      <c r="I262" s="223"/>
      <c r="J262" s="224">
        <f>ROUND(I262*H262,0)</f>
        <v>0</v>
      </c>
      <c r="K262" s="225"/>
      <c r="L262" s="43"/>
      <c r="M262" s="226" t="s">
        <v>1</v>
      </c>
      <c r="N262" s="227" t="s">
        <v>42</v>
      </c>
      <c r="O262" s="90"/>
      <c r="P262" s="228">
        <f>O262*H262</f>
        <v>0</v>
      </c>
      <c r="Q262" s="228">
        <v>0</v>
      </c>
      <c r="R262" s="228">
        <f>Q262*H262</f>
        <v>0</v>
      </c>
      <c r="S262" s="228">
        <v>0</v>
      </c>
      <c r="T262" s="229">
        <f>S262*H262</f>
        <v>0</v>
      </c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R262" s="230" t="s">
        <v>163</v>
      </c>
      <c r="AT262" s="230" t="s">
        <v>159</v>
      </c>
      <c r="AU262" s="230" t="s">
        <v>86</v>
      </c>
      <c r="AY262" s="16" t="s">
        <v>157</v>
      </c>
      <c r="BE262" s="231">
        <f>IF(N262="základní",J262,0)</f>
        <v>0</v>
      </c>
      <c r="BF262" s="231">
        <f>IF(N262="snížená",J262,0)</f>
        <v>0</v>
      </c>
      <c r="BG262" s="231">
        <f>IF(N262="zákl. přenesená",J262,0)</f>
        <v>0</v>
      </c>
      <c r="BH262" s="231">
        <f>IF(N262="sníž. přenesená",J262,0)</f>
        <v>0</v>
      </c>
      <c r="BI262" s="231">
        <f>IF(N262="nulová",J262,0)</f>
        <v>0</v>
      </c>
      <c r="BJ262" s="16" t="s">
        <v>8</v>
      </c>
      <c r="BK262" s="231">
        <f>ROUND(I262*H262,0)</f>
        <v>0</v>
      </c>
      <c r="BL262" s="16" t="s">
        <v>163</v>
      </c>
      <c r="BM262" s="230" t="s">
        <v>2401</v>
      </c>
    </row>
    <row r="263" s="2" customFormat="1" ht="16.5" customHeight="1">
      <c r="A263" s="37"/>
      <c r="B263" s="38"/>
      <c r="C263" s="254" t="s">
        <v>556</v>
      </c>
      <c r="D263" s="254" t="s">
        <v>229</v>
      </c>
      <c r="E263" s="255" t="s">
        <v>2402</v>
      </c>
      <c r="F263" s="256" t="s">
        <v>2403</v>
      </c>
      <c r="G263" s="257" t="s">
        <v>2404</v>
      </c>
      <c r="H263" s="258">
        <v>2</v>
      </c>
      <c r="I263" s="259"/>
      <c r="J263" s="260">
        <f>ROUND(I263*H263,0)</f>
        <v>0</v>
      </c>
      <c r="K263" s="261"/>
      <c r="L263" s="262"/>
      <c r="M263" s="263" t="s">
        <v>1</v>
      </c>
      <c r="N263" s="264" t="s">
        <v>42</v>
      </c>
      <c r="O263" s="90"/>
      <c r="P263" s="228">
        <f>O263*H263</f>
        <v>0</v>
      </c>
      <c r="Q263" s="228">
        <v>0.052400000000000002</v>
      </c>
      <c r="R263" s="228">
        <f>Q263*H263</f>
        <v>0.1048</v>
      </c>
      <c r="S263" s="228">
        <v>0</v>
      </c>
      <c r="T263" s="229">
        <f>S263*H263</f>
        <v>0</v>
      </c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R263" s="230" t="s">
        <v>200</v>
      </c>
      <c r="AT263" s="230" t="s">
        <v>229</v>
      </c>
      <c r="AU263" s="230" t="s">
        <v>86</v>
      </c>
      <c r="AY263" s="16" t="s">
        <v>157</v>
      </c>
      <c r="BE263" s="231">
        <f>IF(N263="základní",J263,0)</f>
        <v>0</v>
      </c>
      <c r="BF263" s="231">
        <f>IF(N263="snížená",J263,0)</f>
        <v>0</v>
      </c>
      <c r="BG263" s="231">
        <f>IF(N263="zákl. přenesená",J263,0)</f>
        <v>0</v>
      </c>
      <c r="BH263" s="231">
        <f>IF(N263="sníž. přenesená",J263,0)</f>
        <v>0</v>
      </c>
      <c r="BI263" s="231">
        <f>IF(N263="nulová",J263,0)</f>
        <v>0</v>
      </c>
      <c r="BJ263" s="16" t="s">
        <v>8</v>
      </c>
      <c r="BK263" s="231">
        <f>ROUND(I263*H263,0)</f>
        <v>0</v>
      </c>
      <c r="BL263" s="16" t="s">
        <v>163</v>
      </c>
      <c r="BM263" s="230" t="s">
        <v>2405</v>
      </c>
    </row>
    <row r="264" s="2" customFormat="1" ht="16.5" customHeight="1">
      <c r="A264" s="37"/>
      <c r="B264" s="38"/>
      <c r="C264" s="254" t="s">
        <v>562</v>
      </c>
      <c r="D264" s="254" t="s">
        <v>229</v>
      </c>
      <c r="E264" s="255" t="s">
        <v>2406</v>
      </c>
      <c r="F264" s="256" t="s">
        <v>2407</v>
      </c>
      <c r="G264" s="257" t="s">
        <v>2404</v>
      </c>
      <c r="H264" s="258">
        <v>2</v>
      </c>
      <c r="I264" s="259"/>
      <c r="J264" s="260">
        <f>ROUND(I264*H264,0)</f>
        <v>0</v>
      </c>
      <c r="K264" s="261"/>
      <c r="L264" s="262"/>
      <c r="M264" s="263" t="s">
        <v>1</v>
      </c>
      <c r="N264" s="264" t="s">
        <v>42</v>
      </c>
      <c r="O264" s="90"/>
      <c r="P264" s="228">
        <f>O264*H264</f>
        <v>0</v>
      </c>
      <c r="Q264" s="228">
        <v>0.014999999999999999</v>
      </c>
      <c r="R264" s="228">
        <f>Q264*H264</f>
        <v>0.029999999999999999</v>
      </c>
      <c r="S264" s="228">
        <v>0</v>
      </c>
      <c r="T264" s="229">
        <f>S264*H264</f>
        <v>0</v>
      </c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R264" s="230" t="s">
        <v>200</v>
      </c>
      <c r="AT264" s="230" t="s">
        <v>229</v>
      </c>
      <c r="AU264" s="230" t="s">
        <v>86</v>
      </c>
      <c r="AY264" s="16" t="s">
        <v>157</v>
      </c>
      <c r="BE264" s="231">
        <f>IF(N264="základní",J264,0)</f>
        <v>0</v>
      </c>
      <c r="BF264" s="231">
        <f>IF(N264="snížená",J264,0)</f>
        <v>0</v>
      </c>
      <c r="BG264" s="231">
        <f>IF(N264="zákl. přenesená",J264,0)</f>
        <v>0</v>
      </c>
      <c r="BH264" s="231">
        <f>IF(N264="sníž. přenesená",J264,0)</f>
        <v>0</v>
      </c>
      <c r="BI264" s="231">
        <f>IF(N264="nulová",J264,0)</f>
        <v>0</v>
      </c>
      <c r="BJ264" s="16" t="s">
        <v>8</v>
      </c>
      <c r="BK264" s="231">
        <f>ROUND(I264*H264,0)</f>
        <v>0</v>
      </c>
      <c r="BL264" s="16" t="s">
        <v>163</v>
      </c>
      <c r="BM264" s="230" t="s">
        <v>2408</v>
      </c>
    </row>
    <row r="265" s="2" customFormat="1" ht="16.5" customHeight="1">
      <c r="A265" s="37"/>
      <c r="B265" s="38"/>
      <c r="C265" s="254" t="s">
        <v>571</v>
      </c>
      <c r="D265" s="254" t="s">
        <v>229</v>
      </c>
      <c r="E265" s="255" t="s">
        <v>2409</v>
      </c>
      <c r="F265" s="256" t="s">
        <v>2410</v>
      </c>
      <c r="G265" s="257" t="s">
        <v>565</v>
      </c>
      <c r="H265" s="258">
        <v>4</v>
      </c>
      <c r="I265" s="259"/>
      <c r="J265" s="260">
        <f>ROUND(I265*H265,0)</f>
        <v>0</v>
      </c>
      <c r="K265" s="261"/>
      <c r="L265" s="262"/>
      <c r="M265" s="263" t="s">
        <v>1</v>
      </c>
      <c r="N265" s="264" t="s">
        <v>42</v>
      </c>
      <c r="O265" s="90"/>
      <c r="P265" s="228">
        <f>O265*H265</f>
        <v>0</v>
      </c>
      <c r="Q265" s="228">
        <v>0.016799999999999999</v>
      </c>
      <c r="R265" s="228">
        <f>Q265*H265</f>
        <v>0.067199999999999996</v>
      </c>
      <c r="S265" s="228">
        <v>0</v>
      </c>
      <c r="T265" s="229">
        <f>S265*H265</f>
        <v>0</v>
      </c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R265" s="230" t="s">
        <v>200</v>
      </c>
      <c r="AT265" s="230" t="s">
        <v>229</v>
      </c>
      <c r="AU265" s="230" t="s">
        <v>86</v>
      </c>
      <c r="AY265" s="16" t="s">
        <v>157</v>
      </c>
      <c r="BE265" s="231">
        <f>IF(N265="základní",J265,0)</f>
        <v>0</v>
      </c>
      <c r="BF265" s="231">
        <f>IF(N265="snížená",J265,0)</f>
        <v>0</v>
      </c>
      <c r="BG265" s="231">
        <f>IF(N265="zákl. přenesená",J265,0)</f>
        <v>0</v>
      </c>
      <c r="BH265" s="231">
        <f>IF(N265="sníž. přenesená",J265,0)</f>
        <v>0</v>
      </c>
      <c r="BI265" s="231">
        <f>IF(N265="nulová",J265,0)</f>
        <v>0</v>
      </c>
      <c r="BJ265" s="16" t="s">
        <v>8</v>
      </c>
      <c r="BK265" s="231">
        <f>ROUND(I265*H265,0)</f>
        <v>0</v>
      </c>
      <c r="BL265" s="16" t="s">
        <v>163</v>
      </c>
      <c r="BM265" s="230" t="s">
        <v>2411</v>
      </c>
    </row>
    <row r="266" s="2" customFormat="1" ht="24.15" customHeight="1">
      <c r="A266" s="37"/>
      <c r="B266" s="38"/>
      <c r="C266" s="218" t="s">
        <v>575</v>
      </c>
      <c r="D266" s="218" t="s">
        <v>159</v>
      </c>
      <c r="E266" s="219" t="s">
        <v>2412</v>
      </c>
      <c r="F266" s="220" t="s">
        <v>2413</v>
      </c>
      <c r="G266" s="221" t="s">
        <v>216</v>
      </c>
      <c r="H266" s="222">
        <v>35</v>
      </c>
      <c r="I266" s="223"/>
      <c r="J266" s="224">
        <f>ROUND(I266*H266,0)</f>
        <v>0</v>
      </c>
      <c r="K266" s="225"/>
      <c r="L266" s="43"/>
      <c r="M266" s="226" t="s">
        <v>1</v>
      </c>
      <c r="N266" s="227" t="s">
        <v>42</v>
      </c>
      <c r="O266" s="90"/>
      <c r="P266" s="228">
        <f>O266*H266</f>
        <v>0</v>
      </c>
      <c r="Q266" s="228">
        <v>0.046339999999999999</v>
      </c>
      <c r="R266" s="228">
        <f>Q266*H266</f>
        <v>1.6218999999999999</v>
      </c>
      <c r="S266" s="228">
        <v>0</v>
      </c>
      <c r="T266" s="229">
        <f>S266*H266</f>
        <v>0</v>
      </c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R266" s="230" t="s">
        <v>163</v>
      </c>
      <c r="AT266" s="230" t="s">
        <v>159</v>
      </c>
      <c r="AU266" s="230" t="s">
        <v>86</v>
      </c>
      <c r="AY266" s="16" t="s">
        <v>157</v>
      </c>
      <c r="BE266" s="231">
        <f>IF(N266="základní",J266,0)</f>
        <v>0</v>
      </c>
      <c r="BF266" s="231">
        <f>IF(N266="snížená",J266,0)</f>
        <v>0</v>
      </c>
      <c r="BG266" s="231">
        <f>IF(N266="zákl. přenesená",J266,0)</f>
        <v>0</v>
      </c>
      <c r="BH266" s="231">
        <f>IF(N266="sníž. přenesená",J266,0)</f>
        <v>0</v>
      </c>
      <c r="BI266" s="231">
        <f>IF(N266="nulová",J266,0)</f>
        <v>0</v>
      </c>
      <c r="BJ266" s="16" t="s">
        <v>8</v>
      </c>
      <c r="BK266" s="231">
        <f>ROUND(I266*H266,0)</f>
        <v>0</v>
      </c>
      <c r="BL266" s="16" t="s">
        <v>163</v>
      </c>
      <c r="BM266" s="230" t="s">
        <v>2414</v>
      </c>
    </row>
    <row r="267" s="2" customFormat="1" ht="16.5" customHeight="1">
      <c r="A267" s="37"/>
      <c r="B267" s="38"/>
      <c r="C267" s="254" t="s">
        <v>583</v>
      </c>
      <c r="D267" s="254" t="s">
        <v>229</v>
      </c>
      <c r="E267" s="255" t="s">
        <v>2415</v>
      </c>
      <c r="F267" s="256" t="s">
        <v>2416</v>
      </c>
      <c r="G267" s="257" t="s">
        <v>565</v>
      </c>
      <c r="H267" s="258">
        <v>70</v>
      </c>
      <c r="I267" s="259"/>
      <c r="J267" s="260">
        <f>ROUND(I267*H267,0)</f>
        <v>0</v>
      </c>
      <c r="K267" s="261"/>
      <c r="L267" s="262"/>
      <c r="M267" s="263" t="s">
        <v>1</v>
      </c>
      <c r="N267" s="264" t="s">
        <v>42</v>
      </c>
      <c r="O267" s="90"/>
      <c r="P267" s="228">
        <f>O267*H267</f>
        <v>0</v>
      </c>
      <c r="Q267" s="228">
        <v>0.028000000000000001</v>
      </c>
      <c r="R267" s="228">
        <f>Q267*H267</f>
        <v>1.96</v>
      </c>
      <c r="S267" s="228">
        <v>0</v>
      </c>
      <c r="T267" s="229">
        <f>S267*H267</f>
        <v>0</v>
      </c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R267" s="230" t="s">
        <v>200</v>
      </c>
      <c r="AT267" s="230" t="s">
        <v>229</v>
      </c>
      <c r="AU267" s="230" t="s">
        <v>86</v>
      </c>
      <c r="AY267" s="16" t="s">
        <v>157</v>
      </c>
      <c r="BE267" s="231">
        <f>IF(N267="základní",J267,0)</f>
        <v>0</v>
      </c>
      <c r="BF267" s="231">
        <f>IF(N267="snížená",J267,0)</f>
        <v>0</v>
      </c>
      <c r="BG267" s="231">
        <f>IF(N267="zákl. přenesená",J267,0)</f>
        <v>0</v>
      </c>
      <c r="BH267" s="231">
        <f>IF(N267="sníž. přenesená",J267,0)</f>
        <v>0</v>
      </c>
      <c r="BI267" s="231">
        <f>IF(N267="nulová",J267,0)</f>
        <v>0</v>
      </c>
      <c r="BJ267" s="16" t="s">
        <v>8</v>
      </c>
      <c r="BK267" s="231">
        <f>ROUND(I267*H267,0)</f>
        <v>0</v>
      </c>
      <c r="BL267" s="16" t="s">
        <v>163</v>
      </c>
      <c r="BM267" s="230" t="s">
        <v>2417</v>
      </c>
    </row>
    <row r="268" s="2" customFormat="1" ht="24.15" customHeight="1">
      <c r="A268" s="37"/>
      <c r="B268" s="38"/>
      <c r="C268" s="218" t="s">
        <v>588</v>
      </c>
      <c r="D268" s="218" t="s">
        <v>159</v>
      </c>
      <c r="E268" s="219" t="s">
        <v>2418</v>
      </c>
      <c r="F268" s="220" t="s">
        <v>2419</v>
      </c>
      <c r="G268" s="221" t="s">
        <v>216</v>
      </c>
      <c r="H268" s="222">
        <v>52</v>
      </c>
      <c r="I268" s="223"/>
      <c r="J268" s="224">
        <f>ROUND(I268*H268,0)</f>
        <v>0</v>
      </c>
      <c r="K268" s="225"/>
      <c r="L268" s="43"/>
      <c r="M268" s="226" t="s">
        <v>1</v>
      </c>
      <c r="N268" s="227" t="s">
        <v>42</v>
      </c>
      <c r="O268" s="90"/>
      <c r="P268" s="228">
        <f>O268*H268</f>
        <v>0</v>
      </c>
      <c r="Q268" s="228">
        <v>0</v>
      </c>
      <c r="R268" s="228">
        <f>Q268*H268</f>
        <v>0</v>
      </c>
      <c r="S268" s="228">
        <v>0</v>
      </c>
      <c r="T268" s="229">
        <f>S268*H268</f>
        <v>0</v>
      </c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R268" s="230" t="s">
        <v>163</v>
      </c>
      <c r="AT268" s="230" t="s">
        <v>159</v>
      </c>
      <c r="AU268" s="230" t="s">
        <v>86</v>
      </c>
      <c r="AY268" s="16" t="s">
        <v>157</v>
      </c>
      <c r="BE268" s="231">
        <f>IF(N268="základní",J268,0)</f>
        <v>0</v>
      </c>
      <c r="BF268" s="231">
        <f>IF(N268="snížená",J268,0)</f>
        <v>0</v>
      </c>
      <c r="BG268" s="231">
        <f>IF(N268="zákl. přenesená",J268,0)</f>
        <v>0</v>
      </c>
      <c r="BH268" s="231">
        <f>IF(N268="sníž. přenesená",J268,0)</f>
        <v>0</v>
      </c>
      <c r="BI268" s="231">
        <f>IF(N268="nulová",J268,0)</f>
        <v>0</v>
      </c>
      <c r="BJ268" s="16" t="s">
        <v>8</v>
      </c>
      <c r="BK268" s="231">
        <f>ROUND(I268*H268,0)</f>
        <v>0</v>
      </c>
      <c r="BL268" s="16" t="s">
        <v>163</v>
      </c>
      <c r="BM268" s="230" t="s">
        <v>2420</v>
      </c>
    </row>
    <row r="269" s="13" customFormat="1">
      <c r="A269" s="13"/>
      <c r="B269" s="232"/>
      <c r="C269" s="233"/>
      <c r="D269" s="234" t="s">
        <v>165</v>
      </c>
      <c r="E269" s="235" t="s">
        <v>1</v>
      </c>
      <c r="F269" s="236" t="s">
        <v>2421</v>
      </c>
      <c r="G269" s="233"/>
      <c r="H269" s="237">
        <v>52</v>
      </c>
      <c r="I269" s="238"/>
      <c r="J269" s="233"/>
      <c r="K269" s="233"/>
      <c r="L269" s="239"/>
      <c r="M269" s="240"/>
      <c r="N269" s="241"/>
      <c r="O269" s="241"/>
      <c r="P269" s="241"/>
      <c r="Q269" s="241"/>
      <c r="R269" s="241"/>
      <c r="S269" s="241"/>
      <c r="T269" s="242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T269" s="243" t="s">
        <v>165</v>
      </c>
      <c r="AU269" s="243" t="s">
        <v>86</v>
      </c>
      <c r="AV269" s="13" t="s">
        <v>86</v>
      </c>
      <c r="AW269" s="13" t="s">
        <v>32</v>
      </c>
      <c r="AX269" s="13" t="s">
        <v>77</v>
      </c>
      <c r="AY269" s="243" t="s">
        <v>157</v>
      </c>
    </row>
    <row r="270" s="2" customFormat="1" ht="24.15" customHeight="1">
      <c r="A270" s="37"/>
      <c r="B270" s="38"/>
      <c r="C270" s="254" t="s">
        <v>594</v>
      </c>
      <c r="D270" s="254" t="s">
        <v>229</v>
      </c>
      <c r="E270" s="255" t="s">
        <v>2422</v>
      </c>
      <c r="F270" s="256" t="s">
        <v>2423</v>
      </c>
      <c r="G270" s="257" t="s">
        <v>216</v>
      </c>
      <c r="H270" s="258">
        <v>54.600000000000001</v>
      </c>
      <c r="I270" s="259"/>
      <c r="J270" s="260">
        <f>ROUND(I270*H270,0)</f>
        <v>0</v>
      </c>
      <c r="K270" s="261"/>
      <c r="L270" s="262"/>
      <c r="M270" s="263" t="s">
        <v>1</v>
      </c>
      <c r="N270" s="264" t="s">
        <v>42</v>
      </c>
      <c r="O270" s="90"/>
      <c r="P270" s="228">
        <f>O270*H270</f>
        <v>0</v>
      </c>
      <c r="Q270" s="228">
        <v>0.0016000000000000001</v>
      </c>
      <c r="R270" s="228">
        <f>Q270*H270</f>
        <v>0.087360000000000007</v>
      </c>
      <c r="S270" s="228">
        <v>0</v>
      </c>
      <c r="T270" s="229">
        <f>S270*H270</f>
        <v>0</v>
      </c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R270" s="230" t="s">
        <v>200</v>
      </c>
      <c r="AT270" s="230" t="s">
        <v>229</v>
      </c>
      <c r="AU270" s="230" t="s">
        <v>86</v>
      </c>
      <c r="AY270" s="16" t="s">
        <v>157</v>
      </c>
      <c r="BE270" s="231">
        <f>IF(N270="základní",J270,0)</f>
        <v>0</v>
      </c>
      <c r="BF270" s="231">
        <f>IF(N270="snížená",J270,0)</f>
        <v>0</v>
      </c>
      <c r="BG270" s="231">
        <f>IF(N270="zákl. přenesená",J270,0)</f>
        <v>0</v>
      </c>
      <c r="BH270" s="231">
        <f>IF(N270="sníž. přenesená",J270,0)</f>
        <v>0</v>
      </c>
      <c r="BI270" s="231">
        <f>IF(N270="nulová",J270,0)</f>
        <v>0</v>
      </c>
      <c r="BJ270" s="16" t="s">
        <v>8</v>
      </c>
      <c r="BK270" s="231">
        <f>ROUND(I270*H270,0)</f>
        <v>0</v>
      </c>
      <c r="BL270" s="16" t="s">
        <v>163</v>
      </c>
      <c r="BM270" s="230" t="s">
        <v>2424</v>
      </c>
    </row>
    <row r="271" s="13" customFormat="1">
      <c r="A271" s="13"/>
      <c r="B271" s="232"/>
      <c r="C271" s="233"/>
      <c r="D271" s="234" t="s">
        <v>165</v>
      </c>
      <c r="E271" s="235" t="s">
        <v>1</v>
      </c>
      <c r="F271" s="236" t="s">
        <v>438</v>
      </c>
      <c r="G271" s="233"/>
      <c r="H271" s="237">
        <v>52</v>
      </c>
      <c r="I271" s="238"/>
      <c r="J271" s="233"/>
      <c r="K271" s="233"/>
      <c r="L271" s="239"/>
      <c r="M271" s="240"/>
      <c r="N271" s="241"/>
      <c r="O271" s="241"/>
      <c r="P271" s="241"/>
      <c r="Q271" s="241"/>
      <c r="R271" s="241"/>
      <c r="S271" s="241"/>
      <c r="T271" s="242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T271" s="243" t="s">
        <v>165</v>
      </c>
      <c r="AU271" s="243" t="s">
        <v>86</v>
      </c>
      <c r="AV271" s="13" t="s">
        <v>86</v>
      </c>
      <c r="AW271" s="13" t="s">
        <v>32</v>
      </c>
      <c r="AX271" s="13" t="s">
        <v>8</v>
      </c>
      <c r="AY271" s="243" t="s">
        <v>157</v>
      </c>
    </row>
    <row r="272" s="13" customFormat="1">
      <c r="A272" s="13"/>
      <c r="B272" s="232"/>
      <c r="C272" s="233"/>
      <c r="D272" s="234" t="s">
        <v>165</v>
      </c>
      <c r="E272" s="233"/>
      <c r="F272" s="236" t="s">
        <v>2425</v>
      </c>
      <c r="G272" s="233"/>
      <c r="H272" s="237">
        <v>54.600000000000001</v>
      </c>
      <c r="I272" s="238"/>
      <c r="J272" s="233"/>
      <c r="K272" s="233"/>
      <c r="L272" s="239"/>
      <c r="M272" s="240"/>
      <c r="N272" s="241"/>
      <c r="O272" s="241"/>
      <c r="P272" s="241"/>
      <c r="Q272" s="241"/>
      <c r="R272" s="241"/>
      <c r="S272" s="241"/>
      <c r="T272" s="242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T272" s="243" t="s">
        <v>165</v>
      </c>
      <c r="AU272" s="243" t="s">
        <v>86</v>
      </c>
      <c r="AV272" s="13" t="s">
        <v>86</v>
      </c>
      <c r="AW272" s="13" t="s">
        <v>4</v>
      </c>
      <c r="AX272" s="13" t="s">
        <v>8</v>
      </c>
      <c r="AY272" s="243" t="s">
        <v>157</v>
      </c>
    </row>
    <row r="273" s="2" customFormat="1" ht="16.5" customHeight="1">
      <c r="A273" s="37"/>
      <c r="B273" s="38"/>
      <c r="C273" s="218" t="s">
        <v>599</v>
      </c>
      <c r="D273" s="218" t="s">
        <v>159</v>
      </c>
      <c r="E273" s="219" t="s">
        <v>2426</v>
      </c>
      <c r="F273" s="220" t="s">
        <v>2427</v>
      </c>
      <c r="G273" s="221" t="s">
        <v>353</v>
      </c>
      <c r="H273" s="222">
        <v>1</v>
      </c>
      <c r="I273" s="223"/>
      <c r="J273" s="224">
        <f>ROUND(I273*H273,0)</f>
        <v>0</v>
      </c>
      <c r="K273" s="225"/>
      <c r="L273" s="43"/>
      <c r="M273" s="226" t="s">
        <v>1</v>
      </c>
      <c r="N273" s="227" t="s">
        <v>42</v>
      </c>
      <c r="O273" s="90"/>
      <c r="P273" s="228">
        <f>O273*H273</f>
        <v>0</v>
      </c>
      <c r="Q273" s="228">
        <v>0</v>
      </c>
      <c r="R273" s="228">
        <f>Q273*H273</f>
        <v>0</v>
      </c>
      <c r="S273" s="228">
        <v>0</v>
      </c>
      <c r="T273" s="229">
        <f>S273*H273</f>
        <v>0</v>
      </c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R273" s="230" t="s">
        <v>163</v>
      </c>
      <c r="AT273" s="230" t="s">
        <v>159</v>
      </c>
      <c r="AU273" s="230" t="s">
        <v>86</v>
      </c>
      <c r="AY273" s="16" t="s">
        <v>157</v>
      </c>
      <c r="BE273" s="231">
        <f>IF(N273="základní",J273,0)</f>
        <v>0</v>
      </c>
      <c r="BF273" s="231">
        <f>IF(N273="snížená",J273,0)</f>
        <v>0</v>
      </c>
      <c r="BG273" s="231">
        <f>IF(N273="zákl. přenesená",J273,0)</f>
        <v>0</v>
      </c>
      <c r="BH273" s="231">
        <f>IF(N273="sníž. přenesená",J273,0)</f>
        <v>0</v>
      </c>
      <c r="BI273" s="231">
        <f>IF(N273="nulová",J273,0)</f>
        <v>0</v>
      </c>
      <c r="BJ273" s="16" t="s">
        <v>8</v>
      </c>
      <c r="BK273" s="231">
        <f>ROUND(I273*H273,0)</f>
        <v>0</v>
      </c>
      <c r="BL273" s="16" t="s">
        <v>163</v>
      </c>
      <c r="BM273" s="230" t="s">
        <v>2428</v>
      </c>
    </row>
    <row r="274" s="2" customFormat="1" ht="33" customHeight="1">
      <c r="A274" s="37"/>
      <c r="B274" s="38"/>
      <c r="C274" s="218" t="s">
        <v>606</v>
      </c>
      <c r="D274" s="218" t="s">
        <v>159</v>
      </c>
      <c r="E274" s="219" t="s">
        <v>2429</v>
      </c>
      <c r="F274" s="220" t="s">
        <v>2430</v>
      </c>
      <c r="G274" s="221" t="s">
        <v>162</v>
      </c>
      <c r="H274" s="222">
        <v>36.420000000000002</v>
      </c>
      <c r="I274" s="223"/>
      <c r="J274" s="224">
        <f>ROUND(I274*H274,0)</f>
        <v>0</v>
      </c>
      <c r="K274" s="225"/>
      <c r="L274" s="43"/>
      <c r="M274" s="226" t="s">
        <v>1</v>
      </c>
      <c r="N274" s="227" t="s">
        <v>42</v>
      </c>
      <c r="O274" s="90"/>
      <c r="P274" s="228">
        <f>O274*H274</f>
        <v>0</v>
      </c>
      <c r="Q274" s="228">
        <v>2.5143</v>
      </c>
      <c r="R274" s="228">
        <f>Q274*H274</f>
        <v>91.570806000000005</v>
      </c>
      <c r="S274" s="228">
        <v>0</v>
      </c>
      <c r="T274" s="229">
        <f>S274*H274</f>
        <v>0</v>
      </c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R274" s="230" t="s">
        <v>163</v>
      </c>
      <c r="AT274" s="230" t="s">
        <v>159</v>
      </c>
      <c r="AU274" s="230" t="s">
        <v>86</v>
      </c>
      <c r="AY274" s="16" t="s">
        <v>157</v>
      </c>
      <c r="BE274" s="231">
        <f>IF(N274="základní",J274,0)</f>
        <v>0</v>
      </c>
      <c r="BF274" s="231">
        <f>IF(N274="snížená",J274,0)</f>
        <v>0</v>
      </c>
      <c r="BG274" s="231">
        <f>IF(N274="zákl. přenesená",J274,0)</f>
        <v>0</v>
      </c>
      <c r="BH274" s="231">
        <f>IF(N274="sníž. přenesená",J274,0)</f>
        <v>0</v>
      </c>
      <c r="BI274" s="231">
        <f>IF(N274="nulová",J274,0)</f>
        <v>0</v>
      </c>
      <c r="BJ274" s="16" t="s">
        <v>8</v>
      </c>
      <c r="BK274" s="231">
        <f>ROUND(I274*H274,0)</f>
        <v>0</v>
      </c>
      <c r="BL274" s="16" t="s">
        <v>163</v>
      </c>
      <c r="BM274" s="230" t="s">
        <v>2431</v>
      </c>
    </row>
    <row r="275" s="13" customFormat="1">
      <c r="A275" s="13"/>
      <c r="B275" s="232"/>
      <c r="C275" s="233"/>
      <c r="D275" s="234" t="s">
        <v>165</v>
      </c>
      <c r="E275" s="235" t="s">
        <v>1</v>
      </c>
      <c r="F275" s="236" t="s">
        <v>2432</v>
      </c>
      <c r="G275" s="233"/>
      <c r="H275" s="237">
        <v>36.420000000000002</v>
      </c>
      <c r="I275" s="238"/>
      <c r="J275" s="233"/>
      <c r="K275" s="233"/>
      <c r="L275" s="239"/>
      <c r="M275" s="240"/>
      <c r="N275" s="241"/>
      <c r="O275" s="241"/>
      <c r="P275" s="241"/>
      <c r="Q275" s="241"/>
      <c r="R275" s="241"/>
      <c r="S275" s="241"/>
      <c r="T275" s="242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T275" s="243" t="s">
        <v>165</v>
      </c>
      <c r="AU275" s="243" t="s">
        <v>86</v>
      </c>
      <c r="AV275" s="13" t="s">
        <v>86</v>
      </c>
      <c r="AW275" s="13" t="s">
        <v>32</v>
      </c>
      <c r="AX275" s="13" t="s">
        <v>77</v>
      </c>
      <c r="AY275" s="243" t="s">
        <v>157</v>
      </c>
    </row>
    <row r="276" s="2" customFormat="1" ht="24.15" customHeight="1">
      <c r="A276" s="37"/>
      <c r="B276" s="38"/>
      <c r="C276" s="218" t="s">
        <v>612</v>
      </c>
      <c r="D276" s="218" t="s">
        <v>159</v>
      </c>
      <c r="E276" s="219" t="s">
        <v>336</v>
      </c>
      <c r="F276" s="220" t="s">
        <v>337</v>
      </c>
      <c r="G276" s="221" t="s">
        <v>209</v>
      </c>
      <c r="H276" s="222">
        <v>103.86</v>
      </c>
      <c r="I276" s="223"/>
      <c r="J276" s="224">
        <f>ROUND(I276*H276,0)</f>
        <v>0</v>
      </c>
      <c r="K276" s="225"/>
      <c r="L276" s="43"/>
      <c r="M276" s="226" t="s">
        <v>1</v>
      </c>
      <c r="N276" s="227" t="s">
        <v>42</v>
      </c>
      <c r="O276" s="90"/>
      <c r="P276" s="228">
        <f>O276*H276</f>
        <v>0</v>
      </c>
      <c r="Q276" s="228">
        <v>0.0043200000000000001</v>
      </c>
      <c r="R276" s="228">
        <f>Q276*H276</f>
        <v>0.4486752</v>
      </c>
      <c r="S276" s="228">
        <v>0</v>
      </c>
      <c r="T276" s="229">
        <f>S276*H276</f>
        <v>0</v>
      </c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R276" s="230" t="s">
        <v>163</v>
      </c>
      <c r="AT276" s="230" t="s">
        <v>159</v>
      </c>
      <c r="AU276" s="230" t="s">
        <v>86</v>
      </c>
      <c r="AY276" s="16" t="s">
        <v>157</v>
      </c>
      <c r="BE276" s="231">
        <f>IF(N276="základní",J276,0)</f>
        <v>0</v>
      </c>
      <c r="BF276" s="231">
        <f>IF(N276="snížená",J276,0)</f>
        <v>0</v>
      </c>
      <c r="BG276" s="231">
        <f>IF(N276="zákl. přenesená",J276,0)</f>
        <v>0</v>
      </c>
      <c r="BH276" s="231">
        <f>IF(N276="sníž. přenesená",J276,0)</f>
        <v>0</v>
      </c>
      <c r="BI276" s="231">
        <f>IF(N276="nulová",J276,0)</f>
        <v>0</v>
      </c>
      <c r="BJ276" s="16" t="s">
        <v>8</v>
      </c>
      <c r="BK276" s="231">
        <f>ROUND(I276*H276,0)</f>
        <v>0</v>
      </c>
      <c r="BL276" s="16" t="s">
        <v>163</v>
      </c>
      <c r="BM276" s="230" t="s">
        <v>1930</v>
      </c>
    </row>
    <row r="277" s="13" customFormat="1">
      <c r="A277" s="13"/>
      <c r="B277" s="232"/>
      <c r="C277" s="233"/>
      <c r="D277" s="234" t="s">
        <v>165</v>
      </c>
      <c r="E277" s="235" t="s">
        <v>1</v>
      </c>
      <c r="F277" s="236" t="s">
        <v>2433</v>
      </c>
      <c r="G277" s="233"/>
      <c r="H277" s="237">
        <v>103.86</v>
      </c>
      <c r="I277" s="238"/>
      <c r="J277" s="233"/>
      <c r="K277" s="233"/>
      <c r="L277" s="239"/>
      <c r="M277" s="240"/>
      <c r="N277" s="241"/>
      <c r="O277" s="241"/>
      <c r="P277" s="241"/>
      <c r="Q277" s="241"/>
      <c r="R277" s="241"/>
      <c r="S277" s="241"/>
      <c r="T277" s="242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T277" s="243" t="s">
        <v>165</v>
      </c>
      <c r="AU277" s="243" t="s">
        <v>86</v>
      </c>
      <c r="AV277" s="13" t="s">
        <v>86</v>
      </c>
      <c r="AW277" s="13" t="s">
        <v>32</v>
      </c>
      <c r="AX277" s="13" t="s">
        <v>77</v>
      </c>
      <c r="AY277" s="243" t="s">
        <v>157</v>
      </c>
    </row>
    <row r="278" s="2" customFormat="1" ht="33" customHeight="1">
      <c r="A278" s="37"/>
      <c r="B278" s="38"/>
      <c r="C278" s="218" t="s">
        <v>617</v>
      </c>
      <c r="D278" s="218" t="s">
        <v>159</v>
      </c>
      <c r="E278" s="219" t="s">
        <v>342</v>
      </c>
      <c r="F278" s="220" t="s">
        <v>343</v>
      </c>
      <c r="G278" s="221" t="s">
        <v>209</v>
      </c>
      <c r="H278" s="222">
        <v>103.86</v>
      </c>
      <c r="I278" s="223"/>
      <c r="J278" s="224">
        <f>ROUND(I278*H278,0)</f>
        <v>0</v>
      </c>
      <c r="K278" s="225"/>
      <c r="L278" s="43"/>
      <c r="M278" s="226" t="s">
        <v>1</v>
      </c>
      <c r="N278" s="227" t="s">
        <v>42</v>
      </c>
      <c r="O278" s="90"/>
      <c r="P278" s="228">
        <f>O278*H278</f>
        <v>0</v>
      </c>
      <c r="Q278" s="228">
        <v>0</v>
      </c>
      <c r="R278" s="228">
        <f>Q278*H278</f>
        <v>0</v>
      </c>
      <c r="S278" s="228">
        <v>0</v>
      </c>
      <c r="T278" s="229">
        <f>S278*H278</f>
        <v>0</v>
      </c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R278" s="230" t="s">
        <v>163</v>
      </c>
      <c r="AT278" s="230" t="s">
        <v>159</v>
      </c>
      <c r="AU278" s="230" t="s">
        <v>86</v>
      </c>
      <c r="AY278" s="16" t="s">
        <v>157</v>
      </c>
      <c r="BE278" s="231">
        <f>IF(N278="základní",J278,0)</f>
        <v>0</v>
      </c>
      <c r="BF278" s="231">
        <f>IF(N278="snížená",J278,0)</f>
        <v>0</v>
      </c>
      <c r="BG278" s="231">
        <f>IF(N278="zákl. přenesená",J278,0)</f>
        <v>0</v>
      </c>
      <c r="BH278" s="231">
        <f>IF(N278="sníž. přenesená",J278,0)</f>
        <v>0</v>
      </c>
      <c r="BI278" s="231">
        <f>IF(N278="nulová",J278,0)</f>
        <v>0</v>
      </c>
      <c r="BJ278" s="16" t="s">
        <v>8</v>
      </c>
      <c r="BK278" s="231">
        <f>ROUND(I278*H278,0)</f>
        <v>0</v>
      </c>
      <c r="BL278" s="16" t="s">
        <v>163</v>
      </c>
      <c r="BM278" s="230" t="s">
        <v>2434</v>
      </c>
    </row>
    <row r="279" s="2" customFormat="1" ht="24.15" customHeight="1">
      <c r="A279" s="37"/>
      <c r="B279" s="38"/>
      <c r="C279" s="218" t="s">
        <v>622</v>
      </c>
      <c r="D279" s="218" t="s">
        <v>159</v>
      </c>
      <c r="E279" s="219" t="s">
        <v>346</v>
      </c>
      <c r="F279" s="220" t="s">
        <v>347</v>
      </c>
      <c r="G279" s="221" t="s">
        <v>193</v>
      </c>
      <c r="H279" s="222">
        <v>2.1850000000000001</v>
      </c>
      <c r="I279" s="223"/>
      <c r="J279" s="224">
        <f>ROUND(I279*H279,0)</f>
        <v>0</v>
      </c>
      <c r="K279" s="225"/>
      <c r="L279" s="43"/>
      <c r="M279" s="226" t="s">
        <v>1</v>
      </c>
      <c r="N279" s="227" t="s">
        <v>42</v>
      </c>
      <c r="O279" s="90"/>
      <c r="P279" s="228">
        <f>O279*H279</f>
        <v>0</v>
      </c>
      <c r="Q279" s="228">
        <v>1.10907</v>
      </c>
      <c r="R279" s="228">
        <f>Q279*H279</f>
        <v>2.4233179499999999</v>
      </c>
      <c r="S279" s="228">
        <v>0</v>
      </c>
      <c r="T279" s="229">
        <f>S279*H279</f>
        <v>0</v>
      </c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R279" s="230" t="s">
        <v>163</v>
      </c>
      <c r="AT279" s="230" t="s">
        <v>159</v>
      </c>
      <c r="AU279" s="230" t="s">
        <v>86</v>
      </c>
      <c r="AY279" s="16" t="s">
        <v>157</v>
      </c>
      <c r="BE279" s="231">
        <f>IF(N279="základní",J279,0)</f>
        <v>0</v>
      </c>
      <c r="BF279" s="231">
        <f>IF(N279="snížená",J279,0)</f>
        <v>0</v>
      </c>
      <c r="BG279" s="231">
        <f>IF(N279="zákl. přenesená",J279,0)</f>
        <v>0</v>
      </c>
      <c r="BH279" s="231">
        <f>IF(N279="sníž. přenesená",J279,0)</f>
        <v>0</v>
      </c>
      <c r="BI279" s="231">
        <f>IF(N279="nulová",J279,0)</f>
        <v>0</v>
      </c>
      <c r="BJ279" s="16" t="s">
        <v>8</v>
      </c>
      <c r="BK279" s="231">
        <f>ROUND(I279*H279,0)</f>
        <v>0</v>
      </c>
      <c r="BL279" s="16" t="s">
        <v>163</v>
      </c>
      <c r="BM279" s="230" t="s">
        <v>2435</v>
      </c>
    </row>
    <row r="280" s="13" customFormat="1">
      <c r="A280" s="13"/>
      <c r="B280" s="232"/>
      <c r="C280" s="233"/>
      <c r="D280" s="234" t="s">
        <v>165</v>
      </c>
      <c r="E280" s="235" t="s">
        <v>1</v>
      </c>
      <c r="F280" s="236" t="s">
        <v>2436</v>
      </c>
      <c r="G280" s="233"/>
      <c r="H280" s="237">
        <v>2.1850000000000001</v>
      </c>
      <c r="I280" s="238"/>
      <c r="J280" s="233"/>
      <c r="K280" s="233"/>
      <c r="L280" s="239"/>
      <c r="M280" s="240"/>
      <c r="N280" s="241"/>
      <c r="O280" s="241"/>
      <c r="P280" s="241"/>
      <c r="Q280" s="241"/>
      <c r="R280" s="241"/>
      <c r="S280" s="241"/>
      <c r="T280" s="242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T280" s="243" t="s">
        <v>165</v>
      </c>
      <c r="AU280" s="243" t="s">
        <v>86</v>
      </c>
      <c r="AV280" s="13" t="s">
        <v>86</v>
      </c>
      <c r="AW280" s="13" t="s">
        <v>32</v>
      </c>
      <c r="AX280" s="13" t="s">
        <v>77</v>
      </c>
      <c r="AY280" s="243" t="s">
        <v>157</v>
      </c>
    </row>
    <row r="281" s="2" customFormat="1" ht="37.8" customHeight="1">
      <c r="A281" s="37"/>
      <c r="B281" s="38"/>
      <c r="C281" s="218" t="s">
        <v>626</v>
      </c>
      <c r="D281" s="218" t="s">
        <v>159</v>
      </c>
      <c r="E281" s="219" t="s">
        <v>2437</v>
      </c>
      <c r="F281" s="220" t="s">
        <v>2438</v>
      </c>
      <c r="G281" s="221" t="s">
        <v>565</v>
      </c>
      <c r="H281" s="222">
        <v>1</v>
      </c>
      <c r="I281" s="223"/>
      <c r="J281" s="224">
        <f>ROUND(I281*H281,0)</f>
        <v>0</v>
      </c>
      <c r="K281" s="225"/>
      <c r="L281" s="43"/>
      <c r="M281" s="226" t="s">
        <v>1</v>
      </c>
      <c r="N281" s="227" t="s">
        <v>42</v>
      </c>
      <c r="O281" s="90"/>
      <c r="P281" s="228">
        <f>O281*H281</f>
        <v>0</v>
      </c>
      <c r="Q281" s="228">
        <v>0.026509999999999999</v>
      </c>
      <c r="R281" s="228">
        <f>Q281*H281</f>
        <v>0.026509999999999999</v>
      </c>
      <c r="S281" s="228">
        <v>0</v>
      </c>
      <c r="T281" s="229">
        <f>S281*H281</f>
        <v>0</v>
      </c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R281" s="230" t="s">
        <v>163</v>
      </c>
      <c r="AT281" s="230" t="s">
        <v>159</v>
      </c>
      <c r="AU281" s="230" t="s">
        <v>86</v>
      </c>
      <c r="AY281" s="16" t="s">
        <v>157</v>
      </c>
      <c r="BE281" s="231">
        <f>IF(N281="základní",J281,0)</f>
        <v>0</v>
      </c>
      <c r="BF281" s="231">
        <f>IF(N281="snížená",J281,0)</f>
        <v>0</v>
      </c>
      <c r="BG281" s="231">
        <f>IF(N281="zákl. přenesená",J281,0)</f>
        <v>0</v>
      </c>
      <c r="BH281" s="231">
        <f>IF(N281="sníž. přenesená",J281,0)</f>
        <v>0</v>
      </c>
      <c r="BI281" s="231">
        <f>IF(N281="nulová",J281,0)</f>
        <v>0</v>
      </c>
      <c r="BJ281" s="16" t="s">
        <v>8</v>
      </c>
      <c r="BK281" s="231">
        <f>ROUND(I281*H281,0)</f>
        <v>0</v>
      </c>
      <c r="BL281" s="16" t="s">
        <v>163</v>
      </c>
      <c r="BM281" s="230" t="s">
        <v>2439</v>
      </c>
    </row>
    <row r="282" s="13" customFormat="1">
      <c r="A282" s="13"/>
      <c r="B282" s="232"/>
      <c r="C282" s="233"/>
      <c r="D282" s="234" t="s">
        <v>165</v>
      </c>
      <c r="E282" s="235" t="s">
        <v>1</v>
      </c>
      <c r="F282" s="236" t="s">
        <v>2440</v>
      </c>
      <c r="G282" s="233"/>
      <c r="H282" s="237">
        <v>1</v>
      </c>
      <c r="I282" s="238"/>
      <c r="J282" s="233"/>
      <c r="K282" s="233"/>
      <c r="L282" s="239"/>
      <c r="M282" s="240"/>
      <c r="N282" s="241"/>
      <c r="O282" s="241"/>
      <c r="P282" s="241"/>
      <c r="Q282" s="241"/>
      <c r="R282" s="241"/>
      <c r="S282" s="241"/>
      <c r="T282" s="242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T282" s="243" t="s">
        <v>165</v>
      </c>
      <c r="AU282" s="243" t="s">
        <v>86</v>
      </c>
      <c r="AV282" s="13" t="s">
        <v>86</v>
      </c>
      <c r="AW282" s="13" t="s">
        <v>32</v>
      </c>
      <c r="AX282" s="13" t="s">
        <v>77</v>
      </c>
      <c r="AY282" s="243" t="s">
        <v>157</v>
      </c>
    </row>
    <row r="283" s="2" customFormat="1" ht="24.15" customHeight="1">
      <c r="A283" s="37"/>
      <c r="B283" s="38"/>
      <c r="C283" s="254" t="s">
        <v>632</v>
      </c>
      <c r="D283" s="254" t="s">
        <v>229</v>
      </c>
      <c r="E283" s="255" t="s">
        <v>2441</v>
      </c>
      <c r="F283" s="256" t="s">
        <v>2442</v>
      </c>
      <c r="G283" s="257" t="s">
        <v>565</v>
      </c>
      <c r="H283" s="258">
        <v>1</v>
      </c>
      <c r="I283" s="259"/>
      <c r="J283" s="260">
        <f>ROUND(I283*H283,0)</f>
        <v>0</v>
      </c>
      <c r="K283" s="261"/>
      <c r="L283" s="262"/>
      <c r="M283" s="263" t="s">
        <v>1</v>
      </c>
      <c r="N283" s="264" t="s">
        <v>42</v>
      </c>
      <c r="O283" s="90"/>
      <c r="P283" s="228">
        <f>O283*H283</f>
        <v>0</v>
      </c>
      <c r="Q283" s="228">
        <v>26.16</v>
      </c>
      <c r="R283" s="228">
        <f>Q283*H283</f>
        <v>26.16</v>
      </c>
      <c r="S283" s="228">
        <v>0</v>
      </c>
      <c r="T283" s="229">
        <f>S283*H283</f>
        <v>0</v>
      </c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R283" s="230" t="s">
        <v>200</v>
      </c>
      <c r="AT283" s="230" t="s">
        <v>229</v>
      </c>
      <c r="AU283" s="230" t="s">
        <v>86</v>
      </c>
      <c r="AY283" s="16" t="s">
        <v>157</v>
      </c>
      <c r="BE283" s="231">
        <f>IF(N283="základní",J283,0)</f>
        <v>0</v>
      </c>
      <c r="BF283" s="231">
        <f>IF(N283="snížená",J283,0)</f>
        <v>0</v>
      </c>
      <c r="BG283" s="231">
        <f>IF(N283="zákl. přenesená",J283,0)</f>
        <v>0</v>
      </c>
      <c r="BH283" s="231">
        <f>IF(N283="sníž. přenesená",J283,0)</f>
        <v>0</v>
      </c>
      <c r="BI283" s="231">
        <f>IF(N283="nulová",J283,0)</f>
        <v>0</v>
      </c>
      <c r="BJ283" s="16" t="s">
        <v>8</v>
      </c>
      <c r="BK283" s="231">
        <f>ROUND(I283*H283,0)</f>
        <v>0</v>
      </c>
      <c r="BL283" s="16" t="s">
        <v>163</v>
      </c>
      <c r="BM283" s="230" t="s">
        <v>2443</v>
      </c>
    </row>
    <row r="284" s="2" customFormat="1" ht="24.15" customHeight="1">
      <c r="A284" s="37"/>
      <c r="B284" s="38"/>
      <c r="C284" s="218" t="s">
        <v>640</v>
      </c>
      <c r="D284" s="218" t="s">
        <v>159</v>
      </c>
      <c r="E284" s="219" t="s">
        <v>2444</v>
      </c>
      <c r="F284" s="220" t="s">
        <v>2445</v>
      </c>
      <c r="G284" s="221" t="s">
        <v>565</v>
      </c>
      <c r="H284" s="222">
        <v>3</v>
      </c>
      <c r="I284" s="223"/>
      <c r="J284" s="224">
        <f>ROUND(I284*H284,0)</f>
        <v>0</v>
      </c>
      <c r="K284" s="225"/>
      <c r="L284" s="43"/>
      <c r="M284" s="226" t="s">
        <v>1</v>
      </c>
      <c r="N284" s="227" t="s">
        <v>42</v>
      </c>
      <c r="O284" s="90"/>
      <c r="P284" s="228">
        <f>O284*H284</f>
        <v>0</v>
      </c>
      <c r="Q284" s="228">
        <v>0</v>
      </c>
      <c r="R284" s="228">
        <f>Q284*H284</f>
        <v>0</v>
      </c>
      <c r="S284" s="228">
        <v>0</v>
      </c>
      <c r="T284" s="229">
        <f>S284*H284</f>
        <v>0</v>
      </c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R284" s="230" t="s">
        <v>163</v>
      </c>
      <c r="AT284" s="230" t="s">
        <v>159</v>
      </c>
      <c r="AU284" s="230" t="s">
        <v>86</v>
      </c>
      <c r="AY284" s="16" t="s">
        <v>157</v>
      </c>
      <c r="BE284" s="231">
        <f>IF(N284="základní",J284,0)</f>
        <v>0</v>
      </c>
      <c r="BF284" s="231">
        <f>IF(N284="snížená",J284,0)</f>
        <v>0</v>
      </c>
      <c r="BG284" s="231">
        <f>IF(N284="zákl. přenesená",J284,0)</f>
        <v>0</v>
      </c>
      <c r="BH284" s="231">
        <f>IF(N284="sníž. přenesená",J284,0)</f>
        <v>0</v>
      </c>
      <c r="BI284" s="231">
        <f>IF(N284="nulová",J284,0)</f>
        <v>0</v>
      </c>
      <c r="BJ284" s="16" t="s">
        <v>8</v>
      </c>
      <c r="BK284" s="231">
        <f>ROUND(I284*H284,0)</f>
        <v>0</v>
      </c>
      <c r="BL284" s="16" t="s">
        <v>163</v>
      </c>
      <c r="BM284" s="230" t="s">
        <v>2446</v>
      </c>
    </row>
    <row r="285" s="13" customFormat="1">
      <c r="A285" s="13"/>
      <c r="B285" s="232"/>
      <c r="C285" s="233"/>
      <c r="D285" s="234" t="s">
        <v>165</v>
      </c>
      <c r="E285" s="235" t="s">
        <v>1</v>
      </c>
      <c r="F285" s="236" t="s">
        <v>2447</v>
      </c>
      <c r="G285" s="233"/>
      <c r="H285" s="237">
        <v>3</v>
      </c>
      <c r="I285" s="238"/>
      <c r="J285" s="233"/>
      <c r="K285" s="233"/>
      <c r="L285" s="239"/>
      <c r="M285" s="240"/>
      <c r="N285" s="241"/>
      <c r="O285" s="241"/>
      <c r="P285" s="241"/>
      <c r="Q285" s="241"/>
      <c r="R285" s="241"/>
      <c r="S285" s="241"/>
      <c r="T285" s="242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T285" s="243" t="s">
        <v>165</v>
      </c>
      <c r="AU285" s="243" t="s">
        <v>86</v>
      </c>
      <c r="AV285" s="13" t="s">
        <v>86</v>
      </c>
      <c r="AW285" s="13" t="s">
        <v>32</v>
      </c>
      <c r="AX285" s="13" t="s">
        <v>77</v>
      </c>
      <c r="AY285" s="243" t="s">
        <v>157</v>
      </c>
    </row>
    <row r="286" s="2" customFormat="1" ht="33" customHeight="1">
      <c r="A286" s="37"/>
      <c r="B286" s="38"/>
      <c r="C286" s="254" t="s">
        <v>646</v>
      </c>
      <c r="D286" s="254" t="s">
        <v>229</v>
      </c>
      <c r="E286" s="255" t="s">
        <v>2448</v>
      </c>
      <c r="F286" s="256" t="s">
        <v>2449</v>
      </c>
      <c r="G286" s="257" t="s">
        <v>565</v>
      </c>
      <c r="H286" s="258">
        <v>3</v>
      </c>
      <c r="I286" s="259"/>
      <c r="J286" s="260">
        <f>ROUND(I286*H286,0)</f>
        <v>0</v>
      </c>
      <c r="K286" s="261"/>
      <c r="L286" s="262"/>
      <c r="M286" s="263" t="s">
        <v>1</v>
      </c>
      <c r="N286" s="264" t="s">
        <v>42</v>
      </c>
      <c r="O286" s="90"/>
      <c r="P286" s="228">
        <f>O286*H286</f>
        <v>0</v>
      </c>
      <c r="Q286" s="228">
        <v>5.3200000000000003</v>
      </c>
      <c r="R286" s="228">
        <f>Q286*H286</f>
        <v>15.960000000000001</v>
      </c>
      <c r="S286" s="228">
        <v>0</v>
      </c>
      <c r="T286" s="229">
        <f>S286*H286</f>
        <v>0</v>
      </c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R286" s="230" t="s">
        <v>200</v>
      </c>
      <c r="AT286" s="230" t="s">
        <v>229</v>
      </c>
      <c r="AU286" s="230" t="s">
        <v>86</v>
      </c>
      <c r="AY286" s="16" t="s">
        <v>157</v>
      </c>
      <c r="BE286" s="231">
        <f>IF(N286="základní",J286,0)</f>
        <v>0</v>
      </c>
      <c r="BF286" s="231">
        <f>IF(N286="snížená",J286,0)</f>
        <v>0</v>
      </c>
      <c r="BG286" s="231">
        <f>IF(N286="zákl. přenesená",J286,0)</f>
        <v>0</v>
      </c>
      <c r="BH286" s="231">
        <f>IF(N286="sníž. přenesená",J286,0)</f>
        <v>0</v>
      </c>
      <c r="BI286" s="231">
        <f>IF(N286="nulová",J286,0)</f>
        <v>0</v>
      </c>
      <c r="BJ286" s="16" t="s">
        <v>8</v>
      </c>
      <c r="BK286" s="231">
        <f>ROUND(I286*H286,0)</f>
        <v>0</v>
      </c>
      <c r="BL286" s="16" t="s">
        <v>163</v>
      </c>
      <c r="BM286" s="230" t="s">
        <v>2450</v>
      </c>
    </row>
    <row r="287" s="12" customFormat="1" ht="22.8" customHeight="1">
      <c r="A287" s="12"/>
      <c r="B287" s="202"/>
      <c r="C287" s="203"/>
      <c r="D287" s="204" t="s">
        <v>76</v>
      </c>
      <c r="E287" s="216" t="s">
        <v>364</v>
      </c>
      <c r="F287" s="216" t="s">
        <v>2451</v>
      </c>
      <c r="G287" s="203"/>
      <c r="H287" s="203"/>
      <c r="I287" s="206"/>
      <c r="J287" s="217">
        <f>BK287</f>
        <v>0</v>
      </c>
      <c r="K287" s="203"/>
      <c r="L287" s="208"/>
      <c r="M287" s="209"/>
      <c r="N287" s="210"/>
      <c r="O287" s="210"/>
      <c r="P287" s="211">
        <f>SUM(P288:P289)</f>
        <v>0</v>
      </c>
      <c r="Q287" s="210"/>
      <c r="R287" s="211">
        <f>SUM(R288:R289)</f>
        <v>0</v>
      </c>
      <c r="S287" s="210"/>
      <c r="T287" s="212">
        <f>SUM(T288:T289)</f>
        <v>0</v>
      </c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R287" s="213" t="s">
        <v>8</v>
      </c>
      <c r="AT287" s="214" t="s">
        <v>76</v>
      </c>
      <c r="AU287" s="214" t="s">
        <v>8</v>
      </c>
      <c r="AY287" s="213" t="s">
        <v>157</v>
      </c>
      <c r="BK287" s="215">
        <f>SUM(BK288:BK289)</f>
        <v>0</v>
      </c>
    </row>
    <row r="288" s="2" customFormat="1" ht="24.15" customHeight="1">
      <c r="A288" s="37"/>
      <c r="B288" s="38"/>
      <c r="C288" s="218" t="s">
        <v>652</v>
      </c>
      <c r="D288" s="218" t="s">
        <v>159</v>
      </c>
      <c r="E288" s="219" t="s">
        <v>2452</v>
      </c>
      <c r="F288" s="220" t="s">
        <v>2453</v>
      </c>
      <c r="G288" s="221" t="s">
        <v>407</v>
      </c>
      <c r="H288" s="222">
        <v>1</v>
      </c>
      <c r="I288" s="223"/>
      <c r="J288" s="224">
        <f>ROUND(I288*H288,0)</f>
        <v>0</v>
      </c>
      <c r="K288" s="225"/>
      <c r="L288" s="43"/>
      <c r="M288" s="226" t="s">
        <v>1</v>
      </c>
      <c r="N288" s="227" t="s">
        <v>42</v>
      </c>
      <c r="O288" s="90"/>
      <c r="P288" s="228">
        <f>O288*H288</f>
        <v>0</v>
      </c>
      <c r="Q288" s="228">
        <v>0</v>
      </c>
      <c r="R288" s="228">
        <f>Q288*H288</f>
        <v>0</v>
      </c>
      <c r="S288" s="228">
        <v>0</v>
      </c>
      <c r="T288" s="229">
        <f>S288*H288</f>
        <v>0</v>
      </c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R288" s="230" t="s">
        <v>163</v>
      </c>
      <c r="AT288" s="230" t="s">
        <v>159</v>
      </c>
      <c r="AU288" s="230" t="s">
        <v>86</v>
      </c>
      <c r="AY288" s="16" t="s">
        <v>157</v>
      </c>
      <c r="BE288" s="231">
        <f>IF(N288="základní",J288,0)</f>
        <v>0</v>
      </c>
      <c r="BF288" s="231">
        <f>IF(N288="snížená",J288,0)</f>
        <v>0</v>
      </c>
      <c r="BG288" s="231">
        <f>IF(N288="zákl. přenesená",J288,0)</f>
        <v>0</v>
      </c>
      <c r="BH288" s="231">
        <f>IF(N288="sníž. přenesená",J288,0)</f>
        <v>0</v>
      </c>
      <c r="BI288" s="231">
        <f>IF(N288="nulová",J288,0)</f>
        <v>0</v>
      </c>
      <c r="BJ288" s="16" t="s">
        <v>8</v>
      </c>
      <c r="BK288" s="231">
        <f>ROUND(I288*H288,0)</f>
        <v>0</v>
      </c>
      <c r="BL288" s="16" t="s">
        <v>163</v>
      </c>
      <c r="BM288" s="230" t="s">
        <v>2454</v>
      </c>
    </row>
    <row r="289" s="2" customFormat="1" ht="33" customHeight="1">
      <c r="A289" s="37"/>
      <c r="B289" s="38"/>
      <c r="C289" s="218" t="s">
        <v>658</v>
      </c>
      <c r="D289" s="218" t="s">
        <v>159</v>
      </c>
      <c r="E289" s="219" t="s">
        <v>2455</v>
      </c>
      <c r="F289" s="220" t="s">
        <v>2456</v>
      </c>
      <c r="G289" s="221" t="s">
        <v>407</v>
      </c>
      <c r="H289" s="222">
        <v>1</v>
      </c>
      <c r="I289" s="223"/>
      <c r="J289" s="224">
        <f>ROUND(I289*H289,0)</f>
        <v>0</v>
      </c>
      <c r="K289" s="225"/>
      <c r="L289" s="43"/>
      <c r="M289" s="226" t="s">
        <v>1</v>
      </c>
      <c r="N289" s="227" t="s">
        <v>42</v>
      </c>
      <c r="O289" s="90"/>
      <c r="P289" s="228">
        <f>O289*H289</f>
        <v>0</v>
      </c>
      <c r="Q289" s="228">
        <v>0</v>
      </c>
      <c r="R289" s="228">
        <f>Q289*H289</f>
        <v>0</v>
      </c>
      <c r="S289" s="228">
        <v>0</v>
      </c>
      <c r="T289" s="229">
        <f>S289*H289</f>
        <v>0</v>
      </c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R289" s="230" t="s">
        <v>163</v>
      </c>
      <c r="AT289" s="230" t="s">
        <v>159</v>
      </c>
      <c r="AU289" s="230" t="s">
        <v>86</v>
      </c>
      <c r="AY289" s="16" t="s">
        <v>157</v>
      </c>
      <c r="BE289" s="231">
        <f>IF(N289="základní",J289,0)</f>
        <v>0</v>
      </c>
      <c r="BF289" s="231">
        <f>IF(N289="snížená",J289,0)</f>
        <v>0</v>
      </c>
      <c r="BG289" s="231">
        <f>IF(N289="zákl. přenesená",J289,0)</f>
        <v>0</v>
      </c>
      <c r="BH289" s="231">
        <f>IF(N289="sníž. přenesená",J289,0)</f>
        <v>0</v>
      </c>
      <c r="BI289" s="231">
        <f>IF(N289="nulová",J289,0)</f>
        <v>0</v>
      </c>
      <c r="BJ289" s="16" t="s">
        <v>8</v>
      </c>
      <c r="BK289" s="231">
        <f>ROUND(I289*H289,0)</f>
        <v>0</v>
      </c>
      <c r="BL289" s="16" t="s">
        <v>163</v>
      </c>
      <c r="BM289" s="230" t="s">
        <v>2457</v>
      </c>
    </row>
    <row r="290" s="12" customFormat="1" ht="22.8" customHeight="1">
      <c r="A290" s="12"/>
      <c r="B290" s="202"/>
      <c r="C290" s="203"/>
      <c r="D290" s="204" t="s">
        <v>76</v>
      </c>
      <c r="E290" s="216" t="s">
        <v>163</v>
      </c>
      <c r="F290" s="216" t="s">
        <v>355</v>
      </c>
      <c r="G290" s="203"/>
      <c r="H290" s="203"/>
      <c r="I290" s="206"/>
      <c r="J290" s="217">
        <f>BK290</f>
        <v>0</v>
      </c>
      <c r="K290" s="203"/>
      <c r="L290" s="208"/>
      <c r="M290" s="209"/>
      <c r="N290" s="210"/>
      <c r="O290" s="210"/>
      <c r="P290" s="211">
        <f>SUM(P291:P297)</f>
        <v>0</v>
      </c>
      <c r="Q290" s="210"/>
      <c r="R290" s="211">
        <f>SUM(R291:R297)</f>
        <v>377.17842480000002</v>
      </c>
      <c r="S290" s="210"/>
      <c r="T290" s="212">
        <f>SUM(T291:T297)</f>
        <v>0</v>
      </c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R290" s="213" t="s">
        <v>8</v>
      </c>
      <c r="AT290" s="214" t="s">
        <v>76</v>
      </c>
      <c r="AU290" s="214" t="s">
        <v>8</v>
      </c>
      <c r="AY290" s="213" t="s">
        <v>157</v>
      </c>
      <c r="BK290" s="215">
        <f>SUM(BK291:BK297)</f>
        <v>0</v>
      </c>
    </row>
    <row r="291" s="2" customFormat="1" ht="16.5" customHeight="1">
      <c r="A291" s="37"/>
      <c r="B291" s="38"/>
      <c r="C291" s="218" t="s">
        <v>663</v>
      </c>
      <c r="D291" s="218" t="s">
        <v>159</v>
      </c>
      <c r="E291" s="219" t="s">
        <v>2458</v>
      </c>
      <c r="F291" s="220" t="s">
        <v>2459</v>
      </c>
      <c r="G291" s="221" t="s">
        <v>162</v>
      </c>
      <c r="H291" s="222">
        <v>2.835</v>
      </c>
      <c r="I291" s="223"/>
      <c r="J291" s="224">
        <f>ROUND(I291*H291,0)</f>
        <v>0</v>
      </c>
      <c r="K291" s="225"/>
      <c r="L291" s="43"/>
      <c r="M291" s="226" t="s">
        <v>1</v>
      </c>
      <c r="N291" s="227" t="s">
        <v>42</v>
      </c>
      <c r="O291" s="90"/>
      <c r="P291" s="228">
        <f>O291*H291</f>
        <v>0</v>
      </c>
      <c r="Q291" s="228">
        <v>0</v>
      </c>
      <c r="R291" s="228">
        <f>Q291*H291</f>
        <v>0</v>
      </c>
      <c r="S291" s="228">
        <v>0</v>
      </c>
      <c r="T291" s="229">
        <f>S291*H291</f>
        <v>0</v>
      </c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R291" s="230" t="s">
        <v>163</v>
      </c>
      <c r="AT291" s="230" t="s">
        <v>159</v>
      </c>
      <c r="AU291" s="230" t="s">
        <v>86</v>
      </c>
      <c r="AY291" s="16" t="s">
        <v>157</v>
      </c>
      <c r="BE291" s="231">
        <f>IF(N291="základní",J291,0)</f>
        <v>0</v>
      </c>
      <c r="BF291" s="231">
        <f>IF(N291="snížená",J291,0)</f>
        <v>0</v>
      </c>
      <c r="BG291" s="231">
        <f>IF(N291="zákl. přenesená",J291,0)</f>
        <v>0</v>
      </c>
      <c r="BH291" s="231">
        <f>IF(N291="sníž. přenesená",J291,0)</f>
        <v>0</v>
      </c>
      <c r="BI291" s="231">
        <f>IF(N291="nulová",J291,0)</f>
        <v>0</v>
      </c>
      <c r="BJ291" s="16" t="s">
        <v>8</v>
      </c>
      <c r="BK291" s="231">
        <f>ROUND(I291*H291,0)</f>
        <v>0</v>
      </c>
      <c r="BL291" s="16" t="s">
        <v>163</v>
      </c>
      <c r="BM291" s="230" t="s">
        <v>2460</v>
      </c>
    </row>
    <row r="292" s="13" customFormat="1">
      <c r="A292" s="13"/>
      <c r="B292" s="232"/>
      <c r="C292" s="233"/>
      <c r="D292" s="234" t="s">
        <v>165</v>
      </c>
      <c r="E292" s="235" t="s">
        <v>1</v>
      </c>
      <c r="F292" s="236" t="s">
        <v>2461</v>
      </c>
      <c r="G292" s="233"/>
      <c r="H292" s="237">
        <v>2.835</v>
      </c>
      <c r="I292" s="238"/>
      <c r="J292" s="233"/>
      <c r="K292" s="233"/>
      <c r="L292" s="239"/>
      <c r="M292" s="240"/>
      <c r="N292" s="241"/>
      <c r="O292" s="241"/>
      <c r="P292" s="241"/>
      <c r="Q292" s="241"/>
      <c r="R292" s="241"/>
      <c r="S292" s="241"/>
      <c r="T292" s="242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T292" s="243" t="s">
        <v>165</v>
      </c>
      <c r="AU292" s="243" t="s">
        <v>86</v>
      </c>
      <c r="AV292" s="13" t="s">
        <v>86</v>
      </c>
      <c r="AW292" s="13" t="s">
        <v>32</v>
      </c>
      <c r="AX292" s="13" t="s">
        <v>77</v>
      </c>
      <c r="AY292" s="243" t="s">
        <v>157</v>
      </c>
    </row>
    <row r="293" s="2" customFormat="1" ht="24.15" customHeight="1">
      <c r="A293" s="37"/>
      <c r="B293" s="38"/>
      <c r="C293" s="218" t="s">
        <v>667</v>
      </c>
      <c r="D293" s="218" t="s">
        <v>159</v>
      </c>
      <c r="E293" s="219" t="s">
        <v>2462</v>
      </c>
      <c r="F293" s="220" t="s">
        <v>2463</v>
      </c>
      <c r="G293" s="221" t="s">
        <v>565</v>
      </c>
      <c r="H293" s="222">
        <v>3</v>
      </c>
      <c r="I293" s="223"/>
      <c r="J293" s="224">
        <f>ROUND(I293*H293,0)</f>
        <v>0</v>
      </c>
      <c r="K293" s="225"/>
      <c r="L293" s="43"/>
      <c r="M293" s="226" t="s">
        <v>1</v>
      </c>
      <c r="N293" s="227" t="s">
        <v>42</v>
      </c>
      <c r="O293" s="90"/>
      <c r="P293" s="228">
        <f>O293*H293</f>
        <v>0</v>
      </c>
      <c r="Q293" s="228">
        <v>0.087419999999999998</v>
      </c>
      <c r="R293" s="228">
        <f>Q293*H293</f>
        <v>0.26225999999999999</v>
      </c>
      <c r="S293" s="228">
        <v>0</v>
      </c>
      <c r="T293" s="229">
        <f>S293*H293</f>
        <v>0</v>
      </c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R293" s="230" t="s">
        <v>163</v>
      </c>
      <c r="AT293" s="230" t="s">
        <v>159</v>
      </c>
      <c r="AU293" s="230" t="s">
        <v>86</v>
      </c>
      <c r="AY293" s="16" t="s">
        <v>157</v>
      </c>
      <c r="BE293" s="231">
        <f>IF(N293="základní",J293,0)</f>
        <v>0</v>
      </c>
      <c r="BF293" s="231">
        <f>IF(N293="snížená",J293,0)</f>
        <v>0</v>
      </c>
      <c r="BG293" s="231">
        <f>IF(N293="zákl. přenesená",J293,0)</f>
        <v>0</v>
      </c>
      <c r="BH293" s="231">
        <f>IF(N293="sníž. přenesená",J293,0)</f>
        <v>0</v>
      </c>
      <c r="BI293" s="231">
        <f>IF(N293="nulová",J293,0)</f>
        <v>0</v>
      </c>
      <c r="BJ293" s="16" t="s">
        <v>8</v>
      </c>
      <c r="BK293" s="231">
        <f>ROUND(I293*H293,0)</f>
        <v>0</v>
      </c>
      <c r="BL293" s="16" t="s">
        <v>163</v>
      </c>
      <c r="BM293" s="230" t="s">
        <v>2464</v>
      </c>
    </row>
    <row r="294" s="13" customFormat="1">
      <c r="A294" s="13"/>
      <c r="B294" s="232"/>
      <c r="C294" s="233"/>
      <c r="D294" s="234" t="s">
        <v>165</v>
      </c>
      <c r="E294" s="235" t="s">
        <v>1</v>
      </c>
      <c r="F294" s="236" t="s">
        <v>2447</v>
      </c>
      <c r="G294" s="233"/>
      <c r="H294" s="237">
        <v>3</v>
      </c>
      <c r="I294" s="238"/>
      <c r="J294" s="233"/>
      <c r="K294" s="233"/>
      <c r="L294" s="239"/>
      <c r="M294" s="240"/>
      <c r="N294" s="241"/>
      <c r="O294" s="241"/>
      <c r="P294" s="241"/>
      <c r="Q294" s="241"/>
      <c r="R294" s="241"/>
      <c r="S294" s="241"/>
      <c r="T294" s="242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T294" s="243" t="s">
        <v>165</v>
      </c>
      <c r="AU294" s="243" t="s">
        <v>86</v>
      </c>
      <c r="AV294" s="13" t="s">
        <v>86</v>
      </c>
      <c r="AW294" s="13" t="s">
        <v>32</v>
      </c>
      <c r="AX294" s="13" t="s">
        <v>77</v>
      </c>
      <c r="AY294" s="243" t="s">
        <v>157</v>
      </c>
    </row>
    <row r="295" s="2" customFormat="1" ht="24.15" customHeight="1">
      <c r="A295" s="37"/>
      <c r="B295" s="38"/>
      <c r="C295" s="254" t="s">
        <v>672</v>
      </c>
      <c r="D295" s="254" t="s">
        <v>229</v>
      </c>
      <c r="E295" s="255" t="s">
        <v>2465</v>
      </c>
      <c r="F295" s="256" t="s">
        <v>2466</v>
      </c>
      <c r="G295" s="257" t="s">
        <v>565</v>
      </c>
      <c r="H295" s="258">
        <v>3</v>
      </c>
      <c r="I295" s="259"/>
      <c r="J295" s="260">
        <f>ROUND(I295*H295,0)</f>
        <v>0</v>
      </c>
      <c r="K295" s="261"/>
      <c r="L295" s="262"/>
      <c r="M295" s="263" t="s">
        <v>1</v>
      </c>
      <c r="N295" s="264" t="s">
        <v>42</v>
      </c>
      <c r="O295" s="90"/>
      <c r="P295" s="228">
        <f>O295*H295</f>
        <v>0</v>
      </c>
      <c r="Q295" s="228">
        <v>0.041000000000000002</v>
      </c>
      <c r="R295" s="228">
        <f>Q295*H295</f>
        <v>0.123</v>
      </c>
      <c r="S295" s="228">
        <v>0</v>
      </c>
      <c r="T295" s="229">
        <f>S295*H295</f>
        <v>0</v>
      </c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R295" s="230" t="s">
        <v>200</v>
      </c>
      <c r="AT295" s="230" t="s">
        <v>229</v>
      </c>
      <c r="AU295" s="230" t="s">
        <v>86</v>
      </c>
      <c r="AY295" s="16" t="s">
        <v>157</v>
      </c>
      <c r="BE295" s="231">
        <f>IF(N295="základní",J295,0)</f>
        <v>0</v>
      </c>
      <c r="BF295" s="231">
        <f>IF(N295="snížená",J295,0)</f>
        <v>0</v>
      </c>
      <c r="BG295" s="231">
        <f>IF(N295="zákl. přenesená",J295,0)</f>
        <v>0</v>
      </c>
      <c r="BH295" s="231">
        <f>IF(N295="sníž. přenesená",J295,0)</f>
        <v>0</v>
      </c>
      <c r="BI295" s="231">
        <f>IF(N295="nulová",J295,0)</f>
        <v>0</v>
      </c>
      <c r="BJ295" s="16" t="s">
        <v>8</v>
      </c>
      <c r="BK295" s="231">
        <f>ROUND(I295*H295,0)</f>
        <v>0</v>
      </c>
      <c r="BL295" s="16" t="s">
        <v>163</v>
      </c>
      <c r="BM295" s="230" t="s">
        <v>2467</v>
      </c>
    </row>
    <row r="296" s="2" customFormat="1" ht="24.15" customHeight="1">
      <c r="A296" s="37"/>
      <c r="B296" s="38"/>
      <c r="C296" s="218" t="s">
        <v>677</v>
      </c>
      <c r="D296" s="218" t="s">
        <v>159</v>
      </c>
      <c r="E296" s="219" t="s">
        <v>2468</v>
      </c>
      <c r="F296" s="220" t="s">
        <v>2469</v>
      </c>
      <c r="G296" s="221" t="s">
        <v>162</v>
      </c>
      <c r="H296" s="222">
        <v>176.56</v>
      </c>
      <c r="I296" s="223"/>
      <c r="J296" s="224">
        <f>ROUND(I296*H296,0)</f>
        <v>0</v>
      </c>
      <c r="K296" s="225"/>
      <c r="L296" s="43"/>
      <c r="M296" s="226" t="s">
        <v>1</v>
      </c>
      <c r="N296" s="227" t="s">
        <v>42</v>
      </c>
      <c r="O296" s="90"/>
      <c r="P296" s="228">
        <f>O296*H296</f>
        <v>0</v>
      </c>
      <c r="Q296" s="228">
        <v>2.13408</v>
      </c>
      <c r="R296" s="228">
        <f>Q296*H296</f>
        <v>376.7931648</v>
      </c>
      <c r="S296" s="228">
        <v>0</v>
      </c>
      <c r="T296" s="229">
        <f>S296*H296</f>
        <v>0</v>
      </c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R296" s="230" t="s">
        <v>163</v>
      </c>
      <c r="AT296" s="230" t="s">
        <v>159</v>
      </c>
      <c r="AU296" s="230" t="s">
        <v>86</v>
      </c>
      <c r="AY296" s="16" t="s">
        <v>157</v>
      </c>
      <c r="BE296" s="231">
        <f>IF(N296="základní",J296,0)</f>
        <v>0</v>
      </c>
      <c r="BF296" s="231">
        <f>IF(N296="snížená",J296,0)</f>
        <v>0</v>
      </c>
      <c r="BG296" s="231">
        <f>IF(N296="zákl. přenesená",J296,0)</f>
        <v>0</v>
      </c>
      <c r="BH296" s="231">
        <f>IF(N296="sníž. přenesená",J296,0)</f>
        <v>0</v>
      </c>
      <c r="BI296" s="231">
        <f>IF(N296="nulová",J296,0)</f>
        <v>0</v>
      </c>
      <c r="BJ296" s="16" t="s">
        <v>8</v>
      </c>
      <c r="BK296" s="231">
        <f>ROUND(I296*H296,0)</f>
        <v>0</v>
      </c>
      <c r="BL296" s="16" t="s">
        <v>163</v>
      </c>
      <c r="BM296" s="230" t="s">
        <v>2470</v>
      </c>
    </row>
    <row r="297" s="13" customFormat="1">
      <c r="A297" s="13"/>
      <c r="B297" s="232"/>
      <c r="C297" s="233"/>
      <c r="D297" s="234" t="s">
        <v>165</v>
      </c>
      <c r="E297" s="235" t="s">
        <v>1</v>
      </c>
      <c r="F297" s="236" t="s">
        <v>2471</v>
      </c>
      <c r="G297" s="233"/>
      <c r="H297" s="237">
        <v>176.56</v>
      </c>
      <c r="I297" s="238"/>
      <c r="J297" s="233"/>
      <c r="K297" s="233"/>
      <c r="L297" s="239"/>
      <c r="M297" s="240"/>
      <c r="N297" s="241"/>
      <c r="O297" s="241"/>
      <c r="P297" s="241"/>
      <c r="Q297" s="241"/>
      <c r="R297" s="241"/>
      <c r="S297" s="241"/>
      <c r="T297" s="242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T297" s="243" t="s">
        <v>165</v>
      </c>
      <c r="AU297" s="243" t="s">
        <v>86</v>
      </c>
      <c r="AV297" s="13" t="s">
        <v>86</v>
      </c>
      <c r="AW297" s="13" t="s">
        <v>32</v>
      </c>
      <c r="AX297" s="13" t="s">
        <v>77</v>
      </c>
      <c r="AY297" s="243" t="s">
        <v>157</v>
      </c>
    </row>
    <row r="298" s="12" customFormat="1" ht="22.8" customHeight="1">
      <c r="A298" s="12"/>
      <c r="B298" s="202"/>
      <c r="C298" s="203"/>
      <c r="D298" s="204" t="s">
        <v>76</v>
      </c>
      <c r="E298" s="216" t="s">
        <v>185</v>
      </c>
      <c r="F298" s="216" t="s">
        <v>432</v>
      </c>
      <c r="G298" s="203"/>
      <c r="H298" s="203"/>
      <c r="I298" s="206"/>
      <c r="J298" s="217">
        <f>BK298</f>
        <v>0</v>
      </c>
      <c r="K298" s="203"/>
      <c r="L298" s="208"/>
      <c r="M298" s="209"/>
      <c r="N298" s="210"/>
      <c r="O298" s="210"/>
      <c r="P298" s="211">
        <f>SUM(P299:P337)</f>
        <v>0</v>
      </c>
      <c r="Q298" s="210"/>
      <c r="R298" s="211">
        <f>SUM(R299:R337)</f>
        <v>988.33349580000004</v>
      </c>
      <c r="S298" s="210"/>
      <c r="T298" s="212">
        <f>SUM(T299:T337)</f>
        <v>0</v>
      </c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R298" s="213" t="s">
        <v>8</v>
      </c>
      <c r="AT298" s="214" t="s">
        <v>76</v>
      </c>
      <c r="AU298" s="214" t="s">
        <v>8</v>
      </c>
      <c r="AY298" s="213" t="s">
        <v>157</v>
      </c>
      <c r="BK298" s="215">
        <f>SUM(BK299:BK337)</f>
        <v>0</v>
      </c>
    </row>
    <row r="299" s="2" customFormat="1" ht="16.5" customHeight="1">
      <c r="A299" s="37"/>
      <c r="B299" s="38"/>
      <c r="C299" s="218" t="s">
        <v>681</v>
      </c>
      <c r="D299" s="218" t="s">
        <v>159</v>
      </c>
      <c r="E299" s="219" t="s">
        <v>2472</v>
      </c>
      <c r="F299" s="220" t="s">
        <v>2473</v>
      </c>
      <c r="G299" s="221" t="s">
        <v>209</v>
      </c>
      <c r="H299" s="222">
        <v>5070.3800000000001</v>
      </c>
      <c r="I299" s="223"/>
      <c r="J299" s="224">
        <f>ROUND(I299*H299,0)</f>
        <v>0</v>
      </c>
      <c r="K299" s="225"/>
      <c r="L299" s="43"/>
      <c r="M299" s="226" t="s">
        <v>1</v>
      </c>
      <c r="N299" s="227" t="s">
        <v>42</v>
      </c>
      <c r="O299" s="90"/>
      <c r="P299" s="228">
        <f>O299*H299</f>
        <v>0</v>
      </c>
      <c r="Q299" s="228">
        <v>0</v>
      </c>
      <c r="R299" s="228">
        <f>Q299*H299</f>
        <v>0</v>
      </c>
      <c r="S299" s="228">
        <v>0</v>
      </c>
      <c r="T299" s="229">
        <f>S299*H299</f>
        <v>0</v>
      </c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R299" s="230" t="s">
        <v>163</v>
      </c>
      <c r="AT299" s="230" t="s">
        <v>159</v>
      </c>
      <c r="AU299" s="230" t="s">
        <v>86</v>
      </c>
      <c r="AY299" s="16" t="s">
        <v>157</v>
      </c>
      <c r="BE299" s="231">
        <f>IF(N299="základní",J299,0)</f>
        <v>0</v>
      </c>
      <c r="BF299" s="231">
        <f>IF(N299="snížená",J299,0)</f>
        <v>0</v>
      </c>
      <c r="BG299" s="231">
        <f>IF(N299="zákl. přenesená",J299,0)</f>
        <v>0</v>
      </c>
      <c r="BH299" s="231">
        <f>IF(N299="sníž. přenesená",J299,0)</f>
        <v>0</v>
      </c>
      <c r="BI299" s="231">
        <f>IF(N299="nulová",J299,0)</f>
        <v>0</v>
      </c>
      <c r="BJ299" s="16" t="s">
        <v>8</v>
      </c>
      <c r="BK299" s="231">
        <f>ROUND(I299*H299,0)</f>
        <v>0</v>
      </c>
      <c r="BL299" s="16" t="s">
        <v>163</v>
      </c>
      <c r="BM299" s="230" t="s">
        <v>2474</v>
      </c>
    </row>
    <row r="300" s="13" customFormat="1">
      <c r="A300" s="13"/>
      <c r="B300" s="232"/>
      <c r="C300" s="233"/>
      <c r="D300" s="234" t="s">
        <v>165</v>
      </c>
      <c r="E300" s="235" t="s">
        <v>1</v>
      </c>
      <c r="F300" s="236" t="s">
        <v>2475</v>
      </c>
      <c r="G300" s="233"/>
      <c r="H300" s="237">
        <v>5070.3800000000001</v>
      </c>
      <c r="I300" s="238"/>
      <c r="J300" s="233"/>
      <c r="K300" s="233"/>
      <c r="L300" s="239"/>
      <c r="M300" s="240"/>
      <c r="N300" s="241"/>
      <c r="O300" s="241"/>
      <c r="P300" s="241"/>
      <c r="Q300" s="241"/>
      <c r="R300" s="241"/>
      <c r="S300" s="241"/>
      <c r="T300" s="242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T300" s="243" t="s">
        <v>165</v>
      </c>
      <c r="AU300" s="243" t="s">
        <v>86</v>
      </c>
      <c r="AV300" s="13" t="s">
        <v>86</v>
      </c>
      <c r="AW300" s="13" t="s">
        <v>32</v>
      </c>
      <c r="AX300" s="13" t="s">
        <v>77</v>
      </c>
      <c r="AY300" s="243" t="s">
        <v>157</v>
      </c>
    </row>
    <row r="301" s="2" customFormat="1" ht="16.5" customHeight="1">
      <c r="A301" s="37"/>
      <c r="B301" s="38"/>
      <c r="C301" s="218" t="s">
        <v>685</v>
      </c>
      <c r="D301" s="218" t="s">
        <v>159</v>
      </c>
      <c r="E301" s="219" t="s">
        <v>2476</v>
      </c>
      <c r="F301" s="220" t="s">
        <v>2477</v>
      </c>
      <c r="G301" s="221" t="s">
        <v>209</v>
      </c>
      <c r="H301" s="222">
        <v>3611.5500000000002</v>
      </c>
      <c r="I301" s="223"/>
      <c r="J301" s="224">
        <f>ROUND(I301*H301,0)</f>
        <v>0</v>
      </c>
      <c r="K301" s="225"/>
      <c r="L301" s="43"/>
      <c r="M301" s="226" t="s">
        <v>1</v>
      </c>
      <c r="N301" s="227" t="s">
        <v>42</v>
      </c>
      <c r="O301" s="90"/>
      <c r="P301" s="228">
        <f>O301*H301</f>
        <v>0</v>
      </c>
      <c r="Q301" s="228">
        <v>0</v>
      </c>
      <c r="R301" s="228">
        <f>Q301*H301</f>
        <v>0</v>
      </c>
      <c r="S301" s="228">
        <v>0</v>
      </c>
      <c r="T301" s="229">
        <f>S301*H301</f>
        <v>0</v>
      </c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R301" s="230" t="s">
        <v>163</v>
      </c>
      <c r="AT301" s="230" t="s">
        <v>159</v>
      </c>
      <c r="AU301" s="230" t="s">
        <v>86</v>
      </c>
      <c r="AY301" s="16" t="s">
        <v>157</v>
      </c>
      <c r="BE301" s="231">
        <f>IF(N301="základní",J301,0)</f>
        <v>0</v>
      </c>
      <c r="BF301" s="231">
        <f>IF(N301="snížená",J301,0)</f>
        <v>0</v>
      </c>
      <c r="BG301" s="231">
        <f>IF(N301="zákl. přenesená",J301,0)</f>
        <v>0</v>
      </c>
      <c r="BH301" s="231">
        <f>IF(N301="sníž. přenesená",J301,0)</f>
        <v>0</v>
      </c>
      <c r="BI301" s="231">
        <f>IF(N301="nulová",J301,0)</f>
        <v>0</v>
      </c>
      <c r="BJ301" s="16" t="s">
        <v>8</v>
      </c>
      <c r="BK301" s="231">
        <f>ROUND(I301*H301,0)</f>
        <v>0</v>
      </c>
      <c r="BL301" s="16" t="s">
        <v>163</v>
      </c>
      <c r="BM301" s="230" t="s">
        <v>2478</v>
      </c>
    </row>
    <row r="302" s="13" customFormat="1">
      <c r="A302" s="13"/>
      <c r="B302" s="232"/>
      <c r="C302" s="233"/>
      <c r="D302" s="234" t="s">
        <v>165</v>
      </c>
      <c r="E302" s="235" t="s">
        <v>1</v>
      </c>
      <c r="F302" s="236" t="s">
        <v>2479</v>
      </c>
      <c r="G302" s="233"/>
      <c r="H302" s="237">
        <v>1871.0899999999999</v>
      </c>
      <c r="I302" s="238"/>
      <c r="J302" s="233"/>
      <c r="K302" s="233"/>
      <c r="L302" s="239"/>
      <c r="M302" s="240"/>
      <c r="N302" s="241"/>
      <c r="O302" s="241"/>
      <c r="P302" s="241"/>
      <c r="Q302" s="241"/>
      <c r="R302" s="241"/>
      <c r="S302" s="241"/>
      <c r="T302" s="242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T302" s="243" t="s">
        <v>165</v>
      </c>
      <c r="AU302" s="243" t="s">
        <v>86</v>
      </c>
      <c r="AV302" s="13" t="s">
        <v>86</v>
      </c>
      <c r="AW302" s="13" t="s">
        <v>32</v>
      </c>
      <c r="AX302" s="13" t="s">
        <v>77</v>
      </c>
      <c r="AY302" s="243" t="s">
        <v>157</v>
      </c>
    </row>
    <row r="303" s="13" customFormat="1">
      <c r="A303" s="13"/>
      <c r="B303" s="232"/>
      <c r="C303" s="233"/>
      <c r="D303" s="234" t="s">
        <v>165</v>
      </c>
      <c r="E303" s="235" t="s">
        <v>1</v>
      </c>
      <c r="F303" s="236" t="s">
        <v>2480</v>
      </c>
      <c r="G303" s="233"/>
      <c r="H303" s="237">
        <v>1740.46</v>
      </c>
      <c r="I303" s="238"/>
      <c r="J303" s="233"/>
      <c r="K303" s="233"/>
      <c r="L303" s="239"/>
      <c r="M303" s="240"/>
      <c r="N303" s="241"/>
      <c r="O303" s="241"/>
      <c r="P303" s="241"/>
      <c r="Q303" s="241"/>
      <c r="R303" s="241"/>
      <c r="S303" s="241"/>
      <c r="T303" s="242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T303" s="243" t="s">
        <v>165</v>
      </c>
      <c r="AU303" s="243" t="s">
        <v>86</v>
      </c>
      <c r="AV303" s="13" t="s">
        <v>86</v>
      </c>
      <c r="AW303" s="13" t="s">
        <v>32</v>
      </c>
      <c r="AX303" s="13" t="s">
        <v>77</v>
      </c>
      <c r="AY303" s="243" t="s">
        <v>157</v>
      </c>
    </row>
    <row r="304" s="2" customFormat="1" ht="21.75" customHeight="1">
      <c r="A304" s="37"/>
      <c r="B304" s="38"/>
      <c r="C304" s="218" t="s">
        <v>691</v>
      </c>
      <c r="D304" s="218" t="s">
        <v>159</v>
      </c>
      <c r="E304" s="219" t="s">
        <v>2481</v>
      </c>
      <c r="F304" s="220" t="s">
        <v>2482</v>
      </c>
      <c r="G304" s="221" t="s">
        <v>209</v>
      </c>
      <c r="H304" s="222">
        <v>42</v>
      </c>
      <c r="I304" s="223"/>
      <c r="J304" s="224">
        <f>ROUND(I304*H304,0)</f>
        <v>0</v>
      </c>
      <c r="K304" s="225"/>
      <c r="L304" s="43"/>
      <c r="M304" s="226" t="s">
        <v>1</v>
      </c>
      <c r="N304" s="227" t="s">
        <v>42</v>
      </c>
      <c r="O304" s="90"/>
      <c r="P304" s="228">
        <f>O304*H304</f>
        <v>0</v>
      </c>
      <c r="Q304" s="228">
        <v>0</v>
      </c>
      <c r="R304" s="228">
        <f>Q304*H304</f>
        <v>0</v>
      </c>
      <c r="S304" s="228">
        <v>0</v>
      </c>
      <c r="T304" s="229">
        <f>S304*H304</f>
        <v>0</v>
      </c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R304" s="230" t="s">
        <v>163</v>
      </c>
      <c r="AT304" s="230" t="s">
        <v>159</v>
      </c>
      <c r="AU304" s="230" t="s">
        <v>86</v>
      </c>
      <c r="AY304" s="16" t="s">
        <v>157</v>
      </c>
      <c r="BE304" s="231">
        <f>IF(N304="základní",J304,0)</f>
        <v>0</v>
      </c>
      <c r="BF304" s="231">
        <f>IF(N304="snížená",J304,0)</f>
        <v>0</v>
      </c>
      <c r="BG304" s="231">
        <f>IF(N304="zákl. přenesená",J304,0)</f>
        <v>0</v>
      </c>
      <c r="BH304" s="231">
        <f>IF(N304="sníž. přenesená",J304,0)</f>
        <v>0</v>
      </c>
      <c r="BI304" s="231">
        <f>IF(N304="nulová",J304,0)</f>
        <v>0</v>
      </c>
      <c r="BJ304" s="16" t="s">
        <v>8</v>
      </c>
      <c r="BK304" s="231">
        <f>ROUND(I304*H304,0)</f>
        <v>0</v>
      </c>
      <c r="BL304" s="16" t="s">
        <v>163</v>
      </c>
      <c r="BM304" s="230" t="s">
        <v>2483</v>
      </c>
    </row>
    <row r="305" s="13" customFormat="1">
      <c r="A305" s="13"/>
      <c r="B305" s="232"/>
      <c r="C305" s="233"/>
      <c r="D305" s="234" t="s">
        <v>165</v>
      </c>
      <c r="E305" s="235" t="s">
        <v>1</v>
      </c>
      <c r="F305" s="236" t="s">
        <v>2484</v>
      </c>
      <c r="G305" s="233"/>
      <c r="H305" s="237">
        <v>42</v>
      </c>
      <c r="I305" s="238"/>
      <c r="J305" s="233"/>
      <c r="K305" s="233"/>
      <c r="L305" s="239"/>
      <c r="M305" s="240"/>
      <c r="N305" s="241"/>
      <c r="O305" s="241"/>
      <c r="P305" s="241"/>
      <c r="Q305" s="241"/>
      <c r="R305" s="241"/>
      <c r="S305" s="241"/>
      <c r="T305" s="242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T305" s="243" t="s">
        <v>165</v>
      </c>
      <c r="AU305" s="243" t="s">
        <v>86</v>
      </c>
      <c r="AV305" s="13" t="s">
        <v>86</v>
      </c>
      <c r="AW305" s="13" t="s">
        <v>32</v>
      </c>
      <c r="AX305" s="13" t="s">
        <v>77</v>
      </c>
      <c r="AY305" s="243" t="s">
        <v>157</v>
      </c>
    </row>
    <row r="306" s="2" customFormat="1" ht="24.15" customHeight="1">
      <c r="A306" s="37"/>
      <c r="B306" s="38"/>
      <c r="C306" s="218" t="s">
        <v>695</v>
      </c>
      <c r="D306" s="218" t="s">
        <v>159</v>
      </c>
      <c r="E306" s="219" t="s">
        <v>2485</v>
      </c>
      <c r="F306" s="220" t="s">
        <v>2486</v>
      </c>
      <c r="G306" s="221" t="s">
        <v>209</v>
      </c>
      <c r="H306" s="222">
        <v>3611.5500000000002</v>
      </c>
      <c r="I306" s="223"/>
      <c r="J306" s="224">
        <f>ROUND(I306*H306,0)</f>
        <v>0</v>
      </c>
      <c r="K306" s="225"/>
      <c r="L306" s="43"/>
      <c r="M306" s="226" t="s">
        <v>1</v>
      </c>
      <c r="N306" s="227" t="s">
        <v>42</v>
      </c>
      <c r="O306" s="90"/>
      <c r="P306" s="228">
        <f>O306*H306</f>
        <v>0</v>
      </c>
      <c r="Q306" s="228">
        <v>0</v>
      </c>
      <c r="R306" s="228">
        <f>Q306*H306</f>
        <v>0</v>
      </c>
      <c r="S306" s="228">
        <v>0</v>
      </c>
      <c r="T306" s="229">
        <f>S306*H306</f>
        <v>0</v>
      </c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R306" s="230" t="s">
        <v>163</v>
      </c>
      <c r="AT306" s="230" t="s">
        <v>159</v>
      </c>
      <c r="AU306" s="230" t="s">
        <v>86</v>
      </c>
      <c r="AY306" s="16" t="s">
        <v>157</v>
      </c>
      <c r="BE306" s="231">
        <f>IF(N306="základní",J306,0)</f>
        <v>0</v>
      </c>
      <c r="BF306" s="231">
        <f>IF(N306="snížená",J306,0)</f>
        <v>0</v>
      </c>
      <c r="BG306" s="231">
        <f>IF(N306="zákl. přenesená",J306,0)</f>
        <v>0</v>
      </c>
      <c r="BH306" s="231">
        <f>IF(N306="sníž. přenesená",J306,0)</f>
        <v>0</v>
      </c>
      <c r="BI306" s="231">
        <f>IF(N306="nulová",J306,0)</f>
        <v>0</v>
      </c>
      <c r="BJ306" s="16" t="s">
        <v>8</v>
      </c>
      <c r="BK306" s="231">
        <f>ROUND(I306*H306,0)</f>
        <v>0</v>
      </c>
      <c r="BL306" s="16" t="s">
        <v>163</v>
      </c>
      <c r="BM306" s="230" t="s">
        <v>2487</v>
      </c>
    </row>
    <row r="307" s="13" customFormat="1">
      <c r="A307" s="13"/>
      <c r="B307" s="232"/>
      <c r="C307" s="233"/>
      <c r="D307" s="234" t="s">
        <v>165</v>
      </c>
      <c r="E307" s="235" t="s">
        <v>1</v>
      </c>
      <c r="F307" s="236" t="s">
        <v>2479</v>
      </c>
      <c r="G307" s="233"/>
      <c r="H307" s="237">
        <v>1871.0899999999999</v>
      </c>
      <c r="I307" s="238"/>
      <c r="J307" s="233"/>
      <c r="K307" s="233"/>
      <c r="L307" s="239"/>
      <c r="M307" s="240"/>
      <c r="N307" s="241"/>
      <c r="O307" s="241"/>
      <c r="P307" s="241"/>
      <c r="Q307" s="241"/>
      <c r="R307" s="241"/>
      <c r="S307" s="241"/>
      <c r="T307" s="242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T307" s="243" t="s">
        <v>165</v>
      </c>
      <c r="AU307" s="243" t="s">
        <v>86</v>
      </c>
      <c r="AV307" s="13" t="s">
        <v>86</v>
      </c>
      <c r="AW307" s="13" t="s">
        <v>32</v>
      </c>
      <c r="AX307" s="13" t="s">
        <v>77</v>
      </c>
      <c r="AY307" s="243" t="s">
        <v>157</v>
      </c>
    </row>
    <row r="308" s="13" customFormat="1">
      <c r="A308" s="13"/>
      <c r="B308" s="232"/>
      <c r="C308" s="233"/>
      <c r="D308" s="234" t="s">
        <v>165</v>
      </c>
      <c r="E308" s="235" t="s">
        <v>1</v>
      </c>
      <c r="F308" s="236" t="s">
        <v>2480</v>
      </c>
      <c r="G308" s="233"/>
      <c r="H308" s="237">
        <v>1740.46</v>
      </c>
      <c r="I308" s="238"/>
      <c r="J308" s="233"/>
      <c r="K308" s="233"/>
      <c r="L308" s="239"/>
      <c r="M308" s="240"/>
      <c r="N308" s="241"/>
      <c r="O308" s="241"/>
      <c r="P308" s="241"/>
      <c r="Q308" s="241"/>
      <c r="R308" s="241"/>
      <c r="S308" s="241"/>
      <c r="T308" s="242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T308" s="243" t="s">
        <v>165</v>
      </c>
      <c r="AU308" s="243" t="s">
        <v>86</v>
      </c>
      <c r="AV308" s="13" t="s">
        <v>86</v>
      </c>
      <c r="AW308" s="13" t="s">
        <v>32</v>
      </c>
      <c r="AX308" s="13" t="s">
        <v>77</v>
      </c>
      <c r="AY308" s="243" t="s">
        <v>157</v>
      </c>
    </row>
    <row r="309" s="2" customFormat="1" ht="24.15" customHeight="1">
      <c r="A309" s="37"/>
      <c r="B309" s="38"/>
      <c r="C309" s="218" t="s">
        <v>701</v>
      </c>
      <c r="D309" s="218" t="s">
        <v>159</v>
      </c>
      <c r="E309" s="219" t="s">
        <v>2488</v>
      </c>
      <c r="F309" s="220" t="s">
        <v>2489</v>
      </c>
      <c r="G309" s="221" t="s">
        <v>209</v>
      </c>
      <c r="H309" s="222">
        <v>15999.49</v>
      </c>
      <c r="I309" s="223"/>
      <c r="J309" s="224">
        <f>ROUND(I309*H309,0)</f>
        <v>0</v>
      </c>
      <c r="K309" s="225"/>
      <c r="L309" s="43"/>
      <c r="M309" s="226" t="s">
        <v>1</v>
      </c>
      <c r="N309" s="227" t="s">
        <v>42</v>
      </c>
      <c r="O309" s="90"/>
      <c r="P309" s="228">
        <f>O309*H309</f>
        <v>0</v>
      </c>
      <c r="Q309" s="228">
        <v>0</v>
      </c>
      <c r="R309" s="228">
        <f>Q309*H309</f>
        <v>0</v>
      </c>
      <c r="S309" s="228">
        <v>0</v>
      </c>
      <c r="T309" s="229">
        <f>S309*H309</f>
        <v>0</v>
      </c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R309" s="230" t="s">
        <v>163</v>
      </c>
      <c r="AT309" s="230" t="s">
        <v>159</v>
      </c>
      <c r="AU309" s="230" t="s">
        <v>86</v>
      </c>
      <c r="AY309" s="16" t="s">
        <v>157</v>
      </c>
      <c r="BE309" s="231">
        <f>IF(N309="základní",J309,0)</f>
        <v>0</v>
      </c>
      <c r="BF309" s="231">
        <f>IF(N309="snížená",J309,0)</f>
        <v>0</v>
      </c>
      <c r="BG309" s="231">
        <f>IF(N309="zákl. přenesená",J309,0)</f>
        <v>0</v>
      </c>
      <c r="BH309" s="231">
        <f>IF(N309="sníž. přenesená",J309,0)</f>
        <v>0</v>
      </c>
      <c r="BI309" s="231">
        <f>IF(N309="nulová",J309,0)</f>
        <v>0</v>
      </c>
      <c r="BJ309" s="16" t="s">
        <v>8</v>
      </c>
      <c r="BK309" s="231">
        <f>ROUND(I309*H309,0)</f>
        <v>0</v>
      </c>
      <c r="BL309" s="16" t="s">
        <v>163</v>
      </c>
      <c r="BM309" s="230" t="s">
        <v>2490</v>
      </c>
    </row>
    <row r="310" s="13" customFormat="1">
      <c r="A310" s="13"/>
      <c r="B310" s="232"/>
      <c r="C310" s="233"/>
      <c r="D310" s="234" t="s">
        <v>165</v>
      </c>
      <c r="E310" s="235" t="s">
        <v>1</v>
      </c>
      <c r="F310" s="236" t="s">
        <v>2491</v>
      </c>
      <c r="G310" s="233"/>
      <c r="H310" s="237">
        <v>10929.110000000001</v>
      </c>
      <c r="I310" s="238"/>
      <c r="J310" s="233"/>
      <c r="K310" s="233"/>
      <c r="L310" s="239"/>
      <c r="M310" s="240"/>
      <c r="N310" s="241"/>
      <c r="O310" s="241"/>
      <c r="P310" s="241"/>
      <c r="Q310" s="241"/>
      <c r="R310" s="241"/>
      <c r="S310" s="241"/>
      <c r="T310" s="242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T310" s="243" t="s">
        <v>165</v>
      </c>
      <c r="AU310" s="243" t="s">
        <v>86</v>
      </c>
      <c r="AV310" s="13" t="s">
        <v>86</v>
      </c>
      <c r="AW310" s="13" t="s">
        <v>32</v>
      </c>
      <c r="AX310" s="13" t="s">
        <v>77</v>
      </c>
      <c r="AY310" s="243" t="s">
        <v>157</v>
      </c>
    </row>
    <row r="311" s="13" customFormat="1">
      <c r="A311" s="13"/>
      <c r="B311" s="232"/>
      <c r="C311" s="233"/>
      <c r="D311" s="234" t="s">
        <v>165</v>
      </c>
      <c r="E311" s="235" t="s">
        <v>1</v>
      </c>
      <c r="F311" s="236" t="s">
        <v>2475</v>
      </c>
      <c r="G311" s="233"/>
      <c r="H311" s="237">
        <v>5070.3800000000001</v>
      </c>
      <c r="I311" s="238"/>
      <c r="J311" s="233"/>
      <c r="K311" s="233"/>
      <c r="L311" s="239"/>
      <c r="M311" s="240"/>
      <c r="N311" s="241"/>
      <c r="O311" s="241"/>
      <c r="P311" s="241"/>
      <c r="Q311" s="241"/>
      <c r="R311" s="241"/>
      <c r="S311" s="241"/>
      <c r="T311" s="242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T311" s="243" t="s">
        <v>165</v>
      </c>
      <c r="AU311" s="243" t="s">
        <v>86</v>
      </c>
      <c r="AV311" s="13" t="s">
        <v>86</v>
      </c>
      <c r="AW311" s="13" t="s">
        <v>32</v>
      </c>
      <c r="AX311" s="13" t="s">
        <v>77</v>
      </c>
      <c r="AY311" s="243" t="s">
        <v>157</v>
      </c>
    </row>
    <row r="312" s="2" customFormat="1" ht="24.15" customHeight="1">
      <c r="A312" s="37"/>
      <c r="B312" s="38"/>
      <c r="C312" s="218" t="s">
        <v>707</v>
      </c>
      <c r="D312" s="218" t="s">
        <v>159</v>
      </c>
      <c r="E312" s="219" t="s">
        <v>2492</v>
      </c>
      <c r="F312" s="220" t="s">
        <v>2493</v>
      </c>
      <c r="G312" s="221" t="s">
        <v>209</v>
      </c>
      <c r="H312" s="222">
        <v>220.69999999999999</v>
      </c>
      <c r="I312" s="223"/>
      <c r="J312" s="224">
        <f>ROUND(I312*H312,0)</f>
        <v>0</v>
      </c>
      <c r="K312" s="225"/>
      <c r="L312" s="43"/>
      <c r="M312" s="226" t="s">
        <v>1</v>
      </c>
      <c r="N312" s="227" t="s">
        <v>42</v>
      </c>
      <c r="O312" s="90"/>
      <c r="P312" s="228">
        <f>O312*H312</f>
        <v>0</v>
      </c>
      <c r="Q312" s="228">
        <v>0</v>
      </c>
      <c r="R312" s="228">
        <f>Q312*H312</f>
        <v>0</v>
      </c>
      <c r="S312" s="228">
        <v>0</v>
      </c>
      <c r="T312" s="229">
        <f>S312*H312</f>
        <v>0</v>
      </c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R312" s="230" t="s">
        <v>163</v>
      </c>
      <c r="AT312" s="230" t="s">
        <v>159</v>
      </c>
      <c r="AU312" s="230" t="s">
        <v>86</v>
      </c>
      <c r="AY312" s="16" t="s">
        <v>157</v>
      </c>
      <c r="BE312" s="231">
        <f>IF(N312="základní",J312,0)</f>
        <v>0</v>
      </c>
      <c r="BF312" s="231">
        <f>IF(N312="snížená",J312,0)</f>
        <v>0</v>
      </c>
      <c r="BG312" s="231">
        <f>IF(N312="zákl. přenesená",J312,0)</f>
        <v>0</v>
      </c>
      <c r="BH312" s="231">
        <f>IF(N312="sníž. přenesená",J312,0)</f>
        <v>0</v>
      </c>
      <c r="BI312" s="231">
        <f>IF(N312="nulová",J312,0)</f>
        <v>0</v>
      </c>
      <c r="BJ312" s="16" t="s">
        <v>8</v>
      </c>
      <c r="BK312" s="231">
        <f>ROUND(I312*H312,0)</f>
        <v>0</v>
      </c>
      <c r="BL312" s="16" t="s">
        <v>163</v>
      </c>
      <c r="BM312" s="230" t="s">
        <v>2494</v>
      </c>
    </row>
    <row r="313" s="13" customFormat="1">
      <c r="A313" s="13"/>
      <c r="B313" s="232"/>
      <c r="C313" s="233"/>
      <c r="D313" s="234" t="s">
        <v>165</v>
      </c>
      <c r="E313" s="235" t="s">
        <v>1</v>
      </c>
      <c r="F313" s="236" t="s">
        <v>2495</v>
      </c>
      <c r="G313" s="233"/>
      <c r="H313" s="237">
        <v>220.69999999999999</v>
      </c>
      <c r="I313" s="238"/>
      <c r="J313" s="233"/>
      <c r="K313" s="233"/>
      <c r="L313" s="239"/>
      <c r="M313" s="240"/>
      <c r="N313" s="241"/>
      <c r="O313" s="241"/>
      <c r="P313" s="241"/>
      <c r="Q313" s="241"/>
      <c r="R313" s="241"/>
      <c r="S313" s="241"/>
      <c r="T313" s="242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T313" s="243" t="s">
        <v>165</v>
      </c>
      <c r="AU313" s="243" t="s">
        <v>86</v>
      </c>
      <c r="AV313" s="13" t="s">
        <v>86</v>
      </c>
      <c r="AW313" s="13" t="s">
        <v>32</v>
      </c>
      <c r="AX313" s="13" t="s">
        <v>77</v>
      </c>
      <c r="AY313" s="243" t="s">
        <v>157</v>
      </c>
    </row>
    <row r="314" s="2" customFormat="1" ht="24.15" customHeight="1">
      <c r="A314" s="37"/>
      <c r="B314" s="38"/>
      <c r="C314" s="218" t="s">
        <v>711</v>
      </c>
      <c r="D314" s="218" t="s">
        <v>159</v>
      </c>
      <c r="E314" s="219" t="s">
        <v>2496</v>
      </c>
      <c r="F314" s="220" t="s">
        <v>2497</v>
      </c>
      <c r="G314" s="221" t="s">
        <v>209</v>
      </c>
      <c r="H314" s="222">
        <v>10929.110000000001</v>
      </c>
      <c r="I314" s="223"/>
      <c r="J314" s="224">
        <f>ROUND(I314*H314,0)</f>
        <v>0</v>
      </c>
      <c r="K314" s="225"/>
      <c r="L314" s="43"/>
      <c r="M314" s="226" t="s">
        <v>1</v>
      </c>
      <c r="N314" s="227" t="s">
        <v>42</v>
      </c>
      <c r="O314" s="90"/>
      <c r="P314" s="228">
        <f>O314*H314</f>
        <v>0</v>
      </c>
      <c r="Q314" s="228">
        <v>0</v>
      </c>
      <c r="R314" s="228">
        <f>Q314*H314</f>
        <v>0</v>
      </c>
      <c r="S314" s="228">
        <v>0</v>
      </c>
      <c r="T314" s="229">
        <f>S314*H314</f>
        <v>0</v>
      </c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R314" s="230" t="s">
        <v>163</v>
      </c>
      <c r="AT314" s="230" t="s">
        <v>159</v>
      </c>
      <c r="AU314" s="230" t="s">
        <v>86</v>
      </c>
      <c r="AY314" s="16" t="s">
        <v>157</v>
      </c>
      <c r="BE314" s="231">
        <f>IF(N314="základní",J314,0)</f>
        <v>0</v>
      </c>
      <c r="BF314" s="231">
        <f>IF(N314="snížená",J314,0)</f>
        <v>0</v>
      </c>
      <c r="BG314" s="231">
        <f>IF(N314="zákl. přenesená",J314,0)</f>
        <v>0</v>
      </c>
      <c r="BH314" s="231">
        <f>IF(N314="sníž. přenesená",J314,0)</f>
        <v>0</v>
      </c>
      <c r="BI314" s="231">
        <f>IF(N314="nulová",J314,0)</f>
        <v>0</v>
      </c>
      <c r="BJ314" s="16" t="s">
        <v>8</v>
      </c>
      <c r="BK314" s="231">
        <f>ROUND(I314*H314,0)</f>
        <v>0</v>
      </c>
      <c r="BL314" s="16" t="s">
        <v>163</v>
      </c>
      <c r="BM314" s="230" t="s">
        <v>2498</v>
      </c>
    </row>
    <row r="315" s="13" customFormat="1">
      <c r="A315" s="13"/>
      <c r="B315" s="232"/>
      <c r="C315" s="233"/>
      <c r="D315" s="234" t="s">
        <v>165</v>
      </c>
      <c r="E315" s="235" t="s">
        <v>1</v>
      </c>
      <c r="F315" s="236" t="s">
        <v>2491</v>
      </c>
      <c r="G315" s="233"/>
      <c r="H315" s="237">
        <v>10929.110000000001</v>
      </c>
      <c r="I315" s="238"/>
      <c r="J315" s="233"/>
      <c r="K315" s="233"/>
      <c r="L315" s="239"/>
      <c r="M315" s="240"/>
      <c r="N315" s="241"/>
      <c r="O315" s="241"/>
      <c r="P315" s="241"/>
      <c r="Q315" s="241"/>
      <c r="R315" s="241"/>
      <c r="S315" s="241"/>
      <c r="T315" s="242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T315" s="243" t="s">
        <v>165</v>
      </c>
      <c r="AU315" s="243" t="s">
        <v>86</v>
      </c>
      <c r="AV315" s="13" t="s">
        <v>86</v>
      </c>
      <c r="AW315" s="13" t="s">
        <v>32</v>
      </c>
      <c r="AX315" s="13" t="s">
        <v>77</v>
      </c>
      <c r="AY315" s="243" t="s">
        <v>157</v>
      </c>
    </row>
    <row r="316" s="2" customFormat="1" ht="24.15" customHeight="1">
      <c r="A316" s="37"/>
      <c r="B316" s="38"/>
      <c r="C316" s="218" t="s">
        <v>716</v>
      </c>
      <c r="D316" s="218" t="s">
        <v>159</v>
      </c>
      <c r="E316" s="219" t="s">
        <v>2499</v>
      </c>
      <c r="F316" s="220" t="s">
        <v>2500</v>
      </c>
      <c r="G316" s="221" t="s">
        <v>209</v>
      </c>
      <c r="H316" s="222">
        <v>44277.580000000002</v>
      </c>
      <c r="I316" s="223"/>
      <c r="J316" s="224">
        <f>ROUND(I316*H316,0)</f>
        <v>0</v>
      </c>
      <c r="K316" s="225"/>
      <c r="L316" s="43"/>
      <c r="M316" s="226" t="s">
        <v>1</v>
      </c>
      <c r="N316" s="227" t="s">
        <v>42</v>
      </c>
      <c r="O316" s="90"/>
      <c r="P316" s="228">
        <f>O316*H316</f>
        <v>0</v>
      </c>
      <c r="Q316" s="228">
        <v>0</v>
      </c>
      <c r="R316" s="228">
        <f>Q316*H316</f>
        <v>0</v>
      </c>
      <c r="S316" s="228">
        <v>0</v>
      </c>
      <c r="T316" s="229">
        <f>S316*H316</f>
        <v>0</v>
      </c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R316" s="230" t="s">
        <v>163</v>
      </c>
      <c r="AT316" s="230" t="s">
        <v>159</v>
      </c>
      <c r="AU316" s="230" t="s">
        <v>86</v>
      </c>
      <c r="AY316" s="16" t="s">
        <v>157</v>
      </c>
      <c r="BE316" s="231">
        <f>IF(N316="základní",J316,0)</f>
        <v>0</v>
      </c>
      <c r="BF316" s="231">
        <f>IF(N316="snížená",J316,0)</f>
        <v>0</v>
      </c>
      <c r="BG316" s="231">
        <f>IF(N316="zákl. přenesená",J316,0)</f>
        <v>0</v>
      </c>
      <c r="BH316" s="231">
        <f>IF(N316="sníž. přenesená",J316,0)</f>
        <v>0</v>
      </c>
      <c r="BI316" s="231">
        <f>IF(N316="nulová",J316,0)</f>
        <v>0</v>
      </c>
      <c r="BJ316" s="16" t="s">
        <v>8</v>
      </c>
      <c r="BK316" s="231">
        <f>ROUND(I316*H316,0)</f>
        <v>0</v>
      </c>
      <c r="BL316" s="16" t="s">
        <v>163</v>
      </c>
      <c r="BM316" s="230" t="s">
        <v>2501</v>
      </c>
    </row>
    <row r="317" s="13" customFormat="1">
      <c r="A317" s="13"/>
      <c r="B317" s="232"/>
      <c r="C317" s="233"/>
      <c r="D317" s="234" t="s">
        <v>165</v>
      </c>
      <c r="E317" s="235" t="s">
        <v>1</v>
      </c>
      <c r="F317" s="236" t="s">
        <v>2502</v>
      </c>
      <c r="G317" s="233"/>
      <c r="H317" s="237">
        <v>44277.580000000002</v>
      </c>
      <c r="I317" s="238"/>
      <c r="J317" s="233"/>
      <c r="K317" s="233"/>
      <c r="L317" s="239"/>
      <c r="M317" s="240"/>
      <c r="N317" s="241"/>
      <c r="O317" s="241"/>
      <c r="P317" s="241"/>
      <c r="Q317" s="241"/>
      <c r="R317" s="241"/>
      <c r="S317" s="241"/>
      <c r="T317" s="242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T317" s="243" t="s">
        <v>165</v>
      </c>
      <c r="AU317" s="243" t="s">
        <v>86</v>
      </c>
      <c r="AV317" s="13" t="s">
        <v>86</v>
      </c>
      <c r="AW317" s="13" t="s">
        <v>32</v>
      </c>
      <c r="AX317" s="13" t="s">
        <v>77</v>
      </c>
      <c r="AY317" s="243" t="s">
        <v>157</v>
      </c>
    </row>
    <row r="318" s="2" customFormat="1" ht="33" customHeight="1">
      <c r="A318" s="37"/>
      <c r="B318" s="38"/>
      <c r="C318" s="218" t="s">
        <v>720</v>
      </c>
      <c r="D318" s="218" t="s">
        <v>159</v>
      </c>
      <c r="E318" s="219" t="s">
        <v>2503</v>
      </c>
      <c r="F318" s="220" t="s">
        <v>2504</v>
      </c>
      <c r="G318" s="221" t="s">
        <v>209</v>
      </c>
      <c r="H318" s="222">
        <v>10929.110000000001</v>
      </c>
      <c r="I318" s="223"/>
      <c r="J318" s="224">
        <f>ROUND(I318*H318,0)</f>
        <v>0</v>
      </c>
      <c r="K318" s="225"/>
      <c r="L318" s="43"/>
      <c r="M318" s="226" t="s">
        <v>1</v>
      </c>
      <c r="N318" s="227" t="s">
        <v>42</v>
      </c>
      <c r="O318" s="90"/>
      <c r="P318" s="228">
        <f>O318*H318</f>
        <v>0</v>
      </c>
      <c r="Q318" s="228">
        <v>0</v>
      </c>
      <c r="R318" s="228">
        <f>Q318*H318</f>
        <v>0</v>
      </c>
      <c r="S318" s="228">
        <v>0</v>
      </c>
      <c r="T318" s="229">
        <f>S318*H318</f>
        <v>0</v>
      </c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R318" s="230" t="s">
        <v>163</v>
      </c>
      <c r="AT318" s="230" t="s">
        <v>159</v>
      </c>
      <c r="AU318" s="230" t="s">
        <v>86</v>
      </c>
      <c r="AY318" s="16" t="s">
        <v>157</v>
      </c>
      <c r="BE318" s="231">
        <f>IF(N318="základní",J318,0)</f>
        <v>0</v>
      </c>
      <c r="BF318" s="231">
        <f>IF(N318="snížená",J318,0)</f>
        <v>0</v>
      </c>
      <c r="BG318" s="231">
        <f>IF(N318="zákl. přenesená",J318,0)</f>
        <v>0</v>
      </c>
      <c r="BH318" s="231">
        <f>IF(N318="sníž. přenesená",J318,0)</f>
        <v>0</v>
      </c>
      <c r="BI318" s="231">
        <f>IF(N318="nulová",J318,0)</f>
        <v>0</v>
      </c>
      <c r="BJ318" s="16" t="s">
        <v>8</v>
      </c>
      <c r="BK318" s="231">
        <f>ROUND(I318*H318,0)</f>
        <v>0</v>
      </c>
      <c r="BL318" s="16" t="s">
        <v>163</v>
      </c>
      <c r="BM318" s="230" t="s">
        <v>2505</v>
      </c>
    </row>
    <row r="319" s="13" customFormat="1">
      <c r="A319" s="13"/>
      <c r="B319" s="232"/>
      <c r="C319" s="233"/>
      <c r="D319" s="234" t="s">
        <v>165</v>
      </c>
      <c r="E319" s="235" t="s">
        <v>1</v>
      </c>
      <c r="F319" s="236" t="s">
        <v>2491</v>
      </c>
      <c r="G319" s="233"/>
      <c r="H319" s="237">
        <v>10929.110000000001</v>
      </c>
      <c r="I319" s="238"/>
      <c r="J319" s="233"/>
      <c r="K319" s="233"/>
      <c r="L319" s="239"/>
      <c r="M319" s="240"/>
      <c r="N319" s="241"/>
      <c r="O319" s="241"/>
      <c r="P319" s="241"/>
      <c r="Q319" s="241"/>
      <c r="R319" s="241"/>
      <c r="S319" s="241"/>
      <c r="T319" s="242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T319" s="243" t="s">
        <v>165</v>
      </c>
      <c r="AU319" s="243" t="s">
        <v>86</v>
      </c>
      <c r="AV319" s="13" t="s">
        <v>86</v>
      </c>
      <c r="AW319" s="13" t="s">
        <v>32</v>
      </c>
      <c r="AX319" s="13" t="s">
        <v>77</v>
      </c>
      <c r="AY319" s="243" t="s">
        <v>157</v>
      </c>
    </row>
    <row r="320" s="2" customFormat="1" ht="21.75" customHeight="1">
      <c r="A320" s="37"/>
      <c r="B320" s="38"/>
      <c r="C320" s="218" t="s">
        <v>725</v>
      </c>
      <c r="D320" s="218" t="s">
        <v>159</v>
      </c>
      <c r="E320" s="219" t="s">
        <v>2506</v>
      </c>
      <c r="F320" s="220" t="s">
        <v>2507</v>
      </c>
      <c r="G320" s="221" t="s">
        <v>209</v>
      </c>
      <c r="H320" s="222">
        <v>10929.110000000001</v>
      </c>
      <c r="I320" s="223"/>
      <c r="J320" s="224">
        <f>ROUND(I320*H320,0)</f>
        <v>0</v>
      </c>
      <c r="K320" s="225"/>
      <c r="L320" s="43"/>
      <c r="M320" s="226" t="s">
        <v>1</v>
      </c>
      <c r="N320" s="227" t="s">
        <v>42</v>
      </c>
      <c r="O320" s="90"/>
      <c r="P320" s="228">
        <f>O320*H320</f>
        <v>0</v>
      </c>
      <c r="Q320" s="228">
        <v>0</v>
      </c>
      <c r="R320" s="228">
        <f>Q320*H320</f>
        <v>0</v>
      </c>
      <c r="S320" s="228">
        <v>0</v>
      </c>
      <c r="T320" s="229">
        <f>S320*H320</f>
        <v>0</v>
      </c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R320" s="230" t="s">
        <v>163</v>
      </c>
      <c r="AT320" s="230" t="s">
        <v>159</v>
      </c>
      <c r="AU320" s="230" t="s">
        <v>86</v>
      </c>
      <c r="AY320" s="16" t="s">
        <v>157</v>
      </c>
      <c r="BE320" s="231">
        <f>IF(N320="základní",J320,0)</f>
        <v>0</v>
      </c>
      <c r="BF320" s="231">
        <f>IF(N320="snížená",J320,0)</f>
        <v>0</v>
      </c>
      <c r="BG320" s="231">
        <f>IF(N320="zákl. přenesená",J320,0)</f>
        <v>0</v>
      </c>
      <c r="BH320" s="231">
        <f>IF(N320="sníž. přenesená",J320,0)</f>
        <v>0</v>
      </c>
      <c r="BI320" s="231">
        <f>IF(N320="nulová",J320,0)</f>
        <v>0</v>
      </c>
      <c r="BJ320" s="16" t="s">
        <v>8</v>
      </c>
      <c r="BK320" s="231">
        <f>ROUND(I320*H320,0)</f>
        <v>0</v>
      </c>
      <c r="BL320" s="16" t="s">
        <v>163</v>
      </c>
      <c r="BM320" s="230" t="s">
        <v>2508</v>
      </c>
    </row>
    <row r="321" s="2" customFormat="1" ht="33" customHeight="1">
      <c r="A321" s="37"/>
      <c r="B321" s="38"/>
      <c r="C321" s="218" t="s">
        <v>732</v>
      </c>
      <c r="D321" s="218" t="s">
        <v>159</v>
      </c>
      <c r="E321" s="219" t="s">
        <v>2509</v>
      </c>
      <c r="F321" s="220" t="s">
        <v>2510</v>
      </c>
      <c r="G321" s="221" t="s">
        <v>209</v>
      </c>
      <c r="H321" s="222">
        <v>10929.110000000001</v>
      </c>
      <c r="I321" s="223"/>
      <c r="J321" s="224">
        <f>ROUND(I321*H321,0)</f>
        <v>0</v>
      </c>
      <c r="K321" s="225"/>
      <c r="L321" s="43"/>
      <c r="M321" s="226" t="s">
        <v>1</v>
      </c>
      <c r="N321" s="227" t="s">
        <v>42</v>
      </c>
      <c r="O321" s="90"/>
      <c r="P321" s="228">
        <f>O321*H321</f>
        <v>0</v>
      </c>
      <c r="Q321" s="228">
        <v>0</v>
      </c>
      <c r="R321" s="228">
        <f>Q321*H321</f>
        <v>0</v>
      </c>
      <c r="S321" s="228">
        <v>0</v>
      </c>
      <c r="T321" s="229">
        <f>S321*H321</f>
        <v>0</v>
      </c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R321" s="230" t="s">
        <v>163</v>
      </c>
      <c r="AT321" s="230" t="s">
        <v>159</v>
      </c>
      <c r="AU321" s="230" t="s">
        <v>86</v>
      </c>
      <c r="AY321" s="16" t="s">
        <v>157</v>
      </c>
      <c r="BE321" s="231">
        <f>IF(N321="základní",J321,0)</f>
        <v>0</v>
      </c>
      <c r="BF321" s="231">
        <f>IF(N321="snížená",J321,0)</f>
        <v>0</v>
      </c>
      <c r="BG321" s="231">
        <f>IF(N321="zákl. přenesená",J321,0)</f>
        <v>0</v>
      </c>
      <c r="BH321" s="231">
        <f>IF(N321="sníž. přenesená",J321,0)</f>
        <v>0</v>
      </c>
      <c r="BI321" s="231">
        <f>IF(N321="nulová",J321,0)</f>
        <v>0</v>
      </c>
      <c r="BJ321" s="16" t="s">
        <v>8</v>
      </c>
      <c r="BK321" s="231">
        <f>ROUND(I321*H321,0)</f>
        <v>0</v>
      </c>
      <c r="BL321" s="16" t="s">
        <v>163</v>
      </c>
      <c r="BM321" s="230" t="s">
        <v>2511</v>
      </c>
    </row>
    <row r="322" s="13" customFormat="1">
      <c r="A322" s="13"/>
      <c r="B322" s="232"/>
      <c r="C322" s="233"/>
      <c r="D322" s="234" t="s">
        <v>165</v>
      </c>
      <c r="E322" s="235" t="s">
        <v>1</v>
      </c>
      <c r="F322" s="236" t="s">
        <v>2491</v>
      </c>
      <c r="G322" s="233"/>
      <c r="H322" s="237">
        <v>10929.110000000001</v>
      </c>
      <c r="I322" s="238"/>
      <c r="J322" s="233"/>
      <c r="K322" s="233"/>
      <c r="L322" s="239"/>
      <c r="M322" s="240"/>
      <c r="N322" s="241"/>
      <c r="O322" s="241"/>
      <c r="P322" s="241"/>
      <c r="Q322" s="241"/>
      <c r="R322" s="241"/>
      <c r="S322" s="241"/>
      <c r="T322" s="242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T322" s="243" t="s">
        <v>165</v>
      </c>
      <c r="AU322" s="243" t="s">
        <v>86</v>
      </c>
      <c r="AV322" s="13" t="s">
        <v>86</v>
      </c>
      <c r="AW322" s="13" t="s">
        <v>32</v>
      </c>
      <c r="AX322" s="13" t="s">
        <v>77</v>
      </c>
      <c r="AY322" s="243" t="s">
        <v>157</v>
      </c>
    </row>
    <row r="323" s="2" customFormat="1" ht="24.15" customHeight="1">
      <c r="A323" s="37"/>
      <c r="B323" s="38"/>
      <c r="C323" s="218" t="s">
        <v>738</v>
      </c>
      <c r="D323" s="218" t="s">
        <v>159</v>
      </c>
      <c r="E323" s="219" t="s">
        <v>2512</v>
      </c>
      <c r="F323" s="220" t="s">
        <v>2513</v>
      </c>
      <c r="G323" s="221" t="s">
        <v>209</v>
      </c>
      <c r="H323" s="222">
        <v>1871.0899999999999</v>
      </c>
      <c r="I323" s="223"/>
      <c r="J323" s="224">
        <f>ROUND(I323*H323,0)</f>
        <v>0</v>
      </c>
      <c r="K323" s="225"/>
      <c r="L323" s="43"/>
      <c r="M323" s="226" t="s">
        <v>1</v>
      </c>
      <c r="N323" s="227" t="s">
        <v>42</v>
      </c>
      <c r="O323" s="90"/>
      <c r="P323" s="228">
        <f>O323*H323</f>
        <v>0</v>
      </c>
      <c r="Q323" s="228">
        <v>0.090620000000000006</v>
      </c>
      <c r="R323" s="228">
        <f>Q323*H323</f>
        <v>169.55817580000002</v>
      </c>
      <c r="S323" s="228">
        <v>0</v>
      </c>
      <c r="T323" s="229">
        <f>S323*H323</f>
        <v>0</v>
      </c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R323" s="230" t="s">
        <v>163</v>
      </c>
      <c r="AT323" s="230" t="s">
        <v>159</v>
      </c>
      <c r="AU323" s="230" t="s">
        <v>86</v>
      </c>
      <c r="AY323" s="16" t="s">
        <v>157</v>
      </c>
      <c r="BE323" s="231">
        <f>IF(N323="základní",J323,0)</f>
        <v>0</v>
      </c>
      <c r="BF323" s="231">
        <f>IF(N323="snížená",J323,0)</f>
        <v>0</v>
      </c>
      <c r="BG323" s="231">
        <f>IF(N323="zákl. přenesená",J323,0)</f>
        <v>0</v>
      </c>
      <c r="BH323" s="231">
        <f>IF(N323="sníž. přenesená",J323,0)</f>
        <v>0</v>
      </c>
      <c r="BI323" s="231">
        <f>IF(N323="nulová",J323,0)</f>
        <v>0</v>
      </c>
      <c r="BJ323" s="16" t="s">
        <v>8</v>
      </c>
      <c r="BK323" s="231">
        <f>ROUND(I323*H323,0)</f>
        <v>0</v>
      </c>
      <c r="BL323" s="16" t="s">
        <v>163</v>
      </c>
      <c r="BM323" s="230" t="s">
        <v>2514</v>
      </c>
    </row>
    <row r="324" s="13" customFormat="1">
      <c r="A324" s="13"/>
      <c r="B324" s="232"/>
      <c r="C324" s="233"/>
      <c r="D324" s="234" t="s">
        <v>165</v>
      </c>
      <c r="E324" s="235" t="s">
        <v>1</v>
      </c>
      <c r="F324" s="236" t="s">
        <v>2479</v>
      </c>
      <c r="G324" s="233"/>
      <c r="H324" s="237">
        <v>1871.0899999999999</v>
      </c>
      <c r="I324" s="238"/>
      <c r="J324" s="233"/>
      <c r="K324" s="233"/>
      <c r="L324" s="239"/>
      <c r="M324" s="240"/>
      <c r="N324" s="241"/>
      <c r="O324" s="241"/>
      <c r="P324" s="241"/>
      <c r="Q324" s="241"/>
      <c r="R324" s="241"/>
      <c r="S324" s="241"/>
      <c r="T324" s="242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T324" s="243" t="s">
        <v>165</v>
      </c>
      <c r="AU324" s="243" t="s">
        <v>86</v>
      </c>
      <c r="AV324" s="13" t="s">
        <v>86</v>
      </c>
      <c r="AW324" s="13" t="s">
        <v>32</v>
      </c>
      <c r="AX324" s="13" t="s">
        <v>77</v>
      </c>
      <c r="AY324" s="243" t="s">
        <v>157</v>
      </c>
    </row>
    <row r="325" s="2" customFormat="1" ht="24.15" customHeight="1">
      <c r="A325" s="37"/>
      <c r="B325" s="38"/>
      <c r="C325" s="254" t="s">
        <v>742</v>
      </c>
      <c r="D325" s="254" t="s">
        <v>229</v>
      </c>
      <c r="E325" s="255" t="s">
        <v>2515</v>
      </c>
      <c r="F325" s="256" t="s">
        <v>2516</v>
      </c>
      <c r="G325" s="257" t="s">
        <v>209</v>
      </c>
      <c r="H325" s="258">
        <v>1889.8009999999999</v>
      </c>
      <c r="I325" s="259"/>
      <c r="J325" s="260">
        <f>ROUND(I325*H325,0)</f>
        <v>0</v>
      </c>
      <c r="K325" s="261"/>
      <c r="L325" s="262"/>
      <c r="M325" s="263" t="s">
        <v>1</v>
      </c>
      <c r="N325" s="264" t="s">
        <v>42</v>
      </c>
      <c r="O325" s="90"/>
      <c r="P325" s="228">
        <f>O325*H325</f>
        <v>0</v>
      </c>
      <c r="Q325" s="228">
        <v>0.152</v>
      </c>
      <c r="R325" s="228">
        <f>Q325*H325</f>
        <v>287.249752</v>
      </c>
      <c r="S325" s="228">
        <v>0</v>
      </c>
      <c r="T325" s="229">
        <f>S325*H325</f>
        <v>0</v>
      </c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R325" s="230" t="s">
        <v>200</v>
      </c>
      <c r="AT325" s="230" t="s">
        <v>229</v>
      </c>
      <c r="AU325" s="230" t="s">
        <v>86</v>
      </c>
      <c r="AY325" s="16" t="s">
        <v>157</v>
      </c>
      <c r="BE325" s="231">
        <f>IF(N325="základní",J325,0)</f>
        <v>0</v>
      </c>
      <c r="BF325" s="231">
        <f>IF(N325="snížená",J325,0)</f>
        <v>0</v>
      </c>
      <c r="BG325" s="231">
        <f>IF(N325="zákl. přenesená",J325,0)</f>
        <v>0</v>
      </c>
      <c r="BH325" s="231">
        <f>IF(N325="sníž. přenesená",J325,0)</f>
        <v>0</v>
      </c>
      <c r="BI325" s="231">
        <f>IF(N325="nulová",J325,0)</f>
        <v>0</v>
      </c>
      <c r="BJ325" s="16" t="s">
        <v>8</v>
      </c>
      <c r="BK325" s="231">
        <f>ROUND(I325*H325,0)</f>
        <v>0</v>
      </c>
      <c r="BL325" s="16" t="s">
        <v>163</v>
      </c>
      <c r="BM325" s="230" t="s">
        <v>2517</v>
      </c>
    </row>
    <row r="326" s="13" customFormat="1">
      <c r="A326" s="13"/>
      <c r="B326" s="232"/>
      <c r="C326" s="233"/>
      <c r="D326" s="234" t="s">
        <v>165</v>
      </c>
      <c r="E326" s="235" t="s">
        <v>1</v>
      </c>
      <c r="F326" s="236" t="s">
        <v>2518</v>
      </c>
      <c r="G326" s="233"/>
      <c r="H326" s="237">
        <v>1871.0899999999999</v>
      </c>
      <c r="I326" s="238"/>
      <c r="J326" s="233"/>
      <c r="K326" s="233"/>
      <c r="L326" s="239"/>
      <c r="M326" s="240"/>
      <c r="N326" s="241"/>
      <c r="O326" s="241"/>
      <c r="P326" s="241"/>
      <c r="Q326" s="241"/>
      <c r="R326" s="241"/>
      <c r="S326" s="241"/>
      <c r="T326" s="242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T326" s="243" t="s">
        <v>165</v>
      </c>
      <c r="AU326" s="243" t="s">
        <v>86</v>
      </c>
      <c r="AV326" s="13" t="s">
        <v>86</v>
      </c>
      <c r="AW326" s="13" t="s">
        <v>32</v>
      </c>
      <c r="AX326" s="13" t="s">
        <v>8</v>
      </c>
      <c r="AY326" s="243" t="s">
        <v>157</v>
      </c>
    </row>
    <row r="327" s="13" customFormat="1">
      <c r="A327" s="13"/>
      <c r="B327" s="232"/>
      <c r="C327" s="233"/>
      <c r="D327" s="234" t="s">
        <v>165</v>
      </c>
      <c r="E327" s="233"/>
      <c r="F327" s="236" t="s">
        <v>2519</v>
      </c>
      <c r="G327" s="233"/>
      <c r="H327" s="237">
        <v>1889.8009999999999</v>
      </c>
      <c r="I327" s="238"/>
      <c r="J327" s="233"/>
      <c r="K327" s="233"/>
      <c r="L327" s="239"/>
      <c r="M327" s="240"/>
      <c r="N327" s="241"/>
      <c r="O327" s="241"/>
      <c r="P327" s="241"/>
      <c r="Q327" s="241"/>
      <c r="R327" s="241"/>
      <c r="S327" s="241"/>
      <c r="T327" s="242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T327" s="243" t="s">
        <v>165</v>
      </c>
      <c r="AU327" s="243" t="s">
        <v>86</v>
      </c>
      <c r="AV327" s="13" t="s">
        <v>86</v>
      </c>
      <c r="AW327" s="13" t="s">
        <v>4</v>
      </c>
      <c r="AX327" s="13" t="s">
        <v>8</v>
      </c>
      <c r="AY327" s="243" t="s">
        <v>157</v>
      </c>
    </row>
    <row r="328" s="2" customFormat="1" ht="33" customHeight="1">
      <c r="A328" s="37"/>
      <c r="B328" s="38"/>
      <c r="C328" s="218" t="s">
        <v>746</v>
      </c>
      <c r="D328" s="218" t="s">
        <v>159</v>
      </c>
      <c r="E328" s="219" t="s">
        <v>2520</v>
      </c>
      <c r="F328" s="220" t="s">
        <v>2521</v>
      </c>
      <c r="G328" s="221" t="s">
        <v>209</v>
      </c>
      <c r="H328" s="222">
        <v>1740.46</v>
      </c>
      <c r="I328" s="223"/>
      <c r="J328" s="224">
        <f>ROUND(I328*H328,0)</f>
        <v>0</v>
      </c>
      <c r="K328" s="225"/>
      <c r="L328" s="43"/>
      <c r="M328" s="226" t="s">
        <v>1</v>
      </c>
      <c r="N328" s="227" t="s">
        <v>42</v>
      </c>
      <c r="O328" s="90"/>
      <c r="P328" s="228">
        <f>O328*H328</f>
        <v>0</v>
      </c>
      <c r="Q328" s="228">
        <v>0.086800000000000002</v>
      </c>
      <c r="R328" s="228">
        <f>Q328*H328</f>
        <v>151.07192800000001</v>
      </c>
      <c r="S328" s="228">
        <v>0</v>
      </c>
      <c r="T328" s="229">
        <f>S328*H328</f>
        <v>0</v>
      </c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R328" s="230" t="s">
        <v>163</v>
      </c>
      <c r="AT328" s="230" t="s">
        <v>159</v>
      </c>
      <c r="AU328" s="230" t="s">
        <v>86</v>
      </c>
      <c r="AY328" s="16" t="s">
        <v>157</v>
      </c>
      <c r="BE328" s="231">
        <f>IF(N328="základní",J328,0)</f>
        <v>0</v>
      </c>
      <c r="BF328" s="231">
        <f>IF(N328="snížená",J328,0)</f>
        <v>0</v>
      </c>
      <c r="BG328" s="231">
        <f>IF(N328="zákl. přenesená",J328,0)</f>
        <v>0</v>
      </c>
      <c r="BH328" s="231">
        <f>IF(N328="sníž. přenesená",J328,0)</f>
        <v>0</v>
      </c>
      <c r="BI328" s="231">
        <f>IF(N328="nulová",J328,0)</f>
        <v>0</v>
      </c>
      <c r="BJ328" s="16" t="s">
        <v>8</v>
      </c>
      <c r="BK328" s="231">
        <f>ROUND(I328*H328,0)</f>
        <v>0</v>
      </c>
      <c r="BL328" s="16" t="s">
        <v>163</v>
      </c>
      <c r="BM328" s="230" t="s">
        <v>2522</v>
      </c>
    </row>
    <row r="329" s="13" customFormat="1">
      <c r="A329" s="13"/>
      <c r="B329" s="232"/>
      <c r="C329" s="233"/>
      <c r="D329" s="234" t="s">
        <v>165</v>
      </c>
      <c r="E329" s="235" t="s">
        <v>1</v>
      </c>
      <c r="F329" s="236" t="s">
        <v>2480</v>
      </c>
      <c r="G329" s="233"/>
      <c r="H329" s="237">
        <v>1740.46</v>
      </c>
      <c r="I329" s="238"/>
      <c r="J329" s="233"/>
      <c r="K329" s="233"/>
      <c r="L329" s="239"/>
      <c r="M329" s="240"/>
      <c r="N329" s="241"/>
      <c r="O329" s="241"/>
      <c r="P329" s="241"/>
      <c r="Q329" s="241"/>
      <c r="R329" s="241"/>
      <c r="S329" s="241"/>
      <c r="T329" s="242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T329" s="243" t="s">
        <v>165</v>
      </c>
      <c r="AU329" s="243" t="s">
        <v>86</v>
      </c>
      <c r="AV329" s="13" t="s">
        <v>86</v>
      </c>
      <c r="AW329" s="13" t="s">
        <v>32</v>
      </c>
      <c r="AX329" s="13" t="s">
        <v>77</v>
      </c>
      <c r="AY329" s="243" t="s">
        <v>157</v>
      </c>
    </row>
    <row r="330" s="2" customFormat="1" ht="24.15" customHeight="1">
      <c r="A330" s="37"/>
      <c r="B330" s="38"/>
      <c r="C330" s="254" t="s">
        <v>751</v>
      </c>
      <c r="D330" s="254" t="s">
        <v>229</v>
      </c>
      <c r="E330" s="255" t="s">
        <v>2523</v>
      </c>
      <c r="F330" s="256" t="s">
        <v>2524</v>
      </c>
      <c r="G330" s="257" t="s">
        <v>209</v>
      </c>
      <c r="H330" s="258">
        <v>1792.674</v>
      </c>
      <c r="I330" s="259"/>
      <c r="J330" s="260">
        <f>ROUND(I330*H330,0)</f>
        <v>0</v>
      </c>
      <c r="K330" s="261"/>
      <c r="L330" s="262"/>
      <c r="M330" s="263" t="s">
        <v>1</v>
      </c>
      <c r="N330" s="264" t="s">
        <v>42</v>
      </c>
      <c r="O330" s="90"/>
      <c r="P330" s="228">
        <f>O330*H330</f>
        <v>0</v>
      </c>
      <c r="Q330" s="228">
        <v>0.20999999999999999</v>
      </c>
      <c r="R330" s="228">
        <f>Q330*H330</f>
        <v>376.46153999999996</v>
      </c>
      <c r="S330" s="228">
        <v>0</v>
      </c>
      <c r="T330" s="229">
        <f>S330*H330</f>
        <v>0</v>
      </c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R330" s="230" t="s">
        <v>200</v>
      </c>
      <c r="AT330" s="230" t="s">
        <v>229</v>
      </c>
      <c r="AU330" s="230" t="s">
        <v>86</v>
      </c>
      <c r="AY330" s="16" t="s">
        <v>157</v>
      </c>
      <c r="BE330" s="231">
        <f>IF(N330="základní",J330,0)</f>
        <v>0</v>
      </c>
      <c r="BF330" s="231">
        <f>IF(N330="snížená",J330,0)</f>
        <v>0</v>
      </c>
      <c r="BG330" s="231">
        <f>IF(N330="zákl. přenesená",J330,0)</f>
        <v>0</v>
      </c>
      <c r="BH330" s="231">
        <f>IF(N330="sníž. přenesená",J330,0)</f>
        <v>0</v>
      </c>
      <c r="BI330" s="231">
        <f>IF(N330="nulová",J330,0)</f>
        <v>0</v>
      </c>
      <c r="BJ330" s="16" t="s">
        <v>8</v>
      </c>
      <c r="BK330" s="231">
        <f>ROUND(I330*H330,0)</f>
        <v>0</v>
      </c>
      <c r="BL330" s="16" t="s">
        <v>163</v>
      </c>
      <c r="BM330" s="230" t="s">
        <v>2525</v>
      </c>
    </row>
    <row r="331" s="13" customFormat="1">
      <c r="A331" s="13"/>
      <c r="B331" s="232"/>
      <c r="C331" s="233"/>
      <c r="D331" s="234" t="s">
        <v>165</v>
      </c>
      <c r="E331" s="235" t="s">
        <v>1</v>
      </c>
      <c r="F331" s="236" t="s">
        <v>2526</v>
      </c>
      <c r="G331" s="233"/>
      <c r="H331" s="237">
        <v>1740.46</v>
      </c>
      <c r="I331" s="238"/>
      <c r="J331" s="233"/>
      <c r="K331" s="233"/>
      <c r="L331" s="239"/>
      <c r="M331" s="240"/>
      <c r="N331" s="241"/>
      <c r="O331" s="241"/>
      <c r="P331" s="241"/>
      <c r="Q331" s="241"/>
      <c r="R331" s="241"/>
      <c r="S331" s="241"/>
      <c r="T331" s="242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T331" s="243" t="s">
        <v>165</v>
      </c>
      <c r="AU331" s="243" t="s">
        <v>86</v>
      </c>
      <c r="AV331" s="13" t="s">
        <v>86</v>
      </c>
      <c r="AW331" s="13" t="s">
        <v>32</v>
      </c>
      <c r="AX331" s="13" t="s">
        <v>8</v>
      </c>
      <c r="AY331" s="243" t="s">
        <v>157</v>
      </c>
    </row>
    <row r="332" s="13" customFormat="1">
      <c r="A332" s="13"/>
      <c r="B332" s="232"/>
      <c r="C332" s="233"/>
      <c r="D332" s="234" t="s">
        <v>165</v>
      </c>
      <c r="E332" s="233"/>
      <c r="F332" s="236" t="s">
        <v>2527</v>
      </c>
      <c r="G332" s="233"/>
      <c r="H332" s="237">
        <v>1792.674</v>
      </c>
      <c r="I332" s="238"/>
      <c r="J332" s="233"/>
      <c r="K332" s="233"/>
      <c r="L332" s="239"/>
      <c r="M332" s="240"/>
      <c r="N332" s="241"/>
      <c r="O332" s="241"/>
      <c r="P332" s="241"/>
      <c r="Q332" s="241"/>
      <c r="R332" s="241"/>
      <c r="S332" s="241"/>
      <c r="T332" s="242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T332" s="243" t="s">
        <v>165</v>
      </c>
      <c r="AU332" s="243" t="s">
        <v>86</v>
      </c>
      <c r="AV332" s="13" t="s">
        <v>86</v>
      </c>
      <c r="AW332" s="13" t="s">
        <v>4</v>
      </c>
      <c r="AX332" s="13" t="s">
        <v>8</v>
      </c>
      <c r="AY332" s="243" t="s">
        <v>157</v>
      </c>
    </row>
    <row r="333" s="2" customFormat="1" ht="37.8" customHeight="1">
      <c r="A333" s="37"/>
      <c r="B333" s="38"/>
      <c r="C333" s="218" t="s">
        <v>757</v>
      </c>
      <c r="D333" s="218" t="s">
        <v>159</v>
      </c>
      <c r="E333" s="219" t="s">
        <v>2528</v>
      </c>
      <c r="F333" s="220" t="s">
        <v>2529</v>
      </c>
      <c r="G333" s="221" t="s">
        <v>209</v>
      </c>
      <c r="H333" s="222">
        <v>14</v>
      </c>
      <c r="I333" s="223"/>
      <c r="J333" s="224">
        <f>ROUND(I333*H333,0)</f>
        <v>0</v>
      </c>
      <c r="K333" s="225"/>
      <c r="L333" s="43"/>
      <c r="M333" s="226" t="s">
        <v>1</v>
      </c>
      <c r="N333" s="227" t="s">
        <v>42</v>
      </c>
      <c r="O333" s="90"/>
      <c r="P333" s="228">
        <f>O333*H333</f>
        <v>0</v>
      </c>
      <c r="Q333" s="228">
        <v>0.14610000000000001</v>
      </c>
      <c r="R333" s="228">
        <f>Q333*H333</f>
        <v>2.0453999999999999</v>
      </c>
      <c r="S333" s="228">
        <v>0</v>
      </c>
      <c r="T333" s="229">
        <f>S333*H333</f>
        <v>0</v>
      </c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R333" s="230" t="s">
        <v>163</v>
      </c>
      <c r="AT333" s="230" t="s">
        <v>159</v>
      </c>
      <c r="AU333" s="230" t="s">
        <v>86</v>
      </c>
      <c r="AY333" s="16" t="s">
        <v>157</v>
      </c>
      <c r="BE333" s="231">
        <f>IF(N333="základní",J333,0)</f>
        <v>0</v>
      </c>
      <c r="BF333" s="231">
        <f>IF(N333="snížená",J333,0)</f>
        <v>0</v>
      </c>
      <c r="BG333" s="231">
        <f>IF(N333="zákl. přenesená",J333,0)</f>
        <v>0</v>
      </c>
      <c r="BH333" s="231">
        <f>IF(N333="sníž. přenesená",J333,0)</f>
        <v>0</v>
      </c>
      <c r="BI333" s="231">
        <f>IF(N333="nulová",J333,0)</f>
        <v>0</v>
      </c>
      <c r="BJ333" s="16" t="s">
        <v>8</v>
      </c>
      <c r="BK333" s="231">
        <f>ROUND(I333*H333,0)</f>
        <v>0</v>
      </c>
      <c r="BL333" s="16" t="s">
        <v>163</v>
      </c>
      <c r="BM333" s="230" t="s">
        <v>2530</v>
      </c>
    </row>
    <row r="334" s="13" customFormat="1">
      <c r="A334" s="13"/>
      <c r="B334" s="232"/>
      <c r="C334" s="233"/>
      <c r="D334" s="234" t="s">
        <v>165</v>
      </c>
      <c r="E334" s="235" t="s">
        <v>1</v>
      </c>
      <c r="F334" s="236" t="s">
        <v>2531</v>
      </c>
      <c r="G334" s="233"/>
      <c r="H334" s="237">
        <v>14</v>
      </c>
      <c r="I334" s="238"/>
      <c r="J334" s="233"/>
      <c r="K334" s="233"/>
      <c r="L334" s="239"/>
      <c r="M334" s="240"/>
      <c r="N334" s="241"/>
      <c r="O334" s="241"/>
      <c r="P334" s="241"/>
      <c r="Q334" s="241"/>
      <c r="R334" s="241"/>
      <c r="S334" s="241"/>
      <c r="T334" s="242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T334" s="243" t="s">
        <v>165</v>
      </c>
      <c r="AU334" s="243" t="s">
        <v>86</v>
      </c>
      <c r="AV334" s="13" t="s">
        <v>86</v>
      </c>
      <c r="AW334" s="13" t="s">
        <v>32</v>
      </c>
      <c r="AX334" s="13" t="s">
        <v>77</v>
      </c>
      <c r="AY334" s="243" t="s">
        <v>157</v>
      </c>
    </row>
    <row r="335" s="2" customFormat="1" ht="24.15" customHeight="1">
      <c r="A335" s="37"/>
      <c r="B335" s="38"/>
      <c r="C335" s="254" t="s">
        <v>762</v>
      </c>
      <c r="D335" s="254" t="s">
        <v>229</v>
      </c>
      <c r="E335" s="255" t="s">
        <v>557</v>
      </c>
      <c r="F335" s="256" t="s">
        <v>558</v>
      </c>
      <c r="G335" s="257" t="s">
        <v>209</v>
      </c>
      <c r="H335" s="258">
        <v>14.42</v>
      </c>
      <c r="I335" s="259"/>
      <c r="J335" s="260">
        <f>ROUND(I335*H335,0)</f>
        <v>0</v>
      </c>
      <c r="K335" s="261"/>
      <c r="L335" s="262"/>
      <c r="M335" s="263" t="s">
        <v>1</v>
      </c>
      <c r="N335" s="264" t="s">
        <v>42</v>
      </c>
      <c r="O335" s="90"/>
      <c r="P335" s="228">
        <f>O335*H335</f>
        <v>0</v>
      </c>
      <c r="Q335" s="228">
        <v>0.13500000000000001</v>
      </c>
      <c r="R335" s="228">
        <f>Q335*H335</f>
        <v>1.9467000000000001</v>
      </c>
      <c r="S335" s="228">
        <v>0</v>
      </c>
      <c r="T335" s="229">
        <f>S335*H335</f>
        <v>0</v>
      </c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R335" s="230" t="s">
        <v>200</v>
      </c>
      <c r="AT335" s="230" t="s">
        <v>229</v>
      </c>
      <c r="AU335" s="230" t="s">
        <v>86</v>
      </c>
      <c r="AY335" s="16" t="s">
        <v>157</v>
      </c>
      <c r="BE335" s="231">
        <f>IF(N335="základní",J335,0)</f>
        <v>0</v>
      </c>
      <c r="BF335" s="231">
        <f>IF(N335="snížená",J335,0)</f>
        <v>0</v>
      </c>
      <c r="BG335" s="231">
        <f>IF(N335="zákl. přenesená",J335,0)</f>
        <v>0</v>
      </c>
      <c r="BH335" s="231">
        <f>IF(N335="sníž. přenesená",J335,0)</f>
        <v>0</v>
      </c>
      <c r="BI335" s="231">
        <f>IF(N335="nulová",J335,0)</f>
        <v>0</v>
      </c>
      <c r="BJ335" s="16" t="s">
        <v>8</v>
      </c>
      <c r="BK335" s="231">
        <f>ROUND(I335*H335,0)</f>
        <v>0</v>
      </c>
      <c r="BL335" s="16" t="s">
        <v>163</v>
      </c>
      <c r="BM335" s="230" t="s">
        <v>2532</v>
      </c>
    </row>
    <row r="336" s="13" customFormat="1">
      <c r="A336" s="13"/>
      <c r="B336" s="232"/>
      <c r="C336" s="233"/>
      <c r="D336" s="234" t="s">
        <v>165</v>
      </c>
      <c r="E336" s="235" t="s">
        <v>1</v>
      </c>
      <c r="F336" s="236" t="s">
        <v>235</v>
      </c>
      <c r="G336" s="233"/>
      <c r="H336" s="237">
        <v>14</v>
      </c>
      <c r="I336" s="238"/>
      <c r="J336" s="233"/>
      <c r="K336" s="233"/>
      <c r="L336" s="239"/>
      <c r="M336" s="240"/>
      <c r="N336" s="241"/>
      <c r="O336" s="241"/>
      <c r="P336" s="241"/>
      <c r="Q336" s="241"/>
      <c r="R336" s="241"/>
      <c r="S336" s="241"/>
      <c r="T336" s="242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T336" s="243" t="s">
        <v>165</v>
      </c>
      <c r="AU336" s="243" t="s">
        <v>86</v>
      </c>
      <c r="AV336" s="13" t="s">
        <v>86</v>
      </c>
      <c r="AW336" s="13" t="s">
        <v>32</v>
      </c>
      <c r="AX336" s="13" t="s">
        <v>8</v>
      </c>
      <c r="AY336" s="243" t="s">
        <v>157</v>
      </c>
    </row>
    <row r="337" s="13" customFormat="1">
      <c r="A337" s="13"/>
      <c r="B337" s="232"/>
      <c r="C337" s="233"/>
      <c r="D337" s="234" t="s">
        <v>165</v>
      </c>
      <c r="E337" s="233"/>
      <c r="F337" s="236" t="s">
        <v>2533</v>
      </c>
      <c r="G337" s="233"/>
      <c r="H337" s="237">
        <v>14.42</v>
      </c>
      <c r="I337" s="238"/>
      <c r="J337" s="233"/>
      <c r="K337" s="233"/>
      <c r="L337" s="239"/>
      <c r="M337" s="240"/>
      <c r="N337" s="241"/>
      <c r="O337" s="241"/>
      <c r="P337" s="241"/>
      <c r="Q337" s="241"/>
      <c r="R337" s="241"/>
      <c r="S337" s="241"/>
      <c r="T337" s="242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T337" s="243" t="s">
        <v>165</v>
      </c>
      <c r="AU337" s="243" t="s">
        <v>86</v>
      </c>
      <c r="AV337" s="13" t="s">
        <v>86</v>
      </c>
      <c r="AW337" s="13" t="s">
        <v>4</v>
      </c>
      <c r="AX337" s="13" t="s">
        <v>8</v>
      </c>
      <c r="AY337" s="243" t="s">
        <v>157</v>
      </c>
    </row>
    <row r="338" s="12" customFormat="1" ht="22.8" customHeight="1">
      <c r="A338" s="12"/>
      <c r="B338" s="202"/>
      <c r="C338" s="203"/>
      <c r="D338" s="204" t="s">
        <v>76</v>
      </c>
      <c r="E338" s="216" t="s">
        <v>190</v>
      </c>
      <c r="F338" s="216" t="s">
        <v>437</v>
      </c>
      <c r="G338" s="203"/>
      <c r="H338" s="203"/>
      <c r="I338" s="206"/>
      <c r="J338" s="217">
        <f>BK338</f>
        <v>0</v>
      </c>
      <c r="K338" s="203"/>
      <c r="L338" s="208"/>
      <c r="M338" s="209"/>
      <c r="N338" s="210"/>
      <c r="O338" s="210"/>
      <c r="P338" s="211">
        <f>SUM(P339:P344)</f>
        <v>0</v>
      </c>
      <c r="Q338" s="210"/>
      <c r="R338" s="211">
        <f>SUM(R339:R344)</f>
        <v>3203.0474948499996</v>
      </c>
      <c r="S338" s="210"/>
      <c r="T338" s="212">
        <f>SUM(T339:T344)</f>
        <v>0</v>
      </c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R338" s="213" t="s">
        <v>8</v>
      </c>
      <c r="AT338" s="214" t="s">
        <v>76</v>
      </c>
      <c r="AU338" s="214" t="s">
        <v>8</v>
      </c>
      <c r="AY338" s="213" t="s">
        <v>157</v>
      </c>
      <c r="BK338" s="215">
        <f>SUM(BK339:BK344)</f>
        <v>0</v>
      </c>
    </row>
    <row r="339" s="2" customFormat="1" ht="33" customHeight="1">
      <c r="A339" s="37"/>
      <c r="B339" s="38"/>
      <c r="C339" s="218" t="s">
        <v>766</v>
      </c>
      <c r="D339" s="218" t="s">
        <v>159</v>
      </c>
      <c r="E339" s="219" t="s">
        <v>491</v>
      </c>
      <c r="F339" s="220" t="s">
        <v>492</v>
      </c>
      <c r="G339" s="221" t="s">
        <v>162</v>
      </c>
      <c r="H339" s="222">
        <v>1267.595</v>
      </c>
      <c r="I339" s="223"/>
      <c r="J339" s="224">
        <f>ROUND(I339*H339,0)</f>
        <v>0</v>
      </c>
      <c r="K339" s="225"/>
      <c r="L339" s="43"/>
      <c r="M339" s="226" t="s">
        <v>1</v>
      </c>
      <c r="N339" s="227" t="s">
        <v>42</v>
      </c>
      <c r="O339" s="90"/>
      <c r="P339" s="228">
        <f>O339*H339</f>
        <v>0</v>
      </c>
      <c r="Q339" s="228">
        <v>2.5018699999999998</v>
      </c>
      <c r="R339" s="228">
        <f>Q339*H339</f>
        <v>3171.3579026499997</v>
      </c>
      <c r="S339" s="228">
        <v>0</v>
      </c>
      <c r="T339" s="229">
        <f>S339*H339</f>
        <v>0</v>
      </c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R339" s="230" t="s">
        <v>163</v>
      </c>
      <c r="AT339" s="230" t="s">
        <v>159</v>
      </c>
      <c r="AU339" s="230" t="s">
        <v>86</v>
      </c>
      <c r="AY339" s="16" t="s">
        <v>157</v>
      </c>
      <c r="BE339" s="231">
        <f>IF(N339="základní",J339,0)</f>
        <v>0</v>
      </c>
      <c r="BF339" s="231">
        <f>IF(N339="snížená",J339,0)</f>
        <v>0</v>
      </c>
      <c r="BG339" s="231">
        <f>IF(N339="zákl. přenesená",J339,0)</f>
        <v>0</v>
      </c>
      <c r="BH339" s="231">
        <f>IF(N339="sníž. přenesená",J339,0)</f>
        <v>0</v>
      </c>
      <c r="BI339" s="231">
        <f>IF(N339="nulová",J339,0)</f>
        <v>0</v>
      </c>
      <c r="BJ339" s="16" t="s">
        <v>8</v>
      </c>
      <c r="BK339" s="231">
        <f>ROUND(I339*H339,0)</f>
        <v>0</v>
      </c>
      <c r="BL339" s="16" t="s">
        <v>163</v>
      </c>
      <c r="BM339" s="230" t="s">
        <v>2534</v>
      </c>
    </row>
    <row r="340" s="13" customFormat="1">
      <c r="A340" s="13"/>
      <c r="B340" s="232"/>
      <c r="C340" s="233"/>
      <c r="D340" s="234" t="s">
        <v>165</v>
      </c>
      <c r="E340" s="235" t="s">
        <v>1</v>
      </c>
      <c r="F340" s="236" t="s">
        <v>2535</v>
      </c>
      <c r="G340" s="233"/>
      <c r="H340" s="237">
        <v>1267.595</v>
      </c>
      <c r="I340" s="238"/>
      <c r="J340" s="233"/>
      <c r="K340" s="233"/>
      <c r="L340" s="239"/>
      <c r="M340" s="240"/>
      <c r="N340" s="241"/>
      <c r="O340" s="241"/>
      <c r="P340" s="241"/>
      <c r="Q340" s="241"/>
      <c r="R340" s="241"/>
      <c r="S340" s="241"/>
      <c r="T340" s="242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T340" s="243" t="s">
        <v>165</v>
      </c>
      <c r="AU340" s="243" t="s">
        <v>86</v>
      </c>
      <c r="AV340" s="13" t="s">
        <v>86</v>
      </c>
      <c r="AW340" s="13" t="s">
        <v>32</v>
      </c>
      <c r="AX340" s="13" t="s">
        <v>77</v>
      </c>
      <c r="AY340" s="243" t="s">
        <v>157</v>
      </c>
    </row>
    <row r="341" s="2" customFormat="1" ht="24.15" customHeight="1">
      <c r="A341" s="37"/>
      <c r="B341" s="38"/>
      <c r="C341" s="218" t="s">
        <v>771</v>
      </c>
      <c r="D341" s="218" t="s">
        <v>159</v>
      </c>
      <c r="E341" s="219" t="s">
        <v>1894</v>
      </c>
      <c r="F341" s="220" t="s">
        <v>1895</v>
      </c>
      <c r="G341" s="221" t="s">
        <v>162</v>
      </c>
      <c r="H341" s="222">
        <v>1267.5250000000001</v>
      </c>
      <c r="I341" s="223"/>
      <c r="J341" s="224">
        <f>ROUND(I341*H341,0)</f>
        <v>0</v>
      </c>
      <c r="K341" s="225"/>
      <c r="L341" s="43"/>
      <c r="M341" s="226" t="s">
        <v>1</v>
      </c>
      <c r="N341" s="227" t="s">
        <v>42</v>
      </c>
      <c r="O341" s="90"/>
      <c r="P341" s="228">
        <f>O341*H341</f>
        <v>0</v>
      </c>
      <c r="Q341" s="228">
        <v>0</v>
      </c>
      <c r="R341" s="228">
        <f>Q341*H341</f>
        <v>0</v>
      </c>
      <c r="S341" s="228">
        <v>0</v>
      </c>
      <c r="T341" s="229">
        <f>S341*H341</f>
        <v>0</v>
      </c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R341" s="230" t="s">
        <v>163</v>
      </c>
      <c r="AT341" s="230" t="s">
        <v>159</v>
      </c>
      <c r="AU341" s="230" t="s">
        <v>86</v>
      </c>
      <c r="AY341" s="16" t="s">
        <v>157</v>
      </c>
      <c r="BE341" s="231">
        <f>IF(N341="základní",J341,0)</f>
        <v>0</v>
      </c>
      <c r="BF341" s="231">
        <f>IF(N341="snížená",J341,0)</f>
        <v>0</v>
      </c>
      <c r="BG341" s="231">
        <f>IF(N341="zákl. přenesená",J341,0)</f>
        <v>0</v>
      </c>
      <c r="BH341" s="231">
        <f>IF(N341="sníž. přenesená",J341,0)</f>
        <v>0</v>
      </c>
      <c r="BI341" s="231">
        <f>IF(N341="nulová",J341,0)</f>
        <v>0</v>
      </c>
      <c r="BJ341" s="16" t="s">
        <v>8</v>
      </c>
      <c r="BK341" s="231">
        <f>ROUND(I341*H341,0)</f>
        <v>0</v>
      </c>
      <c r="BL341" s="16" t="s">
        <v>163</v>
      </c>
      <c r="BM341" s="230" t="s">
        <v>2536</v>
      </c>
    </row>
    <row r="342" s="2" customFormat="1" ht="24.15" customHeight="1">
      <c r="A342" s="37"/>
      <c r="B342" s="38"/>
      <c r="C342" s="218" t="s">
        <v>776</v>
      </c>
      <c r="D342" s="218" t="s">
        <v>159</v>
      </c>
      <c r="E342" s="219" t="s">
        <v>2537</v>
      </c>
      <c r="F342" s="220" t="s">
        <v>2538</v>
      </c>
      <c r="G342" s="221" t="s">
        <v>162</v>
      </c>
      <c r="H342" s="222">
        <v>1267.5250000000001</v>
      </c>
      <c r="I342" s="223"/>
      <c r="J342" s="224">
        <f>ROUND(I342*H342,0)</f>
        <v>0</v>
      </c>
      <c r="K342" s="225"/>
      <c r="L342" s="43"/>
      <c r="M342" s="226" t="s">
        <v>1</v>
      </c>
      <c r="N342" s="227" t="s">
        <v>42</v>
      </c>
      <c r="O342" s="90"/>
      <c r="P342" s="228">
        <f>O342*H342</f>
        <v>0</v>
      </c>
      <c r="Q342" s="228">
        <v>0.0040400000000000002</v>
      </c>
      <c r="R342" s="228">
        <f>Q342*H342</f>
        <v>5.120801000000001</v>
      </c>
      <c r="S342" s="228">
        <v>0</v>
      </c>
      <c r="T342" s="229">
        <f>S342*H342</f>
        <v>0</v>
      </c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R342" s="230" t="s">
        <v>163</v>
      </c>
      <c r="AT342" s="230" t="s">
        <v>159</v>
      </c>
      <c r="AU342" s="230" t="s">
        <v>86</v>
      </c>
      <c r="AY342" s="16" t="s">
        <v>157</v>
      </c>
      <c r="BE342" s="231">
        <f>IF(N342="základní",J342,0)</f>
        <v>0</v>
      </c>
      <c r="BF342" s="231">
        <f>IF(N342="snížená",J342,0)</f>
        <v>0</v>
      </c>
      <c r="BG342" s="231">
        <f>IF(N342="zákl. přenesená",J342,0)</f>
        <v>0</v>
      </c>
      <c r="BH342" s="231">
        <f>IF(N342="sníž. přenesená",J342,0)</f>
        <v>0</v>
      </c>
      <c r="BI342" s="231">
        <f>IF(N342="nulová",J342,0)</f>
        <v>0</v>
      </c>
      <c r="BJ342" s="16" t="s">
        <v>8</v>
      </c>
      <c r="BK342" s="231">
        <f>ROUND(I342*H342,0)</f>
        <v>0</v>
      </c>
      <c r="BL342" s="16" t="s">
        <v>163</v>
      </c>
      <c r="BM342" s="230" t="s">
        <v>2539</v>
      </c>
    </row>
    <row r="343" s="2" customFormat="1" ht="33" customHeight="1">
      <c r="A343" s="37"/>
      <c r="B343" s="38"/>
      <c r="C343" s="218" t="s">
        <v>781</v>
      </c>
      <c r="D343" s="218" t="s">
        <v>159</v>
      </c>
      <c r="E343" s="219" t="s">
        <v>2540</v>
      </c>
      <c r="F343" s="220" t="s">
        <v>2541</v>
      </c>
      <c r="G343" s="221" t="s">
        <v>209</v>
      </c>
      <c r="H343" s="222">
        <v>5070.3800000000001</v>
      </c>
      <c r="I343" s="223"/>
      <c r="J343" s="224">
        <f>ROUND(I343*H343,0)</f>
        <v>0</v>
      </c>
      <c r="K343" s="225"/>
      <c r="L343" s="43"/>
      <c r="M343" s="226" t="s">
        <v>1</v>
      </c>
      <c r="N343" s="227" t="s">
        <v>42</v>
      </c>
      <c r="O343" s="90"/>
      <c r="P343" s="228">
        <f>O343*H343</f>
        <v>0</v>
      </c>
      <c r="Q343" s="228">
        <v>0.0052399999999999999</v>
      </c>
      <c r="R343" s="228">
        <f>Q343*H343</f>
        <v>26.5687912</v>
      </c>
      <c r="S343" s="228">
        <v>0</v>
      </c>
      <c r="T343" s="229">
        <f>S343*H343</f>
        <v>0</v>
      </c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R343" s="230" t="s">
        <v>163</v>
      </c>
      <c r="AT343" s="230" t="s">
        <v>159</v>
      </c>
      <c r="AU343" s="230" t="s">
        <v>86</v>
      </c>
      <c r="AY343" s="16" t="s">
        <v>157</v>
      </c>
      <c r="BE343" s="231">
        <f>IF(N343="základní",J343,0)</f>
        <v>0</v>
      </c>
      <c r="BF343" s="231">
        <f>IF(N343="snížená",J343,0)</f>
        <v>0</v>
      </c>
      <c r="BG343" s="231">
        <f>IF(N343="zákl. přenesená",J343,0)</f>
        <v>0</v>
      </c>
      <c r="BH343" s="231">
        <f>IF(N343="sníž. přenesená",J343,0)</f>
        <v>0</v>
      </c>
      <c r="BI343" s="231">
        <f>IF(N343="nulová",J343,0)</f>
        <v>0</v>
      </c>
      <c r="BJ343" s="16" t="s">
        <v>8</v>
      </c>
      <c r="BK343" s="231">
        <f>ROUND(I343*H343,0)</f>
        <v>0</v>
      </c>
      <c r="BL343" s="16" t="s">
        <v>163</v>
      </c>
      <c r="BM343" s="230" t="s">
        <v>2542</v>
      </c>
    </row>
    <row r="344" s="13" customFormat="1">
      <c r="A344" s="13"/>
      <c r="B344" s="232"/>
      <c r="C344" s="233"/>
      <c r="D344" s="234" t="s">
        <v>165</v>
      </c>
      <c r="E344" s="235" t="s">
        <v>1</v>
      </c>
      <c r="F344" s="236" t="s">
        <v>2475</v>
      </c>
      <c r="G344" s="233"/>
      <c r="H344" s="237">
        <v>5070.3800000000001</v>
      </c>
      <c r="I344" s="238"/>
      <c r="J344" s="233"/>
      <c r="K344" s="233"/>
      <c r="L344" s="239"/>
      <c r="M344" s="240"/>
      <c r="N344" s="241"/>
      <c r="O344" s="241"/>
      <c r="P344" s="241"/>
      <c r="Q344" s="241"/>
      <c r="R344" s="241"/>
      <c r="S344" s="241"/>
      <c r="T344" s="242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T344" s="243" t="s">
        <v>165</v>
      </c>
      <c r="AU344" s="243" t="s">
        <v>86</v>
      </c>
      <c r="AV344" s="13" t="s">
        <v>86</v>
      </c>
      <c r="AW344" s="13" t="s">
        <v>32</v>
      </c>
      <c r="AX344" s="13" t="s">
        <v>77</v>
      </c>
      <c r="AY344" s="243" t="s">
        <v>157</v>
      </c>
    </row>
    <row r="345" s="12" customFormat="1" ht="22.8" customHeight="1">
      <c r="A345" s="12"/>
      <c r="B345" s="202"/>
      <c r="C345" s="203"/>
      <c r="D345" s="204" t="s">
        <v>76</v>
      </c>
      <c r="E345" s="216" t="s">
        <v>200</v>
      </c>
      <c r="F345" s="216" t="s">
        <v>2543</v>
      </c>
      <c r="G345" s="203"/>
      <c r="H345" s="203"/>
      <c r="I345" s="206"/>
      <c r="J345" s="217">
        <f>BK345</f>
        <v>0</v>
      </c>
      <c r="K345" s="203"/>
      <c r="L345" s="208"/>
      <c r="M345" s="209"/>
      <c r="N345" s="210"/>
      <c r="O345" s="210"/>
      <c r="P345" s="211">
        <f>SUM(P346:P354)</f>
        <v>0</v>
      </c>
      <c r="Q345" s="210"/>
      <c r="R345" s="211">
        <f>SUM(R346:R354)</f>
        <v>2.9240100000000004</v>
      </c>
      <c r="S345" s="210"/>
      <c r="T345" s="212">
        <f>SUM(T346:T354)</f>
        <v>0</v>
      </c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R345" s="213" t="s">
        <v>8</v>
      </c>
      <c r="AT345" s="214" t="s">
        <v>76</v>
      </c>
      <c r="AU345" s="214" t="s">
        <v>8</v>
      </c>
      <c r="AY345" s="213" t="s">
        <v>157</v>
      </c>
      <c r="BK345" s="215">
        <f>SUM(BK346:BK354)</f>
        <v>0</v>
      </c>
    </row>
    <row r="346" s="2" customFormat="1" ht="24.15" customHeight="1">
      <c r="A346" s="37"/>
      <c r="B346" s="38"/>
      <c r="C346" s="218" t="s">
        <v>788</v>
      </c>
      <c r="D346" s="218" t="s">
        <v>159</v>
      </c>
      <c r="E346" s="219" t="s">
        <v>2544</v>
      </c>
      <c r="F346" s="220" t="s">
        <v>2545</v>
      </c>
      <c r="G346" s="221" t="s">
        <v>565</v>
      </c>
      <c r="H346" s="222">
        <v>3</v>
      </c>
      <c r="I346" s="223"/>
      <c r="J346" s="224">
        <f>ROUND(I346*H346,0)</f>
        <v>0</v>
      </c>
      <c r="K346" s="225"/>
      <c r="L346" s="43"/>
      <c r="M346" s="226" t="s">
        <v>1</v>
      </c>
      <c r="N346" s="227" t="s">
        <v>42</v>
      </c>
      <c r="O346" s="90"/>
      <c r="P346" s="228">
        <f>O346*H346</f>
        <v>0</v>
      </c>
      <c r="Q346" s="228">
        <v>0.010189999999999999</v>
      </c>
      <c r="R346" s="228">
        <f>Q346*H346</f>
        <v>0.03057</v>
      </c>
      <c r="S346" s="228">
        <v>0</v>
      </c>
      <c r="T346" s="229">
        <f>S346*H346</f>
        <v>0</v>
      </c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R346" s="230" t="s">
        <v>163</v>
      </c>
      <c r="AT346" s="230" t="s">
        <v>159</v>
      </c>
      <c r="AU346" s="230" t="s">
        <v>86</v>
      </c>
      <c r="AY346" s="16" t="s">
        <v>157</v>
      </c>
      <c r="BE346" s="231">
        <f>IF(N346="základní",J346,0)</f>
        <v>0</v>
      </c>
      <c r="BF346" s="231">
        <f>IF(N346="snížená",J346,0)</f>
        <v>0</v>
      </c>
      <c r="BG346" s="231">
        <f>IF(N346="zákl. přenesená",J346,0)</f>
        <v>0</v>
      </c>
      <c r="BH346" s="231">
        <f>IF(N346="sníž. přenesená",J346,0)</f>
        <v>0</v>
      </c>
      <c r="BI346" s="231">
        <f>IF(N346="nulová",J346,0)</f>
        <v>0</v>
      </c>
      <c r="BJ346" s="16" t="s">
        <v>8</v>
      </c>
      <c r="BK346" s="231">
        <f>ROUND(I346*H346,0)</f>
        <v>0</v>
      </c>
      <c r="BL346" s="16" t="s">
        <v>163</v>
      </c>
      <c r="BM346" s="230" t="s">
        <v>2546</v>
      </c>
    </row>
    <row r="347" s="13" customFormat="1">
      <c r="A347" s="13"/>
      <c r="B347" s="232"/>
      <c r="C347" s="233"/>
      <c r="D347" s="234" t="s">
        <v>165</v>
      </c>
      <c r="E347" s="235" t="s">
        <v>1</v>
      </c>
      <c r="F347" s="236" t="s">
        <v>2447</v>
      </c>
      <c r="G347" s="233"/>
      <c r="H347" s="237">
        <v>3</v>
      </c>
      <c r="I347" s="238"/>
      <c r="J347" s="233"/>
      <c r="K347" s="233"/>
      <c r="L347" s="239"/>
      <c r="M347" s="240"/>
      <c r="N347" s="241"/>
      <c r="O347" s="241"/>
      <c r="P347" s="241"/>
      <c r="Q347" s="241"/>
      <c r="R347" s="241"/>
      <c r="S347" s="241"/>
      <c r="T347" s="242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T347" s="243" t="s">
        <v>165</v>
      </c>
      <c r="AU347" s="243" t="s">
        <v>86</v>
      </c>
      <c r="AV347" s="13" t="s">
        <v>86</v>
      </c>
      <c r="AW347" s="13" t="s">
        <v>32</v>
      </c>
      <c r="AX347" s="13" t="s">
        <v>77</v>
      </c>
      <c r="AY347" s="243" t="s">
        <v>157</v>
      </c>
    </row>
    <row r="348" s="2" customFormat="1" ht="21.75" customHeight="1">
      <c r="A348" s="37"/>
      <c r="B348" s="38"/>
      <c r="C348" s="254" t="s">
        <v>794</v>
      </c>
      <c r="D348" s="254" t="s">
        <v>229</v>
      </c>
      <c r="E348" s="255" t="s">
        <v>2547</v>
      </c>
      <c r="F348" s="256" t="s">
        <v>2548</v>
      </c>
      <c r="G348" s="257" t="s">
        <v>565</v>
      </c>
      <c r="H348" s="258">
        <v>3</v>
      </c>
      <c r="I348" s="259"/>
      <c r="J348" s="260">
        <f>ROUND(I348*H348,0)</f>
        <v>0</v>
      </c>
      <c r="K348" s="261"/>
      <c r="L348" s="262"/>
      <c r="M348" s="263" t="s">
        <v>1</v>
      </c>
      <c r="N348" s="264" t="s">
        <v>42</v>
      </c>
      <c r="O348" s="90"/>
      <c r="P348" s="228">
        <f>O348*H348</f>
        <v>0</v>
      </c>
      <c r="Q348" s="228">
        <v>0.254</v>
      </c>
      <c r="R348" s="228">
        <f>Q348*H348</f>
        <v>0.76200000000000001</v>
      </c>
      <c r="S348" s="228">
        <v>0</v>
      </c>
      <c r="T348" s="229">
        <f>S348*H348</f>
        <v>0</v>
      </c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R348" s="230" t="s">
        <v>200</v>
      </c>
      <c r="AT348" s="230" t="s">
        <v>229</v>
      </c>
      <c r="AU348" s="230" t="s">
        <v>86</v>
      </c>
      <c r="AY348" s="16" t="s">
        <v>157</v>
      </c>
      <c r="BE348" s="231">
        <f>IF(N348="základní",J348,0)</f>
        <v>0</v>
      </c>
      <c r="BF348" s="231">
        <f>IF(N348="snížená",J348,0)</f>
        <v>0</v>
      </c>
      <c r="BG348" s="231">
        <f>IF(N348="zákl. přenesená",J348,0)</f>
        <v>0</v>
      </c>
      <c r="BH348" s="231">
        <f>IF(N348="sníž. přenesená",J348,0)</f>
        <v>0</v>
      </c>
      <c r="BI348" s="231">
        <f>IF(N348="nulová",J348,0)</f>
        <v>0</v>
      </c>
      <c r="BJ348" s="16" t="s">
        <v>8</v>
      </c>
      <c r="BK348" s="231">
        <f>ROUND(I348*H348,0)</f>
        <v>0</v>
      </c>
      <c r="BL348" s="16" t="s">
        <v>163</v>
      </c>
      <c r="BM348" s="230" t="s">
        <v>2549</v>
      </c>
    </row>
    <row r="349" s="2" customFormat="1" ht="24.15" customHeight="1">
      <c r="A349" s="37"/>
      <c r="B349" s="38"/>
      <c r="C349" s="218" t="s">
        <v>799</v>
      </c>
      <c r="D349" s="218" t="s">
        <v>159</v>
      </c>
      <c r="E349" s="219" t="s">
        <v>2550</v>
      </c>
      <c r="F349" s="220" t="s">
        <v>2551</v>
      </c>
      <c r="G349" s="221" t="s">
        <v>565</v>
      </c>
      <c r="H349" s="222">
        <v>3</v>
      </c>
      <c r="I349" s="223"/>
      <c r="J349" s="224">
        <f>ROUND(I349*H349,0)</f>
        <v>0</v>
      </c>
      <c r="K349" s="225"/>
      <c r="L349" s="43"/>
      <c r="M349" s="226" t="s">
        <v>1</v>
      </c>
      <c r="N349" s="227" t="s">
        <v>42</v>
      </c>
      <c r="O349" s="90"/>
      <c r="P349" s="228">
        <f>O349*H349</f>
        <v>0</v>
      </c>
      <c r="Q349" s="228">
        <v>0.01248</v>
      </c>
      <c r="R349" s="228">
        <f>Q349*H349</f>
        <v>0.037440000000000001</v>
      </c>
      <c r="S349" s="228">
        <v>0</v>
      </c>
      <c r="T349" s="229">
        <f>S349*H349</f>
        <v>0</v>
      </c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R349" s="230" t="s">
        <v>163</v>
      </c>
      <c r="AT349" s="230" t="s">
        <v>159</v>
      </c>
      <c r="AU349" s="230" t="s">
        <v>86</v>
      </c>
      <c r="AY349" s="16" t="s">
        <v>157</v>
      </c>
      <c r="BE349" s="231">
        <f>IF(N349="základní",J349,0)</f>
        <v>0</v>
      </c>
      <c r="BF349" s="231">
        <f>IF(N349="snížená",J349,0)</f>
        <v>0</v>
      </c>
      <c r="BG349" s="231">
        <f>IF(N349="zákl. přenesená",J349,0)</f>
        <v>0</v>
      </c>
      <c r="BH349" s="231">
        <f>IF(N349="sníž. přenesená",J349,0)</f>
        <v>0</v>
      </c>
      <c r="BI349" s="231">
        <f>IF(N349="nulová",J349,0)</f>
        <v>0</v>
      </c>
      <c r="BJ349" s="16" t="s">
        <v>8</v>
      </c>
      <c r="BK349" s="231">
        <f>ROUND(I349*H349,0)</f>
        <v>0</v>
      </c>
      <c r="BL349" s="16" t="s">
        <v>163</v>
      </c>
      <c r="BM349" s="230" t="s">
        <v>2552</v>
      </c>
    </row>
    <row r="350" s="13" customFormat="1">
      <c r="A350" s="13"/>
      <c r="B350" s="232"/>
      <c r="C350" s="233"/>
      <c r="D350" s="234" t="s">
        <v>165</v>
      </c>
      <c r="E350" s="235" t="s">
        <v>1</v>
      </c>
      <c r="F350" s="236" t="s">
        <v>2447</v>
      </c>
      <c r="G350" s="233"/>
      <c r="H350" s="237">
        <v>3</v>
      </c>
      <c r="I350" s="238"/>
      <c r="J350" s="233"/>
      <c r="K350" s="233"/>
      <c r="L350" s="239"/>
      <c r="M350" s="240"/>
      <c r="N350" s="241"/>
      <c r="O350" s="241"/>
      <c r="P350" s="241"/>
      <c r="Q350" s="241"/>
      <c r="R350" s="241"/>
      <c r="S350" s="241"/>
      <c r="T350" s="242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T350" s="243" t="s">
        <v>165</v>
      </c>
      <c r="AU350" s="243" t="s">
        <v>86</v>
      </c>
      <c r="AV350" s="13" t="s">
        <v>86</v>
      </c>
      <c r="AW350" s="13" t="s">
        <v>32</v>
      </c>
      <c r="AX350" s="13" t="s">
        <v>77</v>
      </c>
      <c r="AY350" s="243" t="s">
        <v>157</v>
      </c>
    </row>
    <row r="351" s="2" customFormat="1" ht="24.15" customHeight="1">
      <c r="A351" s="37"/>
      <c r="B351" s="38"/>
      <c r="C351" s="254" t="s">
        <v>805</v>
      </c>
      <c r="D351" s="254" t="s">
        <v>229</v>
      </c>
      <c r="E351" s="255" t="s">
        <v>2553</v>
      </c>
      <c r="F351" s="256" t="s">
        <v>2554</v>
      </c>
      <c r="G351" s="257" t="s">
        <v>565</v>
      </c>
      <c r="H351" s="258">
        <v>3</v>
      </c>
      <c r="I351" s="259"/>
      <c r="J351" s="260">
        <f>ROUND(I351*H351,0)</f>
        <v>0</v>
      </c>
      <c r="K351" s="261"/>
      <c r="L351" s="262"/>
      <c r="M351" s="263" t="s">
        <v>1</v>
      </c>
      <c r="N351" s="264" t="s">
        <v>42</v>
      </c>
      <c r="O351" s="90"/>
      <c r="P351" s="228">
        <f>O351*H351</f>
        <v>0</v>
      </c>
      <c r="Q351" s="228">
        <v>0.54800000000000004</v>
      </c>
      <c r="R351" s="228">
        <f>Q351*H351</f>
        <v>1.6440000000000001</v>
      </c>
      <c r="S351" s="228">
        <v>0</v>
      </c>
      <c r="T351" s="229">
        <f>S351*H351</f>
        <v>0</v>
      </c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R351" s="230" t="s">
        <v>200</v>
      </c>
      <c r="AT351" s="230" t="s">
        <v>229</v>
      </c>
      <c r="AU351" s="230" t="s">
        <v>86</v>
      </c>
      <c r="AY351" s="16" t="s">
        <v>157</v>
      </c>
      <c r="BE351" s="231">
        <f>IF(N351="základní",J351,0)</f>
        <v>0</v>
      </c>
      <c r="BF351" s="231">
        <f>IF(N351="snížená",J351,0)</f>
        <v>0</v>
      </c>
      <c r="BG351" s="231">
        <f>IF(N351="zákl. přenesená",J351,0)</f>
        <v>0</v>
      </c>
      <c r="BH351" s="231">
        <f>IF(N351="sníž. přenesená",J351,0)</f>
        <v>0</v>
      </c>
      <c r="BI351" s="231">
        <f>IF(N351="nulová",J351,0)</f>
        <v>0</v>
      </c>
      <c r="BJ351" s="16" t="s">
        <v>8</v>
      </c>
      <c r="BK351" s="231">
        <f>ROUND(I351*H351,0)</f>
        <v>0</v>
      </c>
      <c r="BL351" s="16" t="s">
        <v>163</v>
      </c>
      <c r="BM351" s="230" t="s">
        <v>2555</v>
      </c>
    </row>
    <row r="352" s="2" customFormat="1" ht="37.8" customHeight="1">
      <c r="A352" s="37"/>
      <c r="B352" s="38"/>
      <c r="C352" s="218" t="s">
        <v>811</v>
      </c>
      <c r="D352" s="218" t="s">
        <v>159</v>
      </c>
      <c r="E352" s="219" t="s">
        <v>2556</v>
      </c>
      <c r="F352" s="220" t="s">
        <v>2557</v>
      </c>
      <c r="G352" s="221" t="s">
        <v>565</v>
      </c>
      <c r="H352" s="222">
        <v>3</v>
      </c>
      <c r="I352" s="223"/>
      <c r="J352" s="224">
        <f>ROUND(I352*H352,0)</f>
        <v>0</v>
      </c>
      <c r="K352" s="225"/>
      <c r="L352" s="43"/>
      <c r="M352" s="226" t="s">
        <v>1</v>
      </c>
      <c r="N352" s="227" t="s">
        <v>42</v>
      </c>
      <c r="O352" s="90"/>
      <c r="P352" s="228">
        <f>O352*H352</f>
        <v>0</v>
      </c>
      <c r="Q352" s="228">
        <v>0.089999999999999997</v>
      </c>
      <c r="R352" s="228">
        <f>Q352*H352</f>
        <v>0.27000000000000002</v>
      </c>
      <c r="S352" s="228">
        <v>0</v>
      </c>
      <c r="T352" s="229">
        <f>S352*H352</f>
        <v>0</v>
      </c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R352" s="230" t="s">
        <v>163</v>
      </c>
      <c r="AT352" s="230" t="s">
        <v>159</v>
      </c>
      <c r="AU352" s="230" t="s">
        <v>86</v>
      </c>
      <c r="AY352" s="16" t="s">
        <v>157</v>
      </c>
      <c r="BE352" s="231">
        <f>IF(N352="základní",J352,0)</f>
        <v>0</v>
      </c>
      <c r="BF352" s="231">
        <f>IF(N352="snížená",J352,0)</f>
        <v>0</v>
      </c>
      <c r="BG352" s="231">
        <f>IF(N352="zákl. přenesená",J352,0)</f>
        <v>0</v>
      </c>
      <c r="BH352" s="231">
        <f>IF(N352="sníž. přenesená",J352,0)</f>
        <v>0</v>
      </c>
      <c r="BI352" s="231">
        <f>IF(N352="nulová",J352,0)</f>
        <v>0</v>
      </c>
      <c r="BJ352" s="16" t="s">
        <v>8</v>
      </c>
      <c r="BK352" s="231">
        <f>ROUND(I352*H352,0)</f>
        <v>0</v>
      </c>
      <c r="BL352" s="16" t="s">
        <v>163</v>
      </c>
      <c r="BM352" s="230" t="s">
        <v>2558</v>
      </c>
    </row>
    <row r="353" s="13" customFormat="1">
      <c r="A353" s="13"/>
      <c r="B353" s="232"/>
      <c r="C353" s="233"/>
      <c r="D353" s="234" t="s">
        <v>165</v>
      </c>
      <c r="E353" s="235" t="s">
        <v>1</v>
      </c>
      <c r="F353" s="236" t="s">
        <v>2447</v>
      </c>
      <c r="G353" s="233"/>
      <c r="H353" s="237">
        <v>3</v>
      </c>
      <c r="I353" s="238"/>
      <c r="J353" s="233"/>
      <c r="K353" s="233"/>
      <c r="L353" s="239"/>
      <c r="M353" s="240"/>
      <c r="N353" s="241"/>
      <c r="O353" s="241"/>
      <c r="P353" s="241"/>
      <c r="Q353" s="241"/>
      <c r="R353" s="241"/>
      <c r="S353" s="241"/>
      <c r="T353" s="242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T353" s="243" t="s">
        <v>165</v>
      </c>
      <c r="AU353" s="243" t="s">
        <v>86</v>
      </c>
      <c r="AV353" s="13" t="s">
        <v>86</v>
      </c>
      <c r="AW353" s="13" t="s">
        <v>32</v>
      </c>
      <c r="AX353" s="13" t="s">
        <v>77</v>
      </c>
      <c r="AY353" s="243" t="s">
        <v>157</v>
      </c>
    </row>
    <row r="354" s="2" customFormat="1" ht="24.15" customHeight="1">
      <c r="A354" s="37"/>
      <c r="B354" s="38"/>
      <c r="C354" s="254" t="s">
        <v>816</v>
      </c>
      <c r="D354" s="254" t="s">
        <v>229</v>
      </c>
      <c r="E354" s="255" t="s">
        <v>2559</v>
      </c>
      <c r="F354" s="256" t="s">
        <v>2560</v>
      </c>
      <c r="G354" s="257" t="s">
        <v>565</v>
      </c>
      <c r="H354" s="258">
        <v>3</v>
      </c>
      <c r="I354" s="259"/>
      <c r="J354" s="260">
        <f>ROUND(I354*H354,0)</f>
        <v>0</v>
      </c>
      <c r="K354" s="261"/>
      <c r="L354" s="262"/>
      <c r="M354" s="263" t="s">
        <v>1</v>
      </c>
      <c r="N354" s="264" t="s">
        <v>42</v>
      </c>
      <c r="O354" s="90"/>
      <c r="P354" s="228">
        <f>O354*H354</f>
        <v>0</v>
      </c>
      <c r="Q354" s="228">
        <v>0.059999999999999998</v>
      </c>
      <c r="R354" s="228">
        <f>Q354*H354</f>
        <v>0.17999999999999999</v>
      </c>
      <c r="S354" s="228">
        <v>0</v>
      </c>
      <c r="T354" s="229">
        <f>S354*H354</f>
        <v>0</v>
      </c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R354" s="230" t="s">
        <v>200</v>
      </c>
      <c r="AT354" s="230" t="s">
        <v>229</v>
      </c>
      <c r="AU354" s="230" t="s">
        <v>86</v>
      </c>
      <c r="AY354" s="16" t="s">
        <v>157</v>
      </c>
      <c r="BE354" s="231">
        <f>IF(N354="základní",J354,0)</f>
        <v>0</v>
      </c>
      <c r="BF354" s="231">
        <f>IF(N354="snížená",J354,0)</f>
        <v>0</v>
      </c>
      <c r="BG354" s="231">
        <f>IF(N354="zákl. přenesená",J354,0)</f>
        <v>0</v>
      </c>
      <c r="BH354" s="231">
        <f>IF(N354="sníž. přenesená",J354,0)</f>
        <v>0</v>
      </c>
      <c r="BI354" s="231">
        <f>IF(N354="nulová",J354,0)</f>
        <v>0</v>
      </c>
      <c r="BJ354" s="16" t="s">
        <v>8</v>
      </c>
      <c r="BK354" s="231">
        <f>ROUND(I354*H354,0)</f>
        <v>0</v>
      </c>
      <c r="BL354" s="16" t="s">
        <v>163</v>
      </c>
      <c r="BM354" s="230" t="s">
        <v>2561</v>
      </c>
    </row>
    <row r="355" s="12" customFormat="1" ht="22.8" customHeight="1">
      <c r="A355" s="12"/>
      <c r="B355" s="202"/>
      <c r="C355" s="203"/>
      <c r="D355" s="204" t="s">
        <v>76</v>
      </c>
      <c r="E355" s="216" t="s">
        <v>206</v>
      </c>
      <c r="F355" s="216" t="s">
        <v>587</v>
      </c>
      <c r="G355" s="203"/>
      <c r="H355" s="203"/>
      <c r="I355" s="206"/>
      <c r="J355" s="217">
        <f>BK355</f>
        <v>0</v>
      </c>
      <c r="K355" s="203"/>
      <c r="L355" s="208"/>
      <c r="M355" s="209"/>
      <c r="N355" s="210"/>
      <c r="O355" s="210"/>
      <c r="P355" s="211">
        <f>SUM(P356:P380)</f>
        <v>0</v>
      </c>
      <c r="Q355" s="210"/>
      <c r="R355" s="211">
        <f>SUM(R356:R380)</f>
        <v>623.17550352000001</v>
      </c>
      <c r="S355" s="210"/>
      <c r="T355" s="212">
        <f>SUM(T356:T380)</f>
        <v>18.132480000000001</v>
      </c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R355" s="213" t="s">
        <v>8</v>
      </c>
      <c r="AT355" s="214" t="s">
        <v>76</v>
      </c>
      <c r="AU355" s="214" t="s">
        <v>8</v>
      </c>
      <c r="AY355" s="213" t="s">
        <v>157</v>
      </c>
      <c r="BK355" s="215">
        <f>SUM(BK356:BK380)</f>
        <v>0</v>
      </c>
    </row>
    <row r="356" s="2" customFormat="1" ht="24.15" customHeight="1">
      <c r="A356" s="37"/>
      <c r="B356" s="38"/>
      <c r="C356" s="218" t="s">
        <v>822</v>
      </c>
      <c r="D356" s="218" t="s">
        <v>159</v>
      </c>
      <c r="E356" s="219" t="s">
        <v>2562</v>
      </c>
      <c r="F356" s="220" t="s">
        <v>2563</v>
      </c>
      <c r="G356" s="221" t="s">
        <v>353</v>
      </c>
      <c r="H356" s="222">
        <v>3</v>
      </c>
      <c r="I356" s="223"/>
      <c r="J356" s="224">
        <f>ROUND(I356*H356,0)</f>
        <v>0</v>
      </c>
      <c r="K356" s="225"/>
      <c r="L356" s="43"/>
      <c r="M356" s="226" t="s">
        <v>1</v>
      </c>
      <c r="N356" s="227" t="s">
        <v>42</v>
      </c>
      <c r="O356" s="90"/>
      <c r="P356" s="228">
        <f>O356*H356</f>
        <v>0</v>
      </c>
      <c r="Q356" s="228">
        <v>0</v>
      </c>
      <c r="R356" s="228">
        <f>Q356*H356</f>
        <v>0</v>
      </c>
      <c r="S356" s="228">
        <v>0</v>
      </c>
      <c r="T356" s="229">
        <f>S356*H356</f>
        <v>0</v>
      </c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R356" s="230" t="s">
        <v>163</v>
      </c>
      <c r="AT356" s="230" t="s">
        <v>159</v>
      </c>
      <c r="AU356" s="230" t="s">
        <v>86</v>
      </c>
      <c r="AY356" s="16" t="s">
        <v>157</v>
      </c>
      <c r="BE356" s="231">
        <f>IF(N356="základní",J356,0)</f>
        <v>0</v>
      </c>
      <c r="BF356" s="231">
        <f>IF(N356="snížená",J356,0)</f>
        <v>0</v>
      </c>
      <c r="BG356" s="231">
        <f>IF(N356="zákl. přenesená",J356,0)</f>
        <v>0</v>
      </c>
      <c r="BH356" s="231">
        <f>IF(N356="sníž. přenesená",J356,0)</f>
        <v>0</v>
      </c>
      <c r="BI356" s="231">
        <f>IF(N356="nulová",J356,0)</f>
        <v>0</v>
      </c>
      <c r="BJ356" s="16" t="s">
        <v>8</v>
      </c>
      <c r="BK356" s="231">
        <f>ROUND(I356*H356,0)</f>
        <v>0</v>
      </c>
      <c r="BL356" s="16" t="s">
        <v>163</v>
      </c>
      <c r="BM356" s="230" t="s">
        <v>2564</v>
      </c>
    </row>
    <row r="357" s="2" customFormat="1" ht="33" customHeight="1">
      <c r="A357" s="37"/>
      <c r="B357" s="38"/>
      <c r="C357" s="218" t="s">
        <v>827</v>
      </c>
      <c r="D357" s="218" t="s">
        <v>159</v>
      </c>
      <c r="E357" s="219" t="s">
        <v>2565</v>
      </c>
      <c r="F357" s="220" t="s">
        <v>2566</v>
      </c>
      <c r="G357" s="221" t="s">
        <v>216</v>
      </c>
      <c r="H357" s="222">
        <v>1223.05</v>
      </c>
      <c r="I357" s="223"/>
      <c r="J357" s="224">
        <f>ROUND(I357*H357,0)</f>
        <v>0</v>
      </c>
      <c r="K357" s="225"/>
      <c r="L357" s="43"/>
      <c r="M357" s="226" t="s">
        <v>1</v>
      </c>
      <c r="N357" s="227" t="s">
        <v>42</v>
      </c>
      <c r="O357" s="90"/>
      <c r="P357" s="228">
        <f>O357*H357</f>
        <v>0</v>
      </c>
      <c r="Q357" s="228">
        <v>0.16850000000000001</v>
      </c>
      <c r="R357" s="228">
        <f>Q357*H357</f>
        <v>206.08392499999999</v>
      </c>
      <c r="S357" s="228">
        <v>0</v>
      </c>
      <c r="T357" s="229">
        <f>S357*H357</f>
        <v>0</v>
      </c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R357" s="230" t="s">
        <v>163</v>
      </c>
      <c r="AT357" s="230" t="s">
        <v>159</v>
      </c>
      <c r="AU357" s="230" t="s">
        <v>86</v>
      </c>
      <c r="AY357" s="16" t="s">
        <v>157</v>
      </c>
      <c r="BE357" s="231">
        <f>IF(N357="základní",J357,0)</f>
        <v>0</v>
      </c>
      <c r="BF357" s="231">
        <f>IF(N357="snížená",J357,0)</f>
        <v>0</v>
      </c>
      <c r="BG357" s="231">
        <f>IF(N357="zákl. přenesená",J357,0)</f>
        <v>0</v>
      </c>
      <c r="BH357" s="231">
        <f>IF(N357="sníž. přenesená",J357,0)</f>
        <v>0</v>
      </c>
      <c r="BI357" s="231">
        <f>IF(N357="nulová",J357,0)</f>
        <v>0</v>
      </c>
      <c r="BJ357" s="16" t="s">
        <v>8</v>
      </c>
      <c r="BK357" s="231">
        <f>ROUND(I357*H357,0)</f>
        <v>0</v>
      </c>
      <c r="BL357" s="16" t="s">
        <v>163</v>
      </c>
      <c r="BM357" s="230" t="s">
        <v>2567</v>
      </c>
    </row>
    <row r="358" s="13" customFormat="1">
      <c r="A358" s="13"/>
      <c r="B358" s="232"/>
      <c r="C358" s="233"/>
      <c r="D358" s="234" t="s">
        <v>165</v>
      </c>
      <c r="E358" s="235" t="s">
        <v>1</v>
      </c>
      <c r="F358" s="236" t="s">
        <v>2568</v>
      </c>
      <c r="G358" s="233"/>
      <c r="H358" s="237">
        <v>1223.05</v>
      </c>
      <c r="I358" s="238"/>
      <c r="J358" s="233"/>
      <c r="K358" s="233"/>
      <c r="L358" s="239"/>
      <c r="M358" s="240"/>
      <c r="N358" s="241"/>
      <c r="O358" s="241"/>
      <c r="P358" s="241"/>
      <c r="Q358" s="241"/>
      <c r="R358" s="241"/>
      <c r="S358" s="241"/>
      <c r="T358" s="242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T358" s="243" t="s">
        <v>165</v>
      </c>
      <c r="AU358" s="243" t="s">
        <v>86</v>
      </c>
      <c r="AV358" s="13" t="s">
        <v>86</v>
      </c>
      <c r="AW358" s="13" t="s">
        <v>32</v>
      </c>
      <c r="AX358" s="13" t="s">
        <v>77</v>
      </c>
      <c r="AY358" s="243" t="s">
        <v>157</v>
      </c>
    </row>
    <row r="359" s="2" customFormat="1" ht="16.5" customHeight="1">
      <c r="A359" s="37"/>
      <c r="B359" s="38"/>
      <c r="C359" s="254" t="s">
        <v>833</v>
      </c>
      <c r="D359" s="254" t="s">
        <v>229</v>
      </c>
      <c r="E359" s="255" t="s">
        <v>2569</v>
      </c>
      <c r="F359" s="256" t="s">
        <v>2570</v>
      </c>
      <c r="G359" s="257" t="s">
        <v>216</v>
      </c>
      <c r="H359" s="258">
        <v>1165.9110000000001</v>
      </c>
      <c r="I359" s="259"/>
      <c r="J359" s="260">
        <f>ROUND(I359*H359,0)</f>
        <v>0</v>
      </c>
      <c r="K359" s="261"/>
      <c r="L359" s="262"/>
      <c r="M359" s="263" t="s">
        <v>1</v>
      </c>
      <c r="N359" s="264" t="s">
        <v>42</v>
      </c>
      <c r="O359" s="90"/>
      <c r="P359" s="228">
        <f>O359*H359</f>
        <v>0</v>
      </c>
      <c r="Q359" s="228">
        <v>0.10199999999999999</v>
      </c>
      <c r="R359" s="228">
        <f>Q359*H359</f>
        <v>118.922922</v>
      </c>
      <c r="S359" s="228">
        <v>0</v>
      </c>
      <c r="T359" s="229">
        <f>S359*H359</f>
        <v>0</v>
      </c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R359" s="230" t="s">
        <v>200</v>
      </c>
      <c r="AT359" s="230" t="s">
        <v>229</v>
      </c>
      <c r="AU359" s="230" t="s">
        <v>86</v>
      </c>
      <c r="AY359" s="16" t="s">
        <v>157</v>
      </c>
      <c r="BE359" s="231">
        <f>IF(N359="základní",J359,0)</f>
        <v>0</v>
      </c>
      <c r="BF359" s="231">
        <f>IF(N359="snížená",J359,0)</f>
        <v>0</v>
      </c>
      <c r="BG359" s="231">
        <f>IF(N359="zákl. přenesená",J359,0)</f>
        <v>0</v>
      </c>
      <c r="BH359" s="231">
        <f>IF(N359="sníž. přenesená",J359,0)</f>
        <v>0</v>
      </c>
      <c r="BI359" s="231">
        <f>IF(N359="nulová",J359,0)</f>
        <v>0</v>
      </c>
      <c r="BJ359" s="16" t="s">
        <v>8</v>
      </c>
      <c r="BK359" s="231">
        <f>ROUND(I359*H359,0)</f>
        <v>0</v>
      </c>
      <c r="BL359" s="16" t="s">
        <v>163</v>
      </c>
      <c r="BM359" s="230" t="s">
        <v>2571</v>
      </c>
    </row>
    <row r="360" s="13" customFormat="1">
      <c r="A360" s="13"/>
      <c r="B360" s="232"/>
      <c r="C360" s="233"/>
      <c r="D360" s="234" t="s">
        <v>165</v>
      </c>
      <c r="E360" s="235" t="s">
        <v>1</v>
      </c>
      <c r="F360" s="236" t="s">
        <v>2572</v>
      </c>
      <c r="G360" s="233"/>
      <c r="H360" s="237">
        <v>1143.05</v>
      </c>
      <c r="I360" s="238"/>
      <c r="J360" s="233"/>
      <c r="K360" s="233"/>
      <c r="L360" s="239"/>
      <c r="M360" s="240"/>
      <c r="N360" s="241"/>
      <c r="O360" s="241"/>
      <c r="P360" s="241"/>
      <c r="Q360" s="241"/>
      <c r="R360" s="241"/>
      <c r="S360" s="241"/>
      <c r="T360" s="242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T360" s="243" t="s">
        <v>165</v>
      </c>
      <c r="AU360" s="243" t="s">
        <v>86</v>
      </c>
      <c r="AV360" s="13" t="s">
        <v>86</v>
      </c>
      <c r="AW360" s="13" t="s">
        <v>32</v>
      </c>
      <c r="AX360" s="13" t="s">
        <v>8</v>
      </c>
      <c r="AY360" s="243" t="s">
        <v>157</v>
      </c>
    </row>
    <row r="361" s="13" customFormat="1">
      <c r="A361" s="13"/>
      <c r="B361" s="232"/>
      <c r="C361" s="233"/>
      <c r="D361" s="234" t="s">
        <v>165</v>
      </c>
      <c r="E361" s="233"/>
      <c r="F361" s="236" t="s">
        <v>2573</v>
      </c>
      <c r="G361" s="233"/>
      <c r="H361" s="237">
        <v>1165.9110000000001</v>
      </c>
      <c r="I361" s="238"/>
      <c r="J361" s="233"/>
      <c r="K361" s="233"/>
      <c r="L361" s="239"/>
      <c r="M361" s="240"/>
      <c r="N361" s="241"/>
      <c r="O361" s="241"/>
      <c r="P361" s="241"/>
      <c r="Q361" s="241"/>
      <c r="R361" s="241"/>
      <c r="S361" s="241"/>
      <c r="T361" s="242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T361" s="243" t="s">
        <v>165</v>
      </c>
      <c r="AU361" s="243" t="s">
        <v>86</v>
      </c>
      <c r="AV361" s="13" t="s">
        <v>86</v>
      </c>
      <c r="AW361" s="13" t="s">
        <v>4</v>
      </c>
      <c r="AX361" s="13" t="s">
        <v>8</v>
      </c>
      <c r="AY361" s="243" t="s">
        <v>157</v>
      </c>
    </row>
    <row r="362" s="2" customFormat="1" ht="24.15" customHeight="1">
      <c r="A362" s="37"/>
      <c r="B362" s="38"/>
      <c r="C362" s="254" t="s">
        <v>839</v>
      </c>
      <c r="D362" s="254" t="s">
        <v>229</v>
      </c>
      <c r="E362" s="255" t="s">
        <v>2574</v>
      </c>
      <c r="F362" s="256" t="s">
        <v>2575</v>
      </c>
      <c r="G362" s="257" t="s">
        <v>216</v>
      </c>
      <c r="H362" s="258">
        <v>81.599999999999994</v>
      </c>
      <c r="I362" s="259"/>
      <c r="J362" s="260">
        <f>ROUND(I362*H362,0)</f>
        <v>0</v>
      </c>
      <c r="K362" s="261"/>
      <c r="L362" s="262"/>
      <c r="M362" s="263" t="s">
        <v>1</v>
      </c>
      <c r="N362" s="264" t="s">
        <v>42</v>
      </c>
      <c r="O362" s="90"/>
      <c r="P362" s="228">
        <f>O362*H362</f>
        <v>0</v>
      </c>
      <c r="Q362" s="228">
        <v>0.128</v>
      </c>
      <c r="R362" s="228">
        <f>Q362*H362</f>
        <v>10.444799999999999</v>
      </c>
      <c r="S362" s="228">
        <v>0</v>
      </c>
      <c r="T362" s="229">
        <f>S362*H362</f>
        <v>0</v>
      </c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R362" s="230" t="s">
        <v>200</v>
      </c>
      <c r="AT362" s="230" t="s">
        <v>229</v>
      </c>
      <c r="AU362" s="230" t="s">
        <v>86</v>
      </c>
      <c r="AY362" s="16" t="s">
        <v>157</v>
      </c>
      <c r="BE362" s="231">
        <f>IF(N362="základní",J362,0)</f>
        <v>0</v>
      </c>
      <c r="BF362" s="231">
        <f>IF(N362="snížená",J362,0)</f>
        <v>0</v>
      </c>
      <c r="BG362" s="231">
        <f>IF(N362="zákl. přenesená",J362,0)</f>
        <v>0</v>
      </c>
      <c r="BH362" s="231">
        <f>IF(N362="sníž. přenesená",J362,0)</f>
        <v>0</v>
      </c>
      <c r="BI362" s="231">
        <f>IF(N362="nulová",J362,0)</f>
        <v>0</v>
      </c>
      <c r="BJ362" s="16" t="s">
        <v>8</v>
      </c>
      <c r="BK362" s="231">
        <f>ROUND(I362*H362,0)</f>
        <v>0</v>
      </c>
      <c r="BL362" s="16" t="s">
        <v>163</v>
      </c>
      <c r="BM362" s="230" t="s">
        <v>2576</v>
      </c>
    </row>
    <row r="363" s="13" customFormat="1">
      <c r="A363" s="13"/>
      <c r="B363" s="232"/>
      <c r="C363" s="233"/>
      <c r="D363" s="234" t="s">
        <v>165</v>
      </c>
      <c r="E363" s="235" t="s">
        <v>1</v>
      </c>
      <c r="F363" s="236" t="s">
        <v>599</v>
      </c>
      <c r="G363" s="233"/>
      <c r="H363" s="237">
        <v>80</v>
      </c>
      <c r="I363" s="238"/>
      <c r="J363" s="233"/>
      <c r="K363" s="233"/>
      <c r="L363" s="239"/>
      <c r="M363" s="240"/>
      <c r="N363" s="241"/>
      <c r="O363" s="241"/>
      <c r="P363" s="241"/>
      <c r="Q363" s="241"/>
      <c r="R363" s="241"/>
      <c r="S363" s="241"/>
      <c r="T363" s="242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T363" s="243" t="s">
        <v>165</v>
      </c>
      <c r="AU363" s="243" t="s">
        <v>86</v>
      </c>
      <c r="AV363" s="13" t="s">
        <v>86</v>
      </c>
      <c r="AW363" s="13" t="s">
        <v>32</v>
      </c>
      <c r="AX363" s="13" t="s">
        <v>8</v>
      </c>
      <c r="AY363" s="243" t="s">
        <v>157</v>
      </c>
    </row>
    <row r="364" s="13" customFormat="1">
      <c r="A364" s="13"/>
      <c r="B364" s="232"/>
      <c r="C364" s="233"/>
      <c r="D364" s="234" t="s">
        <v>165</v>
      </c>
      <c r="E364" s="233"/>
      <c r="F364" s="236" t="s">
        <v>2577</v>
      </c>
      <c r="G364" s="233"/>
      <c r="H364" s="237">
        <v>81.599999999999994</v>
      </c>
      <c r="I364" s="238"/>
      <c r="J364" s="233"/>
      <c r="K364" s="233"/>
      <c r="L364" s="239"/>
      <c r="M364" s="240"/>
      <c r="N364" s="241"/>
      <c r="O364" s="241"/>
      <c r="P364" s="241"/>
      <c r="Q364" s="241"/>
      <c r="R364" s="241"/>
      <c r="S364" s="241"/>
      <c r="T364" s="242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T364" s="243" t="s">
        <v>165</v>
      </c>
      <c r="AU364" s="243" t="s">
        <v>86</v>
      </c>
      <c r="AV364" s="13" t="s">
        <v>86</v>
      </c>
      <c r="AW364" s="13" t="s">
        <v>4</v>
      </c>
      <c r="AX364" s="13" t="s">
        <v>8</v>
      </c>
      <c r="AY364" s="243" t="s">
        <v>157</v>
      </c>
    </row>
    <row r="365" s="2" customFormat="1" ht="16.5" customHeight="1">
      <c r="A365" s="37"/>
      <c r="B365" s="38"/>
      <c r="C365" s="218" t="s">
        <v>843</v>
      </c>
      <c r="D365" s="218" t="s">
        <v>159</v>
      </c>
      <c r="E365" s="219" t="s">
        <v>2578</v>
      </c>
      <c r="F365" s="220" t="s">
        <v>2579</v>
      </c>
      <c r="G365" s="221" t="s">
        <v>216</v>
      </c>
      <c r="H365" s="222">
        <v>80</v>
      </c>
      <c r="I365" s="223"/>
      <c r="J365" s="224">
        <f>ROUND(I365*H365,0)</f>
        <v>0</v>
      </c>
      <c r="K365" s="225"/>
      <c r="L365" s="43"/>
      <c r="M365" s="226" t="s">
        <v>1</v>
      </c>
      <c r="N365" s="227" t="s">
        <v>42</v>
      </c>
      <c r="O365" s="90"/>
      <c r="P365" s="228">
        <f>O365*H365</f>
        <v>0</v>
      </c>
      <c r="Q365" s="228">
        <v>0</v>
      </c>
      <c r="R365" s="228">
        <f>Q365*H365</f>
        <v>0</v>
      </c>
      <c r="S365" s="228">
        <v>0</v>
      </c>
      <c r="T365" s="229">
        <f>S365*H365</f>
        <v>0</v>
      </c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R365" s="230" t="s">
        <v>163</v>
      </c>
      <c r="AT365" s="230" t="s">
        <v>159</v>
      </c>
      <c r="AU365" s="230" t="s">
        <v>86</v>
      </c>
      <c r="AY365" s="16" t="s">
        <v>157</v>
      </c>
      <c r="BE365" s="231">
        <f>IF(N365="základní",J365,0)</f>
        <v>0</v>
      </c>
      <c r="BF365" s="231">
        <f>IF(N365="snížená",J365,0)</f>
        <v>0</v>
      </c>
      <c r="BG365" s="231">
        <f>IF(N365="zákl. přenesená",J365,0)</f>
        <v>0</v>
      </c>
      <c r="BH365" s="231">
        <f>IF(N365="sníž. přenesená",J365,0)</f>
        <v>0</v>
      </c>
      <c r="BI365" s="231">
        <f>IF(N365="nulová",J365,0)</f>
        <v>0</v>
      </c>
      <c r="BJ365" s="16" t="s">
        <v>8</v>
      </c>
      <c r="BK365" s="231">
        <f>ROUND(I365*H365,0)</f>
        <v>0</v>
      </c>
      <c r="BL365" s="16" t="s">
        <v>163</v>
      </c>
      <c r="BM365" s="230" t="s">
        <v>2580</v>
      </c>
    </row>
    <row r="366" s="2" customFormat="1" ht="24.15" customHeight="1">
      <c r="A366" s="37"/>
      <c r="B366" s="38"/>
      <c r="C366" s="218" t="s">
        <v>849</v>
      </c>
      <c r="D366" s="218" t="s">
        <v>159</v>
      </c>
      <c r="E366" s="219" t="s">
        <v>2581</v>
      </c>
      <c r="F366" s="220" t="s">
        <v>2582</v>
      </c>
      <c r="G366" s="221" t="s">
        <v>216</v>
      </c>
      <c r="H366" s="222">
        <v>422.69999999999999</v>
      </c>
      <c r="I366" s="223"/>
      <c r="J366" s="224">
        <f>ROUND(I366*H366,0)</f>
        <v>0</v>
      </c>
      <c r="K366" s="225"/>
      <c r="L366" s="43"/>
      <c r="M366" s="226" t="s">
        <v>1</v>
      </c>
      <c r="N366" s="227" t="s">
        <v>42</v>
      </c>
      <c r="O366" s="90"/>
      <c r="P366" s="228">
        <f>O366*H366</f>
        <v>0</v>
      </c>
      <c r="Q366" s="228">
        <v>0.16370999999999999</v>
      </c>
      <c r="R366" s="228">
        <f>Q366*H366</f>
        <v>69.200216999999995</v>
      </c>
      <c r="S366" s="228">
        <v>0</v>
      </c>
      <c r="T366" s="229">
        <f>S366*H366</f>
        <v>0</v>
      </c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R366" s="230" t="s">
        <v>163</v>
      </c>
      <c r="AT366" s="230" t="s">
        <v>159</v>
      </c>
      <c r="AU366" s="230" t="s">
        <v>86</v>
      </c>
      <c r="AY366" s="16" t="s">
        <v>157</v>
      </c>
      <c r="BE366" s="231">
        <f>IF(N366="základní",J366,0)</f>
        <v>0</v>
      </c>
      <c r="BF366" s="231">
        <f>IF(N366="snížená",J366,0)</f>
        <v>0</v>
      </c>
      <c r="BG366" s="231">
        <f>IF(N366="zákl. přenesená",J366,0)</f>
        <v>0</v>
      </c>
      <c r="BH366" s="231">
        <f>IF(N366="sníž. přenesená",J366,0)</f>
        <v>0</v>
      </c>
      <c r="BI366" s="231">
        <f>IF(N366="nulová",J366,0)</f>
        <v>0</v>
      </c>
      <c r="BJ366" s="16" t="s">
        <v>8</v>
      </c>
      <c r="BK366" s="231">
        <f>ROUND(I366*H366,0)</f>
        <v>0</v>
      </c>
      <c r="BL366" s="16" t="s">
        <v>163</v>
      </c>
      <c r="BM366" s="230" t="s">
        <v>2583</v>
      </c>
    </row>
    <row r="367" s="13" customFormat="1">
      <c r="A367" s="13"/>
      <c r="B367" s="232"/>
      <c r="C367" s="233"/>
      <c r="D367" s="234" t="s">
        <v>165</v>
      </c>
      <c r="E367" s="235" t="s">
        <v>1</v>
      </c>
      <c r="F367" s="236" t="s">
        <v>2584</v>
      </c>
      <c r="G367" s="233"/>
      <c r="H367" s="237">
        <v>387.69999999999999</v>
      </c>
      <c r="I367" s="238"/>
      <c r="J367" s="233"/>
      <c r="K367" s="233"/>
      <c r="L367" s="239"/>
      <c r="M367" s="240"/>
      <c r="N367" s="241"/>
      <c r="O367" s="241"/>
      <c r="P367" s="241"/>
      <c r="Q367" s="241"/>
      <c r="R367" s="241"/>
      <c r="S367" s="241"/>
      <c r="T367" s="242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T367" s="243" t="s">
        <v>165</v>
      </c>
      <c r="AU367" s="243" t="s">
        <v>86</v>
      </c>
      <c r="AV367" s="13" t="s">
        <v>86</v>
      </c>
      <c r="AW367" s="13" t="s">
        <v>32</v>
      </c>
      <c r="AX367" s="13" t="s">
        <v>77</v>
      </c>
      <c r="AY367" s="243" t="s">
        <v>157</v>
      </c>
    </row>
    <row r="368" s="13" customFormat="1">
      <c r="A368" s="13"/>
      <c r="B368" s="232"/>
      <c r="C368" s="233"/>
      <c r="D368" s="234" t="s">
        <v>165</v>
      </c>
      <c r="E368" s="235" t="s">
        <v>1</v>
      </c>
      <c r="F368" s="236" t="s">
        <v>2585</v>
      </c>
      <c r="G368" s="233"/>
      <c r="H368" s="237">
        <v>35</v>
      </c>
      <c r="I368" s="238"/>
      <c r="J368" s="233"/>
      <c r="K368" s="233"/>
      <c r="L368" s="239"/>
      <c r="M368" s="240"/>
      <c r="N368" s="241"/>
      <c r="O368" s="241"/>
      <c r="P368" s="241"/>
      <c r="Q368" s="241"/>
      <c r="R368" s="241"/>
      <c r="S368" s="241"/>
      <c r="T368" s="242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T368" s="243" t="s">
        <v>165</v>
      </c>
      <c r="AU368" s="243" t="s">
        <v>86</v>
      </c>
      <c r="AV368" s="13" t="s">
        <v>86</v>
      </c>
      <c r="AW368" s="13" t="s">
        <v>32</v>
      </c>
      <c r="AX368" s="13" t="s">
        <v>77</v>
      </c>
      <c r="AY368" s="243" t="s">
        <v>157</v>
      </c>
    </row>
    <row r="369" s="2" customFormat="1" ht="24.15" customHeight="1">
      <c r="A369" s="37"/>
      <c r="B369" s="38"/>
      <c r="C369" s="254" t="s">
        <v>854</v>
      </c>
      <c r="D369" s="254" t="s">
        <v>229</v>
      </c>
      <c r="E369" s="255" t="s">
        <v>2586</v>
      </c>
      <c r="F369" s="256" t="s">
        <v>2587</v>
      </c>
      <c r="G369" s="257" t="s">
        <v>216</v>
      </c>
      <c r="H369" s="258">
        <v>431.154</v>
      </c>
      <c r="I369" s="259"/>
      <c r="J369" s="260">
        <f>ROUND(I369*H369,0)</f>
        <v>0</v>
      </c>
      <c r="K369" s="261"/>
      <c r="L369" s="262"/>
      <c r="M369" s="263" t="s">
        <v>1</v>
      </c>
      <c r="N369" s="264" t="s">
        <v>42</v>
      </c>
      <c r="O369" s="90"/>
      <c r="P369" s="228">
        <f>O369*H369</f>
        <v>0</v>
      </c>
      <c r="Q369" s="228">
        <v>0.14606</v>
      </c>
      <c r="R369" s="228">
        <f>Q369*H369</f>
        <v>62.974353239999999</v>
      </c>
      <c r="S369" s="228">
        <v>0</v>
      </c>
      <c r="T369" s="229">
        <f>S369*H369</f>
        <v>0</v>
      </c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R369" s="230" t="s">
        <v>200</v>
      </c>
      <c r="AT369" s="230" t="s">
        <v>229</v>
      </c>
      <c r="AU369" s="230" t="s">
        <v>86</v>
      </c>
      <c r="AY369" s="16" t="s">
        <v>157</v>
      </c>
      <c r="BE369" s="231">
        <f>IF(N369="základní",J369,0)</f>
        <v>0</v>
      </c>
      <c r="BF369" s="231">
        <f>IF(N369="snížená",J369,0)</f>
        <v>0</v>
      </c>
      <c r="BG369" s="231">
        <f>IF(N369="zákl. přenesená",J369,0)</f>
        <v>0</v>
      </c>
      <c r="BH369" s="231">
        <f>IF(N369="sníž. přenesená",J369,0)</f>
        <v>0</v>
      </c>
      <c r="BI369" s="231">
        <f>IF(N369="nulová",J369,0)</f>
        <v>0</v>
      </c>
      <c r="BJ369" s="16" t="s">
        <v>8</v>
      </c>
      <c r="BK369" s="231">
        <f>ROUND(I369*H369,0)</f>
        <v>0</v>
      </c>
      <c r="BL369" s="16" t="s">
        <v>163</v>
      </c>
      <c r="BM369" s="230" t="s">
        <v>2588</v>
      </c>
    </row>
    <row r="370" s="13" customFormat="1">
      <c r="A370" s="13"/>
      <c r="B370" s="232"/>
      <c r="C370" s="233"/>
      <c r="D370" s="234" t="s">
        <v>165</v>
      </c>
      <c r="E370" s="235" t="s">
        <v>1</v>
      </c>
      <c r="F370" s="236" t="s">
        <v>2589</v>
      </c>
      <c r="G370" s="233"/>
      <c r="H370" s="237">
        <v>422.69999999999999</v>
      </c>
      <c r="I370" s="238"/>
      <c r="J370" s="233"/>
      <c r="K370" s="233"/>
      <c r="L370" s="239"/>
      <c r="M370" s="240"/>
      <c r="N370" s="241"/>
      <c r="O370" s="241"/>
      <c r="P370" s="241"/>
      <c r="Q370" s="241"/>
      <c r="R370" s="241"/>
      <c r="S370" s="241"/>
      <c r="T370" s="242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T370" s="243" t="s">
        <v>165</v>
      </c>
      <c r="AU370" s="243" t="s">
        <v>86</v>
      </c>
      <c r="AV370" s="13" t="s">
        <v>86</v>
      </c>
      <c r="AW370" s="13" t="s">
        <v>32</v>
      </c>
      <c r="AX370" s="13" t="s">
        <v>8</v>
      </c>
      <c r="AY370" s="243" t="s">
        <v>157</v>
      </c>
    </row>
    <row r="371" s="13" customFormat="1">
      <c r="A371" s="13"/>
      <c r="B371" s="232"/>
      <c r="C371" s="233"/>
      <c r="D371" s="234" t="s">
        <v>165</v>
      </c>
      <c r="E371" s="233"/>
      <c r="F371" s="236" t="s">
        <v>2590</v>
      </c>
      <c r="G371" s="233"/>
      <c r="H371" s="237">
        <v>431.154</v>
      </c>
      <c r="I371" s="238"/>
      <c r="J371" s="233"/>
      <c r="K371" s="233"/>
      <c r="L371" s="239"/>
      <c r="M371" s="240"/>
      <c r="N371" s="241"/>
      <c r="O371" s="241"/>
      <c r="P371" s="241"/>
      <c r="Q371" s="241"/>
      <c r="R371" s="241"/>
      <c r="S371" s="241"/>
      <c r="T371" s="242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T371" s="243" t="s">
        <v>165</v>
      </c>
      <c r="AU371" s="243" t="s">
        <v>86</v>
      </c>
      <c r="AV371" s="13" t="s">
        <v>86</v>
      </c>
      <c r="AW371" s="13" t="s">
        <v>4</v>
      </c>
      <c r="AX371" s="13" t="s">
        <v>8</v>
      </c>
      <c r="AY371" s="243" t="s">
        <v>157</v>
      </c>
    </row>
    <row r="372" s="2" customFormat="1" ht="24.15" customHeight="1">
      <c r="A372" s="37"/>
      <c r="B372" s="38"/>
      <c r="C372" s="218" t="s">
        <v>860</v>
      </c>
      <c r="D372" s="218" t="s">
        <v>159</v>
      </c>
      <c r="E372" s="219" t="s">
        <v>2591</v>
      </c>
      <c r="F372" s="220" t="s">
        <v>2592</v>
      </c>
      <c r="G372" s="221" t="s">
        <v>162</v>
      </c>
      <c r="H372" s="222">
        <v>36.692</v>
      </c>
      <c r="I372" s="223"/>
      <c r="J372" s="224">
        <f>ROUND(I372*H372,0)</f>
        <v>0</v>
      </c>
      <c r="K372" s="225"/>
      <c r="L372" s="43"/>
      <c r="M372" s="226" t="s">
        <v>1</v>
      </c>
      <c r="N372" s="227" t="s">
        <v>42</v>
      </c>
      <c r="O372" s="90"/>
      <c r="P372" s="228">
        <f>O372*H372</f>
        <v>0</v>
      </c>
      <c r="Q372" s="228">
        <v>2.2563399999999998</v>
      </c>
      <c r="R372" s="228">
        <f>Q372*H372</f>
        <v>82.789627279999991</v>
      </c>
      <c r="S372" s="228">
        <v>0</v>
      </c>
      <c r="T372" s="229">
        <f>S372*H372</f>
        <v>0</v>
      </c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R372" s="230" t="s">
        <v>163</v>
      </c>
      <c r="AT372" s="230" t="s">
        <v>159</v>
      </c>
      <c r="AU372" s="230" t="s">
        <v>86</v>
      </c>
      <c r="AY372" s="16" t="s">
        <v>157</v>
      </c>
      <c r="BE372" s="231">
        <f>IF(N372="základní",J372,0)</f>
        <v>0</v>
      </c>
      <c r="BF372" s="231">
        <f>IF(N372="snížená",J372,0)</f>
        <v>0</v>
      </c>
      <c r="BG372" s="231">
        <f>IF(N372="zákl. přenesená",J372,0)</f>
        <v>0</v>
      </c>
      <c r="BH372" s="231">
        <f>IF(N372="sníž. přenesená",J372,0)</f>
        <v>0</v>
      </c>
      <c r="BI372" s="231">
        <f>IF(N372="nulová",J372,0)</f>
        <v>0</v>
      </c>
      <c r="BJ372" s="16" t="s">
        <v>8</v>
      </c>
      <c r="BK372" s="231">
        <f>ROUND(I372*H372,0)</f>
        <v>0</v>
      </c>
      <c r="BL372" s="16" t="s">
        <v>163</v>
      </c>
      <c r="BM372" s="230" t="s">
        <v>2593</v>
      </c>
    </row>
    <row r="373" s="13" customFormat="1">
      <c r="A373" s="13"/>
      <c r="B373" s="232"/>
      <c r="C373" s="233"/>
      <c r="D373" s="234" t="s">
        <v>165</v>
      </c>
      <c r="E373" s="235" t="s">
        <v>1</v>
      </c>
      <c r="F373" s="236" t="s">
        <v>2594</v>
      </c>
      <c r="G373" s="233"/>
      <c r="H373" s="237">
        <v>36.692</v>
      </c>
      <c r="I373" s="238"/>
      <c r="J373" s="233"/>
      <c r="K373" s="233"/>
      <c r="L373" s="239"/>
      <c r="M373" s="240"/>
      <c r="N373" s="241"/>
      <c r="O373" s="241"/>
      <c r="P373" s="241"/>
      <c r="Q373" s="241"/>
      <c r="R373" s="241"/>
      <c r="S373" s="241"/>
      <c r="T373" s="242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T373" s="243" t="s">
        <v>165</v>
      </c>
      <c r="AU373" s="243" t="s">
        <v>86</v>
      </c>
      <c r="AV373" s="13" t="s">
        <v>86</v>
      </c>
      <c r="AW373" s="13" t="s">
        <v>32</v>
      </c>
      <c r="AX373" s="13" t="s">
        <v>77</v>
      </c>
      <c r="AY373" s="243" t="s">
        <v>157</v>
      </c>
    </row>
    <row r="374" s="2" customFormat="1" ht="24.15" customHeight="1">
      <c r="A374" s="37"/>
      <c r="B374" s="38"/>
      <c r="C374" s="218" t="s">
        <v>864</v>
      </c>
      <c r="D374" s="218" t="s">
        <v>159</v>
      </c>
      <c r="E374" s="219" t="s">
        <v>2595</v>
      </c>
      <c r="F374" s="220" t="s">
        <v>2596</v>
      </c>
      <c r="G374" s="221" t="s">
        <v>209</v>
      </c>
      <c r="H374" s="222">
        <v>2713.9000000000001</v>
      </c>
      <c r="I374" s="223"/>
      <c r="J374" s="224">
        <f>ROUND(I374*H374,0)</f>
        <v>0</v>
      </c>
      <c r="K374" s="225"/>
      <c r="L374" s="43"/>
      <c r="M374" s="226" t="s">
        <v>1</v>
      </c>
      <c r="N374" s="227" t="s">
        <v>42</v>
      </c>
      <c r="O374" s="90"/>
      <c r="P374" s="228">
        <f>O374*H374</f>
        <v>0</v>
      </c>
      <c r="Q374" s="228">
        <v>0.02681</v>
      </c>
      <c r="R374" s="228">
        <f>Q374*H374</f>
        <v>72.759658999999999</v>
      </c>
      <c r="S374" s="228">
        <v>0</v>
      </c>
      <c r="T374" s="229">
        <f>S374*H374</f>
        <v>0</v>
      </c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R374" s="230" t="s">
        <v>163</v>
      </c>
      <c r="AT374" s="230" t="s">
        <v>159</v>
      </c>
      <c r="AU374" s="230" t="s">
        <v>86</v>
      </c>
      <c r="AY374" s="16" t="s">
        <v>157</v>
      </c>
      <c r="BE374" s="231">
        <f>IF(N374="základní",J374,0)</f>
        <v>0</v>
      </c>
      <c r="BF374" s="231">
        <f>IF(N374="snížená",J374,0)</f>
        <v>0</v>
      </c>
      <c r="BG374" s="231">
        <f>IF(N374="zákl. přenesená",J374,0)</f>
        <v>0</v>
      </c>
      <c r="BH374" s="231">
        <f>IF(N374="sníž. přenesená",J374,0)</f>
        <v>0</v>
      </c>
      <c r="BI374" s="231">
        <f>IF(N374="nulová",J374,0)</f>
        <v>0</v>
      </c>
      <c r="BJ374" s="16" t="s">
        <v>8</v>
      </c>
      <c r="BK374" s="231">
        <f>ROUND(I374*H374,0)</f>
        <v>0</v>
      </c>
      <c r="BL374" s="16" t="s">
        <v>163</v>
      </c>
      <c r="BM374" s="230" t="s">
        <v>2597</v>
      </c>
    </row>
    <row r="375" s="13" customFormat="1">
      <c r="A375" s="13"/>
      <c r="B375" s="232"/>
      <c r="C375" s="233"/>
      <c r="D375" s="234" t="s">
        <v>165</v>
      </c>
      <c r="E375" s="235" t="s">
        <v>1</v>
      </c>
      <c r="F375" s="236" t="s">
        <v>2598</v>
      </c>
      <c r="G375" s="233"/>
      <c r="H375" s="237">
        <v>2713.9000000000001</v>
      </c>
      <c r="I375" s="238"/>
      <c r="J375" s="233"/>
      <c r="K375" s="233"/>
      <c r="L375" s="239"/>
      <c r="M375" s="240"/>
      <c r="N375" s="241"/>
      <c r="O375" s="241"/>
      <c r="P375" s="241"/>
      <c r="Q375" s="241"/>
      <c r="R375" s="241"/>
      <c r="S375" s="241"/>
      <c r="T375" s="242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T375" s="243" t="s">
        <v>165</v>
      </c>
      <c r="AU375" s="243" t="s">
        <v>86</v>
      </c>
      <c r="AV375" s="13" t="s">
        <v>86</v>
      </c>
      <c r="AW375" s="13" t="s">
        <v>32</v>
      </c>
      <c r="AX375" s="13" t="s">
        <v>77</v>
      </c>
      <c r="AY375" s="243" t="s">
        <v>157</v>
      </c>
    </row>
    <row r="376" s="2" customFormat="1" ht="24.15" customHeight="1">
      <c r="A376" s="37"/>
      <c r="B376" s="38"/>
      <c r="C376" s="218" t="s">
        <v>868</v>
      </c>
      <c r="D376" s="218" t="s">
        <v>159</v>
      </c>
      <c r="E376" s="219" t="s">
        <v>2599</v>
      </c>
      <c r="F376" s="220" t="s">
        <v>2600</v>
      </c>
      <c r="G376" s="221" t="s">
        <v>565</v>
      </c>
      <c r="H376" s="222">
        <v>7</v>
      </c>
      <c r="I376" s="223"/>
      <c r="J376" s="224">
        <f>ROUND(I376*H376,0)</f>
        <v>0</v>
      </c>
      <c r="K376" s="225"/>
      <c r="L376" s="43"/>
      <c r="M376" s="226" t="s">
        <v>1</v>
      </c>
      <c r="N376" s="227" t="s">
        <v>42</v>
      </c>
      <c r="O376" s="90"/>
      <c r="P376" s="228">
        <f>O376*H376</f>
        <v>0</v>
      </c>
      <c r="Q376" s="228">
        <v>0</v>
      </c>
      <c r="R376" s="228">
        <f>Q376*H376</f>
        <v>0</v>
      </c>
      <c r="S376" s="228">
        <v>0.087999999999999995</v>
      </c>
      <c r="T376" s="229">
        <f>S376*H376</f>
        <v>0.61599999999999999</v>
      </c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R376" s="230" t="s">
        <v>163</v>
      </c>
      <c r="AT376" s="230" t="s">
        <v>159</v>
      </c>
      <c r="AU376" s="230" t="s">
        <v>86</v>
      </c>
      <c r="AY376" s="16" t="s">
        <v>157</v>
      </c>
      <c r="BE376" s="231">
        <f>IF(N376="základní",J376,0)</f>
        <v>0</v>
      </c>
      <c r="BF376" s="231">
        <f>IF(N376="snížená",J376,0)</f>
        <v>0</v>
      </c>
      <c r="BG376" s="231">
        <f>IF(N376="zákl. přenesená",J376,0)</f>
        <v>0</v>
      </c>
      <c r="BH376" s="231">
        <f>IF(N376="sníž. přenesená",J376,0)</f>
        <v>0</v>
      </c>
      <c r="BI376" s="231">
        <f>IF(N376="nulová",J376,0)</f>
        <v>0</v>
      </c>
      <c r="BJ376" s="16" t="s">
        <v>8</v>
      </c>
      <c r="BK376" s="231">
        <f>ROUND(I376*H376,0)</f>
        <v>0</v>
      </c>
      <c r="BL376" s="16" t="s">
        <v>163</v>
      </c>
      <c r="BM376" s="230" t="s">
        <v>2601</v>
      </c>
    </row>
    <row r="377" s="2" customFormat="1" ht="24.15" customHeight="1">
      <c r="A377" s="37"/>
      <c r="B377" s="38"/>
      <c r="C377" s="218" t="s">
        <v>876</v>
      </c>
      <c r="D377" s="218" t="s">
        <v>159</v>
      </c>
      <c r="E377" s="219" t="s">
        <v>2602</v>
      </c>
      <c r="F377" s="220" t="s">
        <v>2603</v>
      </c>
      <c r="G377" s="221" t="s">
        <v>565</v>
      </c>
      <c r="H377" s="222">
        <v>96</v>
      </c>
      <c r="I377" s="223"/>
      <c r="J377" s="224">
        <f>ROUND(I377*H377,0)</f>
        <v>0</v>
      </c>
      <c r="K377" s="225"/>
      <c r="L377" s="43"/>
      <c r="M377" s="226" t="s">
        <v>1</v>
      </c>
      <c r="N377" s="227" t="s">
        <v>42</v>
      </c>
      <c r="O377" s="90"/>
      <c r="P377" s="228">
        <f>O377*H377</f>
        <v>0</v>
      </c>
      <c r="Q377" s="228">
        <v>0</v>
      </c>
      <c r="R377" s="228">
        <f>Q377*H377</f>
        <v>0</v>
      </c>
      <c r="S377" s="228">
        <v>0.16500000000000001</v>
      </c>
      <c r="T377" s="229">
        <f>S377*H377</f>
        <v>15.84</v>
      </c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R377" s="230" t="s">
        <v>163</v>
      </c>
      <c r="AT377" s="230" t="s">
        <v>159</v>
      </c>
      <c r="AU377" s="230" t="s">
        <v>86</v>
      </c>
      <c r="AY377" s="16" t="s">
        <v>157</v>
      </c>
      <c r="BE377" s="231">
        <f>IF(N377="základní",J377,0)</f>
        <v>0</v>
      </c>
      <c r="BF377" s="231">
        <f>IF(N377="snížená",J377,0)</f>
        <v>0</v>
      </c>
      <c r="BG377" s="231">
        <f>IF(N377="zákl. přenesená",J377,0)</f>
        <v>0</v>
      </c>
      <c r="BH377" s="231">
        <f>IF(N377="sníž. přenesená",J377,0)</f>
        <v>0</v>
      </c>
      <c r="BI377" s="231">
        <f>IF(N377="nulová",J377,0)</f>
        <v>0</v>
      </c>
      <c r="BJ377" s="16" t="s">
        <v>8</v>
      </c>
      <c r="BK377" s="231">
        <f>ROUND(I377*H377,0)</f>
        <v>0</v>
      </c>
      <c r="BL377" s="16" t="s">
        <v>163</v>
      </c>
      <c r="BM377" s="230" t="s">
        <v>2604</v>
      </c>
    </row>
    <row r="378" s="2" customFormat="1" ht="24.15" customHeight="1">
      <c r="A378" s="37"/>
      <c r="B378" s="38"/>
      <c r="C378" s="218" t="s">
        <v>882</v>
      </c>
      <c r="D378" s="218" t="s">
        <v>159</v>
      </c>
      <c r="E378" s="219" t="s">
        <v>2605</v>
      </c>
      <c r="F378" s="220" t="s">
        <v>2606</v>
      </c>
      <c r="G378" s="221" t="s">
        <v>216</v>
      </c>
      <c r="H378" s="222">
        <v>276</v>
      </c>
      <c r="I378" s="223"/>
      <c r="J378" s="224">
        <f>ROUND(I378*H378,0)</f>
        <v>0</v>
      </c>
      <c r="K378" s="225"/>
      <c r="L378" s="43"/>
      <c r="M378" s="226" t="s">
        <v>1</v>
      </c>
      <c r="N378" s="227" t="s">
        <v>42</v>
      </c>
      <c r="O378" s="90"/>
      <c r="P378" s="228">
        <f>O378*H378</f>
        <v>0</v>
      </c>
      <c r="Q378" s="228">
        <v>0</v>
      </c>
      <c r="R378" s="228">
        <f>Q378*H378</f>
        <v>0</v>
      </c>
      <c r="S378" s="228">
        <v>0.00248</v>
      </c>
      <c r="T378" s="229">
        <f>S378*H378</f>
        <v>0.68447999999999998</v>
      </c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R378" s="230" t="s">
        <v>163</v>
      </c>
      <c r="AT378" s="230" t="s">
        <v>159</v>
      </c>
      <c r="AU378" s="230" t="s">
        <v>86</v>
      </c>
      <c r="AY378" s="16" t="s">
        <v>157</v>
      </c>
      <c r="BE378" s="231">
        <f>IF(N378="základní",J378,0)</f>
        <v>0</v>
      </c>
      <c r="BF378" s="231">
        <f>IF(N378="snížená",J378,0)</f>
        <v>0</v>
      </c>
      <c r="BG378" s="231">
        <f>IF(N378="zákl. přenesená",J378,0)</f>
        <v>0</v>
      </c>
      <c r="BH378" s="231">
        <f>IF(N378="sníž. přenesená",J378,0)</f>
        <v>0</v>
      </c>
      <c r="BI378" s="231">
        <f>IF(N378="nulová",J378,0)</f>
        <v>0</v>
      </c>
      <c r="BJ378" s="16" t="s">
        <v>8</v>
      </c>
      <c r="BK378" s="231">
        <f>ROUND(I378*H378,0)</f>
        <v>0</v>
      </c>
      <c r="BL378" s="16" t="s">
        <v>163</v>
      </c>
      <c r="BM378" s="230" t="s">
        <v>2607</v>
      </c>
    </row>
    <row r="379" s="2" customFormat="1" ht="16.5" customHeight="1">
      <c r="A379" s="37"/>
      <c r="B379" s="38"/>
      <c r="C379" s="218" t="s">
        <v>886</v>
      </c>
      <c r="D379" s="218" t="s">
        <v>159</v>
      </c>
      <c r="E379" s="219" t="s">
        <v>2608</v>
      </c>
      <c r="F379" s="220" t="s">
        <v>2609</v>
      </c>
      <c r="G379" s="221" t="s">
        <v>565</v>
      </c>
      <c r="H379" s="222">
        <v>1</v>
      </c>
      <c r="I379" s="223"/>
      <c r="J379" s="224">
        <f>ROUND(I379*H379,0)</f>
        <v>0</v>
      </c>
      <c r="K379" s="225"/>
      <c r="L379" s="43"/>
      <c r="M379" s="226" t="s">
        <v>1</v>
      </c>
      <c r="N379" s="227" t="s">
        <v>42</v>
      </c>
      <c r="O379" s="90"/>
      <c r="P379" s="228">
        <f>O379*H379</f>
        <v>0</v>
      </c>
      <c r="Q379" s="228">
        <v>0</v>
      </c>
      <c r="R379" s="228">
        <f>Q379*H379</f>
        <v>0</v>
      </c>
      <c r="S379" s="228">
        <v>0.192</v>
      </c>
      <c r="T379" s="229">
        <f>S379*H379</f>
        <v>0.192</v>
      </c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R379" s="230" t="s">
        <v>163</v>
      </c>
      <c r="AT379" s="230" t="s">
        <v>159</v>
      </c>
      <c r="AU379" s="230" t="s">
        <v>86</v>
      </c>
      <c r="AY379" s="16" t="s">
        <v>157</v>
      </c>
      <c r="BE379" s="231">
        <f>IF(N379="základní",J379,0)</f>
        <v>0</v>
      </c>
      <c r="BF379" s="231">
        <f>IF(N379="snížená",J379,0)</f>
        <v>0</v>
      </c>
      <c r="BG379" s="231">
        <f>IF(N379="zákl. přenesená",J379,0)</f>
        <v>0</v>
      </c>
      <c r="BH379" s="231">
        <f>IF(N379="sníž. přenesená",J379,0)</f>
        <v>0</v>
      </c>
      <c r="BI379" s="231">
        <f>IF(N379="nulová",J379,0)</f>
        <v>0</v>
      </c>
      <c r="BJ379" s="16" t="s">
        <v>8</v>
      </c>
      <c r="BK379" s="231">
        <f>ROUND(I379*H379,0)</f>
        <v>0</v>
      </c>
      <c r="BL379" s="16" t="s">
        <v>163</v>
      </c>
      <c r="BM379" s="230" t="s">
        <v>2610</v>
      </c>
    </row>
    <row r="380" s="2" customFormat="1" ht="21.75" customHeight="1">
      <c r="A380" s="37"/>
      <c r="B380" s="38"/>
      <c r="C380" s="218" t="s">
        <v>890</v>
      </c>
      <c r="D380" s="218" t="s">
        <v>159</v>
      </c>
      <c r="E380" s="219" t="s">
        <v>2611</v>
      </c>
      <c r="F380" s="220" t="s">
        <v>2612</v>
      </c>
      <c r="G380" s="221" t="s">
        <v>565</v>
      </c>
      <c r="H380" s="222">
        <v>2</v>
      </c>
      <c r="I380" s="223"/>
      <c r="J380" s="224">
        <f>ROUND(I380*H380,0)</f>
        <v>0</v>
      </c>
      <c r="K380" s="225"/>
      <c r="L380" s="43"/>
      <c r="M380" s="226" t="s">
        <v>1</v>
      </c>
      <c r="N380" s="227" t="s">
        <v>42</v>
      </c>
      <c r="O380" s="90"/>
      <c r="P380" s="228">
        <f>O380*H380</f>
        <v>0</v>
      </c>
      <c r="Q380" s="228">
        <v>0</v>
      </c>
      <c r="R380" s="228">
        <f>Q380*H380</f>
        <v>0</v>
      </c>
      <c r="S380" s="228">
        <v>0.40000000000000002</v>
      </c>
      <c r="T380" s="229">
        <f>S380*H380</f>
        <v>0.80000000000000004</v>
      </c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R380" s="230" t="s">
        <v>163</v>
      </c>
      <c r="AT380" s="230" t="s">
        <v>159</v>
      </c>
      <c r="AU380" s="230" t="s">
        <v>86</v>
      </c>
      <c r="AY380" s="16" t="s">
        <v>157</v>
      </c>
      <c r="BE380" s="231">
        <f>IF(N380="základní",J380,0)</f>
        <v>0</v>
      </c>
      <c r="BF380" s="231">
        <f>IF(N380="snížená",J380,0)</f>
        <v>0</v>
      </c>
      <c r="BG380" s="231">
        <f>IF(N380="zákl. přenesená",J380,0)</f>
        <v>0</v>
      </c>
      <c r="BH380" s="231">
        <f>IF(N380="sníž. přenesená",J380,0)</f>
        <v>0</v>
      </c>
      <c r="BI380" s="231">
        <f>IF(N380="nulová",J380,0)</f>
        <v>0</v>
      </c>
      <c r="BJ380" s="16" t="s">
        <v>8</v>
      </c>
      <c r="BK380" s="231">
        <f>ROUND(I380*H380,0)</f>
        <v>0</v>
      </c>
      <c r="BL380" s="16" t="s">
        <v>163</v>
      </c>
      <c r="BM380" s="230" t="s">
        <v>2613</v>
      </c>
    </row>
    <row r="381" s="12" customFormat="1" ht="22.8" customHeight="1">
      <c r="A381" s="12"/>
      <c r="B381" s="202"/>
      <c r="C381" s="203"/>
      <c r="D381" s="204" t="s">
        <v>76</v>
      </c>
      <c r="E381" s="216" t="s">
        <v>663</v>
      </c>
      <c r="F381" s="216" t="s">
        <v>2614</v>
      </c>
      <c r="G381" s="203"/>
      <c r="H381" s="203"/>
      <c r="I381" s="206"/>
      <c r="J381" s="217">
        <f>BK381</f>
        <v>0</v>
      </c>
      <c r="K381" s="203"/>
      <c r="L381" s="208"/>
      <c r="M381" s="209"/>
      <c r="N381" s="210"/>
      <c r="O381" s="210"/>
      <c r="P381" s="211">
        <f>P382</f>
        <v>0</v>
      </c>
      <c r="Q381" s="210"/>
      <c r="R381" s="211">
        <f>R382</f>
        <v>0</v>
      </c>
      <c r="S381" s="210"/>
      <c r="T381" s="212">
        <f>T382</f>
        <v>0</v>
      </c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R381" s="213" t="s">
        <v>8</v>
      </c>
      <c r="AT381" s="214" t="s">
        <v>76</v>
      </c>
      <c r="AU381" s="214" t="s">
        <v>8</v>
      </c>
      <c r="AY381" s="213" t="s">
        <v>157</v>
      </c>
      <c r="BK381" s="215">
        <f>BK382</f>
        <v>0</v>
      </c>
    </row>
    <row r="382" s="2" customFormat="1" ht="37.8" customHeight="1">
      <c r="A382" s="37"/>
      <c r="B382" s="38"/>
      <c r="C382" s="218" t="s">
        <v>894</v>
      </c>
      <c r="D382" s="218" t="s">
        <v>159</v>
      </c>
      <c r="E382" s="219" t="s">
        <v>2615</v>
      </c>
      <c r="F382" s="220" t="s">
        <v>2616</v>
      </c>
      <c r="G382" s="221" t="s">
        <v>353</v>
      </c>
      <c r="H382" s="222">
        <v>16</v>
      </c>
      <c r="I382" s="223"/>
      <c r="J382" s="224">
        <f>ROUND(I382*H382,0)</f>
        <v>0</v>
      </c>
      <c r="K382" s="225"/>
      <c r="L382" s="43"/>
      <c r="M382" s="226" t="s">
        <v>1</v>
      </c>
      <c r="N382" s="227" t="s">
        <v>42</v>
      </c>
      <c r="O382" s="90"/>
      <c r="P382" s="228">
        <f>O382*H382</f>
        <v>0</v>
      </c>
      <c r="Q382" s="228">
        <v>0</v>
      </c>
      <c r="R382" s="228">
        <f>Q382*H382</f>
        <v>0</v>
      </c>
      <c r="S382" s="228">
        <v>0</v>
      </c>
      <c r="T382" s="229">
        <f>S382*H382</f>
        <v>0</v>
      </c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R382" s="230" t="s">
        <v>163</v>
      </c>
      <c r="AT382" s="230" t="s">
        <v>159</v>
      </c>
      <c r="AU382" s="230" t="s">
        <v>86</v>
      </c>
      <c r="AY382" s="16" t="s">
        <v>157</v>
      </c>
      <c r="BE382" s="231">
        <f>IF(N382="základní",J382,0)</f>
        <v>0</v>
      </c>
      <c r="BF382" s="231">
        <f>IF(N382="snížená",J382,0)</f>
        <v>0</v>
      </c>
      <c r="BG382" s="231">
        <f>IF(N382="zákl. přenesená",J382,0)</f>
        <v>0</v>
      </c>
      <c r="BH382" s="231">
        <f>IF(N382="sníž. přenesená",J382,0)</f>
        <v>0</v>
      </c>
      <c r="BI382" s="231">
        <f>IF(N382="nulová",J382,0)</f>
        <v>0</v>
      </c>
      <c r="BJ382" s="16" t="s">
        <v>8</v>
      </c>
      <c r="BK382" s="231">
        <f>ROUND(I382*H382,0)</f>
        <v>0</v>
      </c>
      <c r="BL382" s="16" t="s">
        <v>163</v>
      </c>
      <c r="BM382" s="230" t="s">
        <v>2617</v>
      </c>
    </row>
    <row r="383" s="12" customFormat="1" ht="22.8" customHeight="1">
      <c r="A383" s="12"/>
      <c r="B383" s="202"/>
      <c r="C383" s="203"/>
      <c r="D383" s="204" t="s">
        <v>76</v>
      </c>
      <c r="E383" s="216" t="s">
        <v>2618</v>
      </c>
      <c r="F383" s="216" t="s">
        <v>2619</v>
      </c>
      <c r="G383" s="203"/>
      <c r="H383" s="203"/>
      <c r="I383" s="206"/>
      <c r="J383" s="217">
        <f>BK383</f>
        <v>0</v>
      </c>
      <c r="K383" s="203"/>
      <c r="L383" s="208"/>
      <c r="M383" s="209"/>
      <c r="N383" s="210"/>
      <c r="O383" s="210"/>
      <c r="P383" s="211">
        <f>SUM(P384:P385)</f>
        <v>0</v>
      </c>
      <c r="Q383" s="210"/>
      <c r="R383" s="211">
        <f>SUM(R384:R385)</f>
        <v>0</v>
      </c>
      <c r="S383" s="210"/>
      <c r="T383" s="212">
        <f>SUM(T384:T385)</f>
        <v>0</v>
      </c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R383" s="213" t="s">
        <v>8</v>
      </c>
      <c r="AT383" s="214" t="s">
        <v>76</v>
      </c>
      <c r="AU383" s="214" t="s">
        <v>8</v>
      </c>
      <c r="AY383" s="213" t="s">
        <v>157</v>
      </c>
      <c r="BK383" s="215">
        <f>SUM(BK384:BK385)</f>
        <v>0</v>
      </c>
    </row>
    <row r="384" s="2" customFormat="1" ht="24.15" customHeight="1">
      <c r="A384" s="37"/>
      <c r="B384" s="38"/>
      <c r="C384" s="218" t="s">
        <v>900</v>
      </c>
      <c r="D384" s="218" t="s">
        <v>159</v>
      </c>
      <c r="E384" s="219" t="s">
        <v>2620</v>
      </c>
      <c r="F384" s="220" t="s">
        <v>2621</v>
      </c>
      <c r="G384" s="221" t="s">
        <v>193</v>
      </c>
      <c r="H384" s="222">
        <v>25765.572</v>
      </c>
      <c r="I384" s="223"/>
      <c r="J384" s="224">
        <f>ROUND(I384*H384,0)</f>
        <v>0</v>
      </c>
      <c r="K384" s="225"/>
      <c r="L384" s="43"/>
      <c r="M384" s="226" t="s">
        <v>1</v>
      </c>
      <c r="N384" s="227" t="s">
        <v>42</v>
      </c>
      <c r="O384" s="90"/>
      <c r="P384" s="228">
        <f>O384*H384</f>
        <v>0</v>
      </c>
      <c r="Q384" s="228">
        <v>0</v>
      </c>
      <c r="R384" s="228">
        <f>Q384*H384</f>
        <v>0</v>
      </c>
      <c r="S384" s="228">
        <v>0</v>
      </c>
      <c r="T384" s="229">
        <f>S384*H384</f>
        <v>0</v>
      </c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R384" s="230" t="s">
        <v>163</v>
      </c>
      <c r="AT384" s="230" t="s">
        <v>159</v>
      </c>
      <c r="AU384" s="230" t="s">
        <v>86</v>
      </c>
      <c r="AY384" s="16" t="s">
        <v>157</v>
      </c>
      <c r="BE384" s="231">
        <f>IF(N384="základní",J384,0)</f>
        <v>0</v>
      </c>
      <c r="BF384" s="231">
        <f>IF(N384="snížená",J384,0)</f>
        <v>0</v>
      </c>
      <c r="BG384" s="231">
        <f>IF(N384="zákl. přenesená",J384,0)</f>
        <v>0</v>
      </c>
      <c r="BH384" s="231">
        <f>IF(N384="sníž. přenesená",J384,0)</f>
        <v>0</v>
      </c>
      <c r="BI384" s="231">
        <f>IF(N384="nulová",J384,0)</f>
        <v>0</v>
      </c>
      <c r="BJ384" s="16" t="s">
        <v>8</v>
      </c>
      <c r="BK384" s="231">
        <f>ROUND(I384*H384,0)</f>
        <v>0</v>
      </c>
      <c r="BL384" s="16" t="s">
        <v>163</v>
      </c>
      <c r="BM384" s="230" t="s">
        <v>2622</v>
      </c>
    </row>
    <row r="385" s="2" customFormat="1" ht="21.75" customHeight="1">
      <c r="A385" s="37"/>
      <c r="B385" s="38"/>
      <c r="C385" s="218" t="s">
        <v>904</v>
      </c>
      <c r="D385" s="218" t="s">
        <v>159</v>
      </c>
      <c r="E385" s="219" t="s">
        <v>2623</v>
      </c>
      <c r="F385" s="220" t="s">
        <v>2624</v>
      </c>
      <c r="G385" s="221" t="s">
        <v>193</v>
      </c>
      <c r="H385" s="222">
        <v>25765.572</v>
      </c>
      <c r="I385" s="223"/>
      <c r="J385" s="224">
        <f>ROUND(I385*H385,0)</f>
        <v>0</v>
      </c>
      <c r="K385" s="225"/>
      <c r="L385" s="43"/>
      <c r="M385" s="226" t="s">
        <v>1</v>
      </c>
      <c r="N385" s="227" t="s">
        <v>42</v>
      </c>
      <c r="O385" s="90"/>
      <c r="P385" s="228">
        <f>O385*H385</f>
        <v>0</v>
      </c>
      <c r="Q385" s="228">
        <v>0</v>
      </c>
      <c r="R385" s="228">
        <f>Q385*H385</f>
        <v>0</v>
      </c>
      <c r="S385" s="228">
        <v>0</v>
      </c>
      <c r="T385" s="229">
        <f>S385*H385</f>
        <v>0</v>
      </c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R385" s="230" t="s">
        <v>163</v>
      </c>
      <c r="AT385" s="230" t="s">
        <v>159</v>
      </c>
      <c r="AU385" s="230" t="s">
        <v>86</v>
      </c>
      <c r="AY385" s="16" t="s">
        <v>157</v>
      </c>
      <c r="BE385" s="231">
        <f>IF(N385="základní",J385,0)</f>
        <v>0</v>
      </c>
      <c r="BF385" s="231">
        <f>IF(N385="snížená",J385,0)</f>
        <v>0</v>
      </c>
      <c r="BG385" s="231">
        <f>IF(N385="zákl. přenesená",J385,0)</f>
        <v>0</v>
      </c>
      <c r="BH385" s="231">
        <f>IF(N385="sníž. přenesená",J385,0)</f>
        <v>0</v>
      </c>
      <c r="BI385" s="231">
        <f>IF(N385="nulová",J385,0)</f>
        <v>0</v>
      </c>
      <c r="BJ385" s="16" t="s">
        <v>8</v>
      </c>
      <c r="BK385" s="231">
        <f>ROUND(I385*H385,0)</f>
        <v>0</v>
      </c>
      <c r="BL385" s="16" t="s">
        <v>163</v>
      </c>
      <c r="BM385" s="230" t="s">
        <v>2625</v>
      </c>
    </row>
    <row r="386" s="12" customFormat="1" ht="22.8" customHeight="1">
      <c r="A386" s="12"/>
      <c r="B386" s="202"/>
      <c r="C386" s="203"/>
      <c r="D386" s="204" t="s">
        <v>76</v>
      </c>
      <c r="E386" s="216" t="s">
        <v>630</v>
      </c>
      <c r="F386" s="216" t="s">
        <v>631</v>
      </c>
      <c r="G386" s="203"/>
      <c r="H386" s="203"/>
      <c r="I386" s="206"/>
      <c r="J386" s="217">
        <f>BK386</f>
        <v>0</v>
      </c>
      <c r="K386" s="203"/>
      <c r="L386" s="208"/>
      <c r="M386" s="209"/>
      <c r="N386" s="210"/>
      <c r="O386" s="210"/>
      <c r="P386" s="211">
        <f>SUM(P387:P388)</f>
        <v>0</v>
      </c>
      <c r="Q386" s="210"/>
      <c r="R386" s="211">
        <f>SUM(R387:R388)</f>
        <v>0</v>
      </c>
      <c r="S386" s="210"/>
      <c r="T386" s="212">
        <f>SUM(T387:T388)</f>
        <v>0</v>
      </c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R386" s="213" t="s">
        <v>8</v>
      </c>
      <c r="AT386" s="214" t="s">
        <v>76</v>
      </c>
      <c r="AU386" s="214" t="s">
        <v>8</v>
      </c>
      <c r="AY386" s="213" t="s">
        <v>157</v>
      </c>
      <c r="BK386" s="215">
        <f>SUM(BK387:BK388)</f>
        <v>0</v>
      </c>
    </row>
    <row r="387" s="2" customFormat="1" ht="33" customHeight="1">
      <c r="A387" s="37"/>
      <c r="B387" s="38"/>
      <c r="C387" s="218" t="s">
        <v>908</v>
      </c>
      <c r="D387" s="218" t="s">
        <v>159</v>
      </c>
      <c r="E387" s="219" t="s">
        <v>2626</v>
      </c>
      <c r="F387" s="220" t="s">
        <v>2627</v>
      </c>
      <c r="G387" s="221" t="s">
        <v>193</v>
      </c>
      <c r="H387" s="222">
        <v>6311.5600000000004</v>
      </c>
      <c r="I387" s="223"/>
      <c r="J387" s="224">
        <f>ROUND(I387*H387,0)</f>
        <v>0</v>
      </c>
      <c r="K387" s="225"/>
      <c r="L387" s="43"/>
      <c r="M387" s="226" t="s">
        <v>1</v>
      </c>
      <c r="N387" s="227" t="s">
        <v>42</v>
      </c>
      <c r="O387" s="90"/>
      <c r="P387" s="228">
        <f>O387*H387</f>
        <v>0</v>
      </c>
      <c r="Q387" s="228">
        <v>0</v>
      </c>
      <c r="R387" s="228">
        <f>Q387*H387</f>
        <v>0</v>
      </c>
      <c r="S387" s="228">
        <v>0</v>
      </c>
      <c r="T387" s="229">
        <f>S387*H387</f>
        <v>0</v>
      </c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R387" s="230" t="s">
        <v>163</v>
      </c>
      <c r="AT387" s="230" t="s">
        <v>159</v>
      </c>
      <c r="AU387" s="230" t="s">
        <v>86</v>
      </c>
      <c r="AY387" s="16" t="s">
        <v>157</v>
      </c>
      <c r="BE387" s="231">
        <f>IF(N387="základní",J387,0)</f>
        <v>0</v>
      </c>
      <c r="BF387" s="231">
        <f>IF(N387="snížená",J387,0)</f>
        <v>0</v>
      </c>
      <c r="BG387" s="231">
        <f>IF(N387="zákl. přenesená",J387,0)</f>
        <v>0</v>
      </c>
      <c r="BH387" s="231">
        <f>IF(N387="sníž. přenesená",J387,0)</f>
        <v>0</v>
      </c>
      <c r="BI387" s="231">
        <f>IF(N387="nulová",J387,0)</f>
        <v>0</v>
      </c>
      <c r="BJ387" s="16" t="s">
        <v>8</v>
      </c>
      <c r="BK387" s="231">
        <f>ROUND(I387*H387,0)</f>
        <v>0</v>
      </c>
      <c r="BL387" s="16" t="s">
        <v>163</v>
      </c>
      <c r="BM387" s="230" t="s">
        <v>2628</v>
      </c>
    </row>
    <row r="388" s="2" customFormat="1" ht="33" customHeight="1">
      <c r="A388" s="37"/>
      <c r="B388" s="38"/>
      <c r="C388" s="218" t="s">
        <v>913</v>
      </c>
      <c r="D388" s="218" t="s">
        <v>159</v>
      </c>
      <c r="E388" s="219" t="s">
        <v>2629</v>
      </c>
      <c r="F388" s="220" t="s">
        <v>2630</v>
      </c>
      <c r="G388" s="221" t="s">
        <v>193</v>
      </c>
      <c r="H388" s="222">
        <v>6311.5600000000004</v>
      </c>
      <c r="I388" s="223"/>
      <c r="J388" s="224">
        <f>ROUND(I388*H388,0)</f>
        <v>0</v>
      </c>
      <c r="K388" s="225"/>
      <c r="L388" s="43"/>
      <c r="M388" s="266" t="s">
        <v>1</v>
      </c>
      <c r="N388" s="267" t="s">
        <v>42</v>
      </c>
      <c r="O388" s="268"/>
      <c r="P388" s="269">
        <f>O388*H388</f>
        <v>0</v>
      </c>
      <c r="Q388" s="269">
        <v>0</v>
      </c>
      <c r="R388" s="269">
        <f>Q388*H388</f>
        <v>0</v>
      </c>
      <c r="S388" s="269">
        <v>0</v>
      </c>
      <c r="T388" s="270">
        <f>S388*H388</f>
        <v>0</v>
      </c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R388" s="230" t="s">
        <v>163</v>
      </c>
      <c r="AT388" s="230" t="s">
        <v>159</v>
      </c>
      <c r="AU388" s="230" t="s">
        <v>86</v>
      </c>
      <c r="AY388" s="16" t="s">
        <v>157</v>
      </c>
      <c r="BE388" s="231">
        <f>IF(N388="základní",J388,0)</f>
        <v>0</v>
      </c>
      <c r="BF388" s="231">
        <f>IF(N388="snížená",J388,0)</f>
        <v>0</v>
      </c>
      <c r="BG388" s="231">
        <f>IF(N388="zákl. přenesená",J388,0)</f>
        <v>0</v>
      </c>
      <c r="BH388" s="231">
        <f>IF(N388="sníž. přenesená",J388,0)</f>
        <v>0</v>
      </c>
      <c r="BI388" s="231">
        <f>IF(N388="nulová",J388,0)</f>
        <v>0</v>
      </c>
      <c r="BJ388" s="16" t="s">
        <v>8</v>
      </c>
      <c r="BK388" s="231">
        <f>ROUND(I388*H388,0)</f>
        <v>0</v>
      </c>
      <c r="BL388" s="16" t="s">
        <v>163</v>
      </c>
      <c r="BM388" s="230" t="s">
        <v>2631</v>
      </c>
    </row>
    <row r="389" s="2" customFormat="1" ht="6.96" customHeight="1">
      <c r="A389" s="37"/>
      <c r="B389" s="65"/>
      <c r="C389" s="66"/>
      <c r="D389" s="66"/>
      <c r="E389" s="66"/>
      <c r="F389" s="66"/>
      <c r="G389" s="66"/>
      <c r="H389" s="66"/>
      <c r="I389" s="66"/>
      <c r="J389" s="66"/>
      <c r="K389" s="66"/>
      <c r="L389" s="43"/>
      <c r="M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</row>
  </sheetData>
  <sheetProtection sheet="1" autoFilter="0" formatColumns="0" formatRows="0" objects="1" scenarios="1" spinCount="100000" saltValue="ngys/7Fc+rz1cL8GvYIvSmpL5mCqIoatn6F5wbP5QEsmlBLktRPIPkA3DHye7y/qimqgscnaDUM5wYtdLBTAXg==" hashValue="/bpRcoCzSSbHXJnSFWaFm96ULFA45XcfUhgE8urOTdQsXxtW76hYHvsO2R5GllT/DRZpDUGXZ0UKQHb6ltivvg==" algorithmName="SHA-512" password="F695"/>
  <autoFilter ref="C129:K388"/>
  <mergeCells count="9">
    <mergeCell ref="E7:H7"/>
    <mergeCell ref="E9:H9"/>
    <mergeCell ref="E18:H18"/>
    <mergeCell ref="E27:H27"/>
    <mergeCell ref="E85:H85"/>
    <mergeCell ref="E87:H87"/>
    <mergeCell ref="E120:H120"/>
    <mergeCell ref="E122:H122"/>
    <mergeCell ref="L2:V2"/>
  </mergeCell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50.83203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hidden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6" t="s">
        <v>98</v>
      </c>
    </row>
    <row r="3" s="1" customFormat="1" ht="6.96" customHeight="1">
      <c r="B3" s="135"/>
      <c r="C3" s="136"/>
      <c r="D3" s="136"/>
      <c r="E3" s="136"/>
      <c r="F3" s="136"/>
      <c r="G3" s="136"/>
      <c r="H3" s="136"/>
      <c r="I3" s="136"/>
      <c r="J3" s="136"/>
      <c r="K3" s="136"/>
      <c r="L3" s="19"/>
      <c r="AT3" s="16" t="s">
        <v>86</v>
      </c>
    </row>
    <row r="4" s="1" customFormat="1" ht="24.96" customHeight="1">
      <c r="B4" s="19"/>
      <c r="D4" s="137" t="s">
        <v>108</v>
      </c>
      <c r="L4" s="19"/>
      <c r="M4" s="138" t="s">
        <v>11</v>
      </c>
      <c r="AT4" s="16" t="s">
        <v>4</v>
      </c>
    </row>
    <row r="5" s="1" customFormat="1" ht="6.96" customHeight="1">
      <c r="B5" s="19"/>
      <c r="L5" s="19"/>
    </row>
    <row r="6" s="1" customFormat="1" ht="12" customHeight="1">
      <c r="B6" s="19"/>
      <c r="D6" s="139" t="s">
        <v>17</v>
      </c>
      <c r="L6" s="19"/>
    </row>
    <row r="7" s="1" customFormat="1" ht="16.5" customHeight="1">
      <c r="B7" s="19"/>
      <c r="E7" s="140" t="str">
        <f>'Rekapitulace stavby'!K6</f>
        <v>Areál společnosti FORESTINA s.r.o. Horažďovice, Blatenská 587</v>
      </c>
      <c r="F7" s="139"/>
      <c r="G7" s="139"/>
      <c r="H7" s="139"/>
      <c r="L7" s="19"/>
    </row>
    <row r="8" s="2" customFormat="1" ht="12" customHeight="1">
      <c r="A8" s="37"/>
      <c r="B8" s="43"/>
      <c r="C8" s="37"/>
      <c r="D8" s="139" t="s">
        <v>109</v>
      </c>
      <c r="E8" s="37"/>
      <c r="F8" s="37"/>
      <c r="G8" s="37"/>
      <c r="H8" s="37"/>
      <c r="I8" s="37"/>
      <c r="J8" s="37"/>
      <c r="K8" s="37"/>
      <c r="L8" s="62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</row>
    <row r="9" s="2" customFormat="1" ht="16.5" customHeight="1">
      <c r="A9" s="37"/>
      <c r="B9" s="43"/>
      <c r="C9" s="37"/>
      <c r="D9" s="37"/>
      <c r="E9" s="141" t="s">
        <v>2632</v>
      </c>
      <c r="F9" s="37"/>
      <c r="G9" s="37"/>
      <c r="H9" s="37"/>
      <c r="I9" s="37"/>
      <c r="J9" s="37"/>
      <c r="K9" s="37"/>
      <c r="L9" s="62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</row>
    <row r="10" s="2" customFormat="1">
      <c r="A10" s="37"/>
      <c r="B10" s="43"/>
      <c r="C10" s="37"/>
      <c r="D10" s="37"/>
      <c r="E10" s="37"/>
      <c r="F10" s="37"/>
      <c r="G10" s="37"/>
      <c r="H10" s="37"/>
      <c r="I10" s="37"/>
      <c r="J10" s="37"/>
      <c r="K10" s="37"/>
      <c r="L10" s="62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</row>
    <row r="11" s="2" customFormat="1" ht="12" customHeight="1">
      <c r="A11" s="37"/>
      <c r="B11" s="43"/>
      <c r="C11" s="37"/>
      <c r="D11" s="139" t="s">
        <v>19</v>
      </c>
      <c r="E11" s="37"/>
      <c r="F11" s="142" t="s">
        <v>1</v>
      </c>
      <c r="G11" s="37"/>
      <c r="H11" s="37"/>
      <c r="I11" s="139" t="s">
        <v>20</v>
      </c>
      <c r="J11" s="142" t="s">
        <v>1</v>
      </c>
      <c r="K11" s="37"/>
      <c r="L11" s="62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</row>
    <row r="12" s="2" customFormat="1" ht="12" customHeight="1">
      <c r="A12" s="37"/>
      <c r="B12" s="43"/>
      <c r="C12" s="37"/>
      <c r="D12" s="139" t="s">
        <v>21</v>
      </c>
      <c r="E12" s="37"/>
      <c r="F12" s="142" t="s">
        <v>22</v>
      </c>
      <c r="G12" s="37"/>
      <c r="H12" s="37"/>
      <c r="I12" s="139" t="s">
        <v>23</v>
      </c>
      <c r="J12" s="143" t="str">
        <f>'Rekapitulace stavby'!AN8</f>
        <v>26. 11. 2025</v>
      </c>
      <c r="K12" s="37"/>
      <c r="L12" s="62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</row>
    <row r="13" s="2" customFormat="1" ht="10.8" customHeight="1">
      <c r="A13" s="37"/>
      <c r="B13" s="43"/>
      <c r="C13" s="37"/>
      <c r="D13" s="37"/>
      <c r="E13" s="37"/>
      <c r="F13" s="37"/>
      <c r="G13" s="37"/>
      <c r="H13" s="37"/>
      <c r="I13" s="37"/>
      <c r="J13" s="37"/>
      <c r="K13" s="37"/>
      <c r="L13" s="62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</row>
    <row r="14" s="2" customFormat="1" ht="12" customHeight="1">
      <c r="A14" s="37"/>
      <c r="B14" s="43"/>
      <c r="C14" s="37"/>
      <c r="D14" s="139" t="s">
        <v>25</v>
      </c>
      <c r="E14" s="37"/>
      <c r="F14" s="37"/>
      <c r="G14" s="37"/>
      <c r="H14" s="37"/>
      <c r="I14" s="139" t="s">
        <v>26</v>
      </c>
      <c r="J14" s="142" t="s">
        <v>1</v>
      </c>
      <c r="K14" s="37"/>
      <c r="L14" s="62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</row>
    <row r="15" s="2" customFormat="1" ht="18" customHeight="1">
      <c r="A15" s="37"/>
      <c r="B15" s="43"/>
      <c r="C15" s="37"/>
      <c r="D15" s="37"/>
      <c r="E15" s="142" t="s">
        <v>27</v>
      </c>
      <c r="F15" s="37"/>
      <c r="G15" s="37"/>
      <c r="H15" s="37"/>
      <c r="I15" s="139" t="s">
        <v>28</v>
      </c>
      <c r="J15" s="142" t="s">
        <v>1</v>
      </c>
      <c r="K15" s="37"/>
      <c r="L15" s="62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</row>
    <row r="16" s="2" customFormat="1" ht="6.96" customHeight="1">
      <c r="A16" s="37"/>
      <c r="B16" s="43"/>
      <c r="C16" s="37"/>
      <c r="D16" s="37"/>
      <c r="E16" s="37"/>
      <c r="F16" s="37"/>
      <c r="G16" s="37"/>
      <c r="H16" s="37"/>
      <c r="I16" s="37"/>
      <c r="J16" s="37"/>
      <c r="K16" s="37"/>
      <c r="L16" s="62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</row>
    <row r="17" s="2" customFormat="1" ht="12" customHeight="1">
      <c r="A17" s="37"/>
      <c r="B17" s="43"/>
      <c r="C17" s="37"/>
      <c r="D17" s="139" t="s">
        <v>29</v>
      </c>
      <c r="E17" s="37"/>
      <c r="F17" s="37"/>
      <c r="G17" s="37"/>
      <c r="H17" s="37"/>
      <c r="I17" s="139" t="s">
        <v>26</v>
      </c>
      <c r="J17" s="32" t="str">
        <f>'Rekapitulace stavby'!AN13</f>
        <v>Vyplň údaj</v>
      </c>
      <c r="K17" s="37"/>
      <c r="L17" s="62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</row>
    <row r="18" s="2" customFormat="1" ht="18" customHeight="1">
      <c r="A18" s="37"/>
      <c r="B18" s="43"/>
      <c r="C18" s="37"/>
      <c r="D18" s="37"/>
      <c r="E18" s="32" t="str">
        <f>'Rekapitulace stavby'!E14</f>
        <v>Vyplň údaj</v>
      </c>
      <c r="F18" s="142"/>
      <c r="G18" s="142"/>
      <c r="H18" s="142"/>
      <c r="I18" s="139" t="s">
        <v>28</v>
      </c>
      <c r="J18" s="32" t="str">
        <f>'Rekapitulace stavby'!AN14</f>
        <v>Vyplň údaj</v>
      </c>
      <c r="K18" s="37"/>
      <c r="L18" s="62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</row>
    <row r="19" s="2" customFormat="1" ht="6.96" customHeight="1">
      <c r="A19" s="37"/>
      <c r="B19" s="43"/>
      <c r="C19" s="37"/>
      <c r="D19" s="37"/>
      <c r="E19" s="37"/>
      <c r="F19" s="37"/>
      <c r="G19" s="37"/>
      <c r="H19" s="37"/>
      <c r="I19" s="37"/>
      <c r="J19" s="37"/>
      <c r="K19" s="37"/>
      <c r="L19" s="62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</row>
    <row r="20" s="2" customFormat="1" ht="12" customHeight="1">
      <c r="A20" s="37"/>
      <c r="B20" s="43"/>
      <c r="C20" s="37"/>
      <c r="D20" s="139" t="s">
        <v>31</v>
      </c>
      <c r="E20" s="37"/>
      <c r="F20" s="37"/>
      <c r="G20" s="37"/>
      <c r="H20" s="37"/>
      <c r="I20" s="139" t="s">
        <v>26</v>
      </c>
      <c r="J20" s="142" t="s">
        <v>1</v>
      </c>
      <c r="K20" s="37"/>
      <c r="L20" s="62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</row>
    <row r="21" s="2" customFormat="1" ht="18" customHeight="1">
      <c r="A21" s="37"/>
      <c r="B21" s="43"/>
      <c r="C21" s="37"/>
      <c r="D21" s="37"/>
      <c r="E21" s="142" t="s">
        <v>33</v>
      </c>
      <c r="F21" s="37"/>
      <c r="G21" s="37"/>
      <c r="H21" s="37"/>
      <c r="I21" s="139" t="s">
        <v>28</v>
      </c>
      <c r="J21" s="142" t="s">
        <v>1</v>
      </c>
      <c r="K21" s="37"/>
      <c r="L21" s="62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</row>
    <row r="22" s="2" customFormat="1" ht="6.96" customHeight="1">
      <c r="A22" s="37"/>
      <c r="B22" s="43"/>
      <c r="C22" s="37"/>
      <c r="D22" s="37"/>
      <c r="E22" s="37"/>
      <c r="F22" s="37"/>
      <c r="G22" s="37"/>
      <c r="H22" s="37"/>
      <c r="I22" s="37"/>
      <c r="J22" s="37"/>
      <c r="K22" s="37"/>
      <c r="L22" s="62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</row>
    <row r="23" s="2" customFormat="1" ht="12" customHeight="1">
      <c r="A23" s="37"/>
      <c r="B23" s="43"/>
      <c r="C23" s="37"/>
      <c r="D23" s="139" t="s">
        <v>34</v>
      </c>
      <c r="E23" s="37"/>
      <c r="F23" s="37"/>
      <c r="G23" s="37"/>
      <c r="H23" s="37"/>
      <c r="I23" s="139" t="s">
        <v>26</v>
      </c>
      <c r="J23" s="142" t="s">
        <v>1</v>
      </c>
      <c r="K23" s="37"/>
      <c r="L23" s="62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</row>
    <row r="24" s="2" customFormat="1" ht="18" customHeight="1">
      <c r="A24" s="37"/>
      <c r="B24" s="43"/>
      <c r="C24" s="37"/>
      <c r="D24" s="37"/>
      <c r="E24" s="142" t="s">
        <v>35</v>
      </c>
      <c r="F24" s="37"/>
      <c r="G24" s="37"/>
      <c r="H24" s="37"/>
      <c r="I24" s="139" t="s">
        <v>28</v>
      </c>
      <c r="J24" s="142" t="s">
        <v>1</v>
      </c>
      <c r="K24" s="37"/>
      <c r="L24" s="62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</row>
    <row r="25" s="2" customFormat="1" ht="6.96" customHeight="1">
      <c r="A25" s="37"/>
      <c r="B25" s="43"/>
      <c r="C25" s="37"/>
      <c r="D25" s="37"/>
      <c r="E25" s="37"/>
      <c r="F25" s="37"/>
      <c r="G25" s="37"/>
      <c r="H25" s="37"/>
      <c r="I25" s="37"/>
      <c r="J25" s="37"/>
      <c r="K25" s="37"/>
      <c r="L25" s="62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</row>
    <row r="26" s="2" customFormat="1" ht="12" customHeight="1">
      <c r="A26" s="37"/>
      <c r="B26" s="43"/>
      <c r="C26" s="37"/>
      <c r="D26" s="139" t="s">
        <v>36</v>
      </c>
      <c r="E26" s="37"/>
      <c r="F26" s="37"/>
      <c r="G26" s="37"/>
      <c r="H26" s="37"/>
      <c r="I26" s="37"/>
      <c r="J26" s="37"/>
      <c r="K26" s="37"/>
      <c r="L26" s="62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</row>
    <row r="27" s="8" customFormat="1" ht="16.5" customHeight="1">
      <c r="A27" s="144"/>
      <c r="B27" s="145"/>
      <c r="C27" s="144"/>
      <c r="D27" s="144"/>
      <c r="E27" s="146" t="s">
        <v>1</v>
      </c>
      <c r="F27" s="146"/>
      <c r="G27" s="146"/>
      <c r="H27" s="146"/>
      <c r="I27" s="144"/>
      <c r="J27" s="144"/>
      <c r="K27" s="144"/>
      <c r="L27" s="147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</row>
    <row r="28" s="2" customFormat="1" ht="6.96" customHeight="1">
      <c r="A28" s="37"/>
      <c r="B28" s="43"/>
      <c r="C28" s="37"/>
      <c r="D28" s="37"/>
      <c r="E28" s="37"/>
      <c r="F28" s="37"/>
      <c r="G28" s="37"/>
      <c r="H28" s="37"/>
      <c r="I28" s="37"/>
      <c r="J28" s="37"/>
      <c r="K28" s="37"/>
      <c r="L28" s="62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</row>
    <row r="29" s="2" customFormat="1" ht="6.96" customHeight="1">
      <c r="A29" s="37"/>
      <c r="B29" s="43"/>
      <c r="C29" s="37"/>
      <c r="D29" s="148"/>
      <c r="E29" s="148"/>
      <c r="F29" s="148"/>
      <c r="G29" s="148"/>
      <c r="H29" s="148"/>
      <c r="I29" s="148"/>
      <c r="J29" s="148"/>
      <c r="K29" s="148"/>
      <c r="L29" s="62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</row>
    <row r="30" s="2" customFormat="1" ht="25.44" customHeight="1">
      <c r="A30" s="37"/>
      <c r="B30" s="43"/>
      <c r="C30" s="37"/>
      <c r="D30" s="149" t="s">
        <v>37</v>
      </c>
      <c r="E30" s="37"/>
      <c r="F30" s="37"/>
      <c r="G30" s="37"/>
      <c r="H30" s="37"/>
      <c r="I30" s="37"/>
      <c r="J30" s="150">
        <f>ROUND(J124, 0)</f>
        <v>0</v>
      </c>
      <c r="K30" s="37"/>
      <c r="L30" s="62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</row>
    <row r="31" s="2" customFormat="1" ht="6.96" customHeight="1">
      <c r="A31" s="37"/>
      <c r="B31" s="43"/>
      <c r="C31" s="37"/>
      <c r="D31" s="148"/>
      <c r="E31" s="148"/>
      <c r="F31" s="148"/>
      <c r="G31" s="148"/>
      <c r="H31" s="148"/>
      <c r="I31" s="148"/>
      <c r="J31" s="148"/>
      <c r="K31" s="148"/>
      <c r="L31" s="62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</row>
    <row r="32" s="2" customFormat="1" ht="14.4" customHeight="1">
      <c r="A32" s="37"/>
      <c r="B32" s="43"/>
      <c r="C32" s="37"/>
      <c r="D32" s="37"/>
      <c r="E32" s="37"/>
      <c r="F32" s="151" t="s">
        <v>39</v>
      </c>
      <c r="G32" s="37"/>
      <c r="H32" s="37"/>
      <c r="I32" s="151" t="s">
        <v>38</v>
      </c>
      <c r="J32" s="151" t="s">
        <v>40</v>
      </c>
      <c r="K32" s="37"/>
      <c r="L32" s="62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</row>
    <row r="33" s="2" customFormat="1" ht="14.4" customHeight="1">
      <c r="A33" s="37"/>
      <c r="B33" s="43"/>
      <c r="C33" s="37"/>
      <c r="D33" s="152" t="s">
        <v>41</v>
      </c>
      <c r="E33" s="139" t="s">
        <v>42</v>
      </c>
      <c r="F33" s="153">
        <f>ROUND((SUM(BE124:BE186)),  0)</f>
        <v>0</v>
      </c>
      <c r="G33" s="37"/>
      <c r="H33" s="37"/>
      <c r="I33" s="154">
        <v>0.20999999999999999</v>
      </c>
      <c r="J33" s="153">
        <f>ROUND(((SUM(BE124:BE186))*I33),  0)</f>
        <v>0</v>
      </c>
      <c r="K33" s="37"/>
      <c r="L33" s="62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</row>
    <row r="34" s="2" customFormat="1" ht="14.4" customHeight="1">
      <c r="A34" s="37"/>
      <c r="B34" s="43"/>
      <c r="C34" s="37"/>
      <c r="D34" s="37"/>
      <c r="E34" s="139" t="s">
        <v>43</v>
      </c>
      <c r="F34" s="153">
        <f>ROUND((SUM(BF124:BF186)),  0)</f>
        <v>0</v>
      </c>
      <c r="G34" s="37"/>
      <c r="H34" s="37"/>
      <c r="I34" s="154">
        <v>0.12</v>
      </c>
      <c r="J34" s="153">
        <f>ROUND(((SUM(BF124:BF186))*I34),  0)</f>
        <v>0</v>
      </c>
      <c r="K34" s="37"/>
      <c r="L34" s="62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</row>
    <row r="35" hidden="1" s="2" customFormat="1" ht="14.4" customHeight="1">
      <c r="A35" s="37"/>
      <c r="B35" s="43"/>
      <c r="C35" s="37"/>
      <c r="D35" s="37"/>
      <c r="E35" s="139" t="s">
        <v>44</v>
      </c>
      <c r="F35" s="153">
        <f>ROUND((SUM(BG124:BG186)),  0)</f>
        <v>0</v>
      </c>
      <c r="G35" s="37"/>
      <c r="H35" s="37"/>
      <c r="I35" s="154">
        <v>0.20999999999999999</v>
      </c>
      <c r="J35" s="153">
        <f>0</f>
        <v>0</v>
      </c>
      <c r="K35" s="37"/>
      <c r="L35" s="62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</row>
    <row r="36" hidden="1" s="2" customFormat="1" ht="14.4" customHeight="1">
      <c r="A36" s="37"/>
      <c r="B36" s="43"/>
      <c r="C36" s="37"/>
      <c r="D36" s="37"/>
      <c r="E36" s="139" t="s">
        <v>45</v>
      </c>
      <c r="F36" s="153">
        <f>ROUND((SUM(BH124:BH186)),  0)</f>
        <v>0</v>
      </c>
      <c r="G36" s="37"/>
      <c r="H36" s="37"/>
      <c r="I36" s="154">
        <v>0.12</v>
      </c>
      <c r="J36" s="153">
        <f>0</f>
        <v>0</v>
      </c>
      <c r="K36" s="37"/>
      <c r="L36" s="62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</row>
    <row r="37" hidden="1" s="2" customFormat="1" ht="14.4" customHeight="1">
      <c r="A37" s="37"/>
      <c r="B37" s="43"/>
      <c r="C37" s="37"/>
      <c r="D37" s="37"/>
      <c r="E37" s="139" t="s">
        <v>46</v>
      </c>
      <c r="F37" s="153">
        <f>ROUND((SUM(BI124:BI186)),  0)</f>
        <v>0</v>
      </c>
      <c r="G37" s="37"/>
      <c r="H37" s="37"/>
      <c r="I37" s="154">
        <v>0</v>
      </c>
      <c r="J37" s="153">
        <f>0</f>
        <v>0</v>
      </c>
      <c r="K37" s="37"/>
      <c r="L37" s="62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</row>
    <row r="38" s="2" customFormat="1" ht="6.96" customHeight="1">
      <c r="A38" s="37"/>
      <c r="B38" s="43"/>
      <c r="C38" s="37"/>
      <c r="D38" s="37"/>
      <c r="E38" s="37"/>
      <c r="F38" s="37"/>
      <c r="G38" s="37"/>
      <c r="H38" s="37"/>
      <c r="I38" s="37"/>
      <c r="J38" s="37"/>
      <c r="K38" s="37"/>
      <c r="L38" s="62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</row>
    <row r="39" s="2" customFormat="1" ht="25.44" customHeight="1">
      <c r="A39" s="37"/>
      <c r="B39" s="43"/>
      <c r="C39" s="155"/>
      <c r="D39" s="156" t="s">
        <v>47</v>
      </c>
      <c r="E39" s="157"/>
      <c r="F39" s="157"/>
      <c r="G39" s="158" t="s">
        <v>48</v>
      </c>
      <c r="H39" s="159" t="s">
        <v>49</v>
      </c>
      <c r="I39" s="157"/>
      <c r="J39" s="160">
        <f>SUM(J30:J37)</f>
        <v>0</v>
      </c>
      <c r="K39" s="161"/>
      <c r="L39" s="62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</row>
    <row r="40" s="2" customFormat="1" ht="14.4" customHeight="1">
      <c r="A40" s="37"/>
      <c r="B40" s="43"/>
      <c r="C40" s="37"/>
      <c r="D40" s="37"/>
      <c r="E40" s="37"/>
      <c r="F40" s="37"/>
      <c r="G40" s="37"/>
      <c r="H40" s="37"/>
      <c r="I40" s="37"/>
      <c r="J40" s="37"/>
      <c r="K40" s="37"/>
      <c r="L40" s="62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</row>
    <row r="41" s="1" customFormat="1" ht="14.4" customHeight="1">
      <c r="B41" s="19"/>
      <c r="L41" s="19"/>
    </row>
    <row r="42" s="1" customFormat="1" ht="14.4" customHeight="1">
      <c r="B42" s="19"/>
      <c r="L42" s="19"/>
    </row>
    <row r="43" s="1" customFormat="1" ht="14.4" customHeight="1">
      <c r="B43" s="19"/>
      <c r="L43" s="19"/>
    </row>
    <row r="44" s="1" customFormat="1" ht="14.4" customHeight="1">
      <c r="B44" s="19"/>
      <c r="L44" s="19"/>
    </row>
    <row r="45" s="1" customFormat="1" ht="14.4" customHeight="1">
      <c r="B45" s="19"/>
      <c r="L45" s="19"/>
    </row>
    <row r="46" s="1" customFormat="1" ht="14.4" customHeight="1">
      <c r="B46" s="19"/>
      <c r="L46" s="19"/>
    </row>
    <row r="47" s="1" customFormat="1" ht="14.4" customHeight="1">
      <c r="B47" s="19"/>
      <c r="L47" s="19"/>
    </row>
    <row r="48" s="1" customFormat="1" ht="14.4" customHeight="1">
      <c r="B48" s="19"/>
      <c r="L48" s="19"/>
    </row>
    <row r="49" s="1" customFormat="1" ht="14.4" customHeight="1">
      <c r="B49" s="19"/>
      <c r="L49" s="19"/>
    </row>
    <row r="50" s="2" customFormat="1" ht="14.4" customHeight="1">
      <c r="B50" s="62"/>
      <c r="D50" s="162" t="s">
        <v>50</v>
      </c>
      <c r="E50" s="163"/>
      <c r="F50" s="163"/>
      <c r="G50" s="162" t="s">
        <v>51</v>
      </c>
      <c r="H50" s="163"/>
      <c r="I50" s="163"/>
      <c r="J50" s="163"/>
      <c r="K50" s="163"/>
      <c r="L50" s="62"/>
    </row>
    <row r="51">
      <c r="B51" s="19"/>
      <c r="L51" s="19"/>
    </row>
    <row r="52">
      <c r="B52" s="19"/>
      <c r="L52" s="19"/>
    </row>
    <row r="53">
      <c r="B53" s="19"/>
      <c r="L53" s="19"/>
    </row>
    <row r="54">
      <c r="B54" s="19"/>
      <c r="L54" s="19"/>
    </row>
    <row r="55">
      <c r="B55" s="19"/>
      <c r="L55" s="19"/>
    </row>
    <row r="56">
      <c r="B56" s="19"/>
      <c r="L56" s="19"/>
    </row>
    <row r="57">
      <c r="B57" s="19"/>
      <c r="L57" s="19"/>
    </row>
    <row r="58">
      <c r="B58" s="19"/>
      <c r="L58" s="19"/>
    </row>
    <row r="59">
      <c r="B59" s="19"/>
      <c r="L59" s="19"/>
    </row>
    <row r="60">
      <c r="B60" s="19"/>
      <c r="L60" s="19"/>
    </row>
    <row r="61" s="2" customFormat="1">
      <c r="A61" s="37"/>
      <c r="B61" s="43"/>
      <c r="C61" s="37"/>
      <c r="D61" s="164" t="s">
        <v>52</v>
      </c>
      <c r="E61" s="165"/>
      <c r="F61" s="166" t="s">
        <v>53</v>
      </c>
      <c r="G61" s="164" t="s">
        <v>52</v>
      </c>
      <c r="H61" s="165"/>
      <c r="I61" s="165"/>
      <c r="J61" s="167" t="s">
        <v>53</v>
      </c>
      <c r="K61" s="165"/>
      <c r="L61" s="62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</row>
    <row r="62">
      <c r="B62" s="19"/>
      <c r="L62" s="19"/>
    </row>
    <row r="63">
      <c r="B63" s="19"/>
      <c r="L63" s="19"/>
    </row>
    <row r="64">
      <c r="B64" s="19"/>
      <c r="L64" s="19"/>
    </row>
    <row r="65" s="2" customFormat="1">
      <c r="A65" s="37"/>
      <c r="B65" s="43"/>
      <c r="C65" s="37"/>
      <c r="D65" s="162" t="s">
        <v>54</v>
      </c>
      <c r="E65" s="168"/>
      <c r="F65" s="168"/>
      <c r="G65" s="162" t="s">
        <v>55</v>
      </c>
      <c r="H65" s="168"/>
      <c r="I65" s="168"/>
      <c r="J65" s="168"/>
      <c r="K65" s="168"/>
      <c r="L65" s="62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</row>
    <row r="66">
      <c r="B66" s="19"/>
      <c r="L66" s="19"/>
    </row>
    <row r="67">
      <c r="B67" s="19"/>
      <c r="L67" s="19"/>
    </row>
    <row r="68">
      <c r="B68" s="19"/>
      <c r="L68" s="19"/>
    </row>
    <row r="69">
      <c r="B69" s="19"/>
      <c r="L69" s="19"/>
    </row>
    <row r="70">
      <c r="B70" s="19"/>
      <c r="L70" s="19"/>
    </row>
    <row r="71">
      <c r="B71" s="19"/>
      <c r="L71" s="19"/>
    </row>
    <row r="72">
      <c r="B72" s="19"/>
      <c r="L72" s="19"/>
    </row>
    <row r="73">
      <c r="B73" s="19"/>
      <c r="L73" s="19"/>
    </row>
    <row r="74">
      <c r="B74" s="19"/>
      <c r="L74" s="19"/>
    </row>
    <row r="75">
      <c r="B75" s="19"/>
      <c r="L75" s="19"/>
    </row>
    <row r="76" s="2" customFormat="1">
      <c r="A76" s="37"/>
      <c r="B76" s="43"/>
      <c r="C76" s="37"/>
      <c r="D76" s="164" t="s">
        <v>52</v>
      </c>
      <c r="E76" s="165"/>
      <c r="F76" s="166" t="s">
        <v>53</v>
      </c>
      <c r="G76" s="164" t="s">
        <v>52</v>
      </c>
      <c r="H76" s="165"/>
      <c r="I76" s="165"/>
      <c r="J76" s="167" t="s">
        <v>53</v>
      </c>
      <c r="K76" s="165"/>
      <c r="L76" s="62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</row>
    <row r="77" s="2" customFormat="1" ht="14.4" customHeight="1">
      <c r="A77" s="37"/>
      <c r="B77" s="169"/>
      <c r="C77" s="170"/>
      <c r="D77" s="170"/>
      <c r="E77" s="170"/>
      <c r="F77" s="170"/>
      <c r="G77" s="170"/>
      <c r="H77" s="170"/>
      <c r="I77" s="170"/>
      <c r="J77" s="170"/>
      <c r="K77" s="170"/>
      <c r="L77" s="62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</row>
    <row r="81" s="2" customFormat="1" ht="6.96" customHeight="1">
      <c r="A81" s="37"/>
      <c r="B81" s="171"/>
      <c r="C81" s="172"/>
      <c r="D81" s="172"/>
      <c r="E81" s="172"/>
      <c r="F81" s="172"/>
      <c r="G81" s="172"/>
      <c r="H81" s="172"/>
      <c r="I81" s="172"/>
      <c r="J81" s="172"/>
      <c r="K81" s="172"/>
      <c r="L81" s="62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</row>
    <row r="82" s="2" customFormat="1" ht="24.96" customHeight="1">
      <c r="A82" s="37"/>
      <c r="B82" s="38"/>
      <c r="C82" s="22" t="s">
        <v>111</v>
      </c>
      <c r="D82" s="39"/>
      <c r="E82" s="39"/>
      <c r="F82" s="39"/>
      <c r="G82" s="39"/>
      <c r="H82" s="39"/>
      <c r="I82" s="39"/>
      <c r="J82" s="39"/>
      <c r="K82" s="39"/>
      <c r="L82" s="62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</row>
    <row r="83" s="2" customFormat="1" ht="6.96" customHeight="1">
      <c r="A83" s="37"/>
      <c r="B83" s="38"/>
      <c r="C83" s="39"/>
      <c r="D83" s="39"/>
      <c r="E83" s="39"/>
      <c r="F83" s="39"/>
      <c r="G83" s="39"/>
      <c r="H83" s="39"/>
      <c r="I83" s="39"/>
      <c r="J83" s="39"/>
      <c r="K83" s="39"/>
      <c r="L83" s="62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</row>
    <row r="84" s="2" customFormat="1" ht="12" customHeight="1">
      <c r="A84" s="37"/>
      <c r="B84" s="38"/>
      <c r="C84" s="31" t="s">
        <v>17</v>
      </c>
      <c r="D84" s="39"/>
      <c r="E84" s="39"/>
      <c r="F84" s="39"/>
      <c r="G84" s="39"/>
      <c r="H84" s="39"/>
      <c r="I84" s="39"/>
      <c r="J84" s="39"/>
      <c r="K84" s="39"/>
      <c r="L84" s="62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</row>
    <row r="85" s="2" customFormat="1" ht="16.5" customHeight="1">
      <c r="A85" s="37"/>
      <c r="B85" s="38"/>
      <c r="C85" s="39"/>
      <c r="D85" s="39"/>
      <c r="E85" s="173" t="str">
        <f>E7</f>
        <v>Areál společnosti FORESTINA s.r.o. Horažďovice, Blatenská 587</v>
      </c>
      <c r="F85" s="31"/>
      <c r="G85" s="31"/>
      <c r="H85" s="31"/>
      <c r="I85" s="39"/>
      <c r="J85" s="39"/>
      <c r="K85" s="39"/>
      <c r="L85" s="62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</row>
    <row r="86" s="2" customFormat="1" ht="12" customHeight="1">
      <c r="A86" s="37"/>
      <c r="B86" s="38"/>
      <c r="C86" s="31" t="s">
        <v>109</v>
      </c>
      <c r="D86" s="39"/>
      <c r="E86" s="39"/>
      <c r="F86" s="39"/>
      <c r="G86" s="39"/>
      <c r="H86" s="39"/>
      <c r="I86" s="39"/>
      <c r="J86" s="39"/>
      <c r="K86" s="39"/>
      <c r="L86" s="62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</row>
    <row r="87" s="2" customFormat="1" ht="16.5" customHeight="1">
      <c r="A87" s="37"/>
      <c r="B87" s="38"/>
      <c r="C87" s="39"/>
      <c r="D87" s="39"/>
      <c r="E87" s="75" t="str">
        <f>E9</f>
        <v>034 - Venkovní úpravy - přístřešek vrátnice VP2</v>
      </c>
      <c r="F87" s="39"/>
      <c r="G87" s="39"/>
      <c r="H87" s="39"/>
      <c r="I87" s="39"/>
      <c r="J87" s="39"/>
      <c r="K87" s="39"/>
      <c r="L87" s="62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</row>
    <row r="88" s="2" customFormat="1" ht="6.96" customHeight="1">
      <c r="A88" s="37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62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</row>
    <row r="89" s="2" customFormat="1" ht="12" customHeight="1">
      <c r="A89" s="37"/>
      <c r="B89" s="38"/>
      <c r="C89" s="31" t="s">
        <v>21</v>
      </c>
      <c r="D89" s="39"/>
      <c r="E89" s="39"/>
      <c r="F89" s="26" t="str">
        <f>F12</f>
        <v>Horažďovice</v>
      </c>
      <c r="G89" s="39"/>
      <c r="H89" s="39"/>
      <c r="I89" s="31" t="s">
        <v>23</v>
      </c>
      <c r="J89" s="78" t="str">
        <f>IF(J12="","",J12)</f>
        <v>26. 11. 2025</v>
      </c>
      <c r="K89" s="39"/>
      <c r="L89" s="62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</row>
    <row r="90" s="2" customFormat="1" ht="6.96" customHeight="1">
      <c r="A90" s="37"/>
      <c r="B90" s="38"/>
      <c r="C90" s="39"/>
      <c r="D90" s="39"/>
      <c r="E90" s="39"/>
      <c r="F90" s="39"/>
      <c r="G90" s="39"/>
      <c r="H90" s="39"/>
      <c r="I90" s="39"/>
      <c r="J90" s="39"/>
      <c r="K90" s="39"/>
      <c r="L90" s="62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</row>
    <row r="91" s="2" customFormat="1" ht="25.65" customHeight="1">
      <c r="A91" s="37"/>
      <c r="B91" s="38"/>
      <c r="C91" s="31" t="s">
        <v>25</v>
      </c>
      <c r="D91" s="39"/>
      <c r="E91" s="39"/>
      <c r="F91" s="26" t="str">
        <f>E15</f>
        <v>FORESTINA s.r.o.</v>
      </c>
      <c r="G91" s="39"/>
      <c r="H91" s="39"/>
      <c r="I91" s="31" t="s">
        <v>31</v>
      </c>
      <c r="J91" s="35" t="str">
        <f>E21</f>
        <v>STA projektový ateliér, s.r.o.</v>
      </c>
      <c r="K91" s="39"/>
      <c r="L91" s="62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</row>
    <row r="92" s="2" customFormat="1" ht="15.15" customHeight="1">
      <c r="A92" s="37"/>
      <c r="B92" s="38"/>
      <c r="C92" s="31" t="s">
        <v>29</v>
      </c>
      <c r="D92" s="39"/>
      <c r="E92" s="39"/>
      <c r="F92" s="26" t="str">
        <f>IF(E18="","",E18)</f>
        <v>Vyplň údaj</v>
      </c>
      <c r="G92" s="39"/>
      <c r="H92" s="39"/>
      <c r="I92" s="31" t="s">
        <v>34</v>
      </c>
      <c r="J92" s="35" t="str">
        <f>E24</f>
        <v>Pavel Hrba</v>
      </c>
      <c r="K92" s="39"/>
      <c r="L92" s="62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</row>
    <row r="93" s="2" customFormat="1" ht="10.32" customHeight="1">
      <c r="A93" s="37"/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62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</row>
    <row r="94" s="2" customFormat="1" ht="29.28" customHeight="1">
      <c r="A94" s="37"/>
      <c r="B94" s="38"/>
      <c r="C94" s="174" t="s">
        <v>112</v>
      </c>
      <c r="D94" s="175"/>
      <c r="E94" s="175"/>
      <c r="F94" s="175"/>
      <c r="G94" s="175"/>
      <c r="H94" s="175"/>
      <c r="I94" s="175"/>
      <c r="J94" s="176" t="s">
        <v>113</v>
      </c>
      <c r="K94" s="175"/>
      <c r="L94" s="62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</row>
    <row r="95" s="2" customFormat="1" ht="10.32" customHeight="1">
      <c r="A95" s="37"/>
      <c r="B95" s="38"/>
      <c r="C95" s="39"/>
      <c r="D95" s="39"/>
      <c r="E95" s="39"/>
      <c r="F95" s="39"/>
      <c r="G95" s="39"/>
      <c r="H95" s="39"/>
      <c r="I95" s="39"/>
      <c r="J95" s="39"/>
      <c r="K95" s="39"/>
      <c r="L95" s="62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</row>
    <row r="96" s="2" customFormat="1" ht="22.8" customHeight="1">
      <c r="A96" s="37"/>
      <c r="B96" s="38"/>
      <c r="C96" s="177" t="s">
        <v>114</v>
      </c>
      <c r="D96" s="39"/>
      <c r="E96" s="39"/>
      <c r="F96" s="39"/>
      <c r="G96" s="39"/>
      <c r="H96" s="39"/>
      <c r="I96" s="39"/>
      <c r="J96" s="109">
        <f>J124</f>
        <v>0</v>
      </c>
      <c r="K96" s="39"/>
      <c r="L96" s="62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U96" s="16" t="s">
        <v>115</v>
      </c>
    </row>
    <row r="97" s="9" customFormat="1" ht="24.96" customHeight="1">
      <c r="A97" s="9"/>
      <c r="B97" s="178"/>
      <c r="C97" s="179"/>
      <c r="D97" s="180" t="s">
        <v>116</v>
      </c>
      <c r="E97" s="181"/>
      <c r="F97" s="181"/>
      <c r="G97" s="181"/>
      <c r="H97" s="181"/>
      <c r="I97" s="181"/>
      <c r="J97" s="182">
        <f>J125</f>
        <v>0</v>
      </c>
      <c r="K97" s="179"/>
      <c r="L97" s="183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="10" customFormat="1" ht="19.92" customHeight="1">
      <c r="A98" s="10"/>
      <c r="B98" s="184"/>
      <c r="C98" s="185"/>
      <c r="D98" s="186" t="s">
        <v>117</v>
      </c>
      <c r="E98" s="187"/>
      <c r="F98" s="187"/>
      <c r="G98" s="187"/>
      <c r="H98" s="187"/>
      <c r="I98" s="187"/>
      <c r="J98" s="188">
        <f>J126</f>
        <v>0</v>
      </c>
      <c r="K98" s="185"/>
      <c r="L98" s="189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="10" customFormat="1" ht="19.92" customHeight="1">
      <c r="A99" s="10"/>
      <c r="B99" s="184"/>
      <c r="C99" s="185"/>
      <c r="D99" s="186" t="s">
        <v>118</v>
      </c>
      <c r="E99" s="187"/>
      <c r="F99" s="187"/>
      <c r="G99" s="187"/>
      <c r="H99" s="187"/>
      <c r="I99" s="187"/>
      <c r="J99" s="188">
        <f>J146</f>
        <v>0</v>
      </c>
      <c r="K99" s="185"/>
      <c r="L99" s="189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 s="10" customFormat="1" ht="19.92" customHeight="1">
      <c r="A100" s="10"/>
      <c r="B100" s="184"/>
      <c r="C100" s="185"/>
      <c r="D100" s="186" t="s">
        <v>124</v>
      </c>
      <c r="E100" s="187"/>
      <c r="F100" s="187"/>
      <c r="G100" s="187"/>
      <c r="H100" s="187"/>
      <c r="I100" s="187"/>
      <c r="J100" s="188">
        <f>J167</f>
        <v>0</v>
      </c>
      <c r="K100" s="185"/>
      <c r="L100" s="189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s="9" customFormat="1" ht="24.96" customHeight="1">
      <c r="A101" s="9"/>
      <c r="B101" s="178"/>
      <c r="C101" s="179"/>
      <c r="D101" s="180" t="s">
        <v>2121</v>
      </c>
      <c r="E101" s="181"/>
      <c r="F101" s="181"/>
      <c r="G101" s="181"/>
      <c r="H101" s="181"/>
      <c r="I101" s="181"/>
      <c r="J101" s="182">
        <f>J169</f>
        <v>0</v>
      </c>
      <c r="K101" s="179"/>
      <c r="L101" s="183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s="10" customFormat="1" ht="19.92" customHeight="1">
      <c r="A102" s="10"/>
      <c r="B102" s="184"/>
      <c r="C102" s="185"/>
      <c r="D102" s="186" t="s">
        <v>131</v>
      </c>
      <c r="E102" s="187"/>
      <c r="F102" s="187"/>
      <c r="G102" s="187"/>
      <c r="H102" s="187"/>
      <c r="I102" s="187"/>
      <c r="J102" s="188">
        <f>J170</f>
        <v>0</v>
      </c>
      <c r="K102" s="185"/>
      <c r="L102" s="189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 s="10" customFormat="1" ht="19.92" customHeight="1">
      <c r="A103" s="10"/>
      <c r="B103" s="184"/>
      <c r="C103" s="185"/>
      <c r="D103" s="186" t="s">
        <v>133</v>
      </c>
      <c r="E103" s="187"/>
      <c r="F103" s="187"/>
      <c r="G103" s="187"/>
      <c r="H103" s="187"/>
      <c r="I103" s="187"/>
      <c r="J103" s="188">
        <f>J179</f>
        <v>0</v>
      </c>
      <c r="K103" s="185"/>
      <c r="L103" s="189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</row>
    <row r="104" s="10" customFormat="1" ht="19.92" customHeight="1">
      <c r="A104" s="10"/>
      <c r="B104" s="184"/>
      <c r="C104" s="185"/>
      <c r="D104" s="186" t="s">
        <v>2633</v>
      </c>
      <c r="E104" s="187"/>
      <c r="F104" s="187"/>
      <c r="G104" s="187"/>
      <c r="H104" s="187"/>
      <c r="I104" s="187"/>
      <c r="J104" s="188">
        <f>J183</f>
        <v>0</v>
      </c>
      <c r="K104" s="185"/>
      <c r="L104" s="189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</row>
    <row r="105" s="2" customFormat="1" ht="21.84" customHeight="1">
      <c r="A105" s="37"/>
      <c r="B105" s="38"/>
      <c r="C105" s="39"/>
      <c r="D105" s="39"/>
      <c r="E105" s="39"/>
      <c r="F105" s="39"/>
      <c r="G105" s="39"/>
      <c r="H105" s="39"/>
      <c r="I105" s="39"/>
      <c r="J105" s="39"/>
      <c r="K105" s="39"/>
      <c r="L105" s="62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</row>
    <row r="106" s="2" customFormat="1" ht="6.96" customHeight="1">
      <c r="A106" s="37"/>
      <c r="B106" s="65"/>
      <c r="C106" s="66"/>
      <c r="D106" s="66"/>
      <c r="E106" s="66"/>
      <c r="F106" s="66"/>
      <c r="G106" s="66"/>
      <c r="H106" s="66"/>
      <c r="I106" s="66"/>
      <c r="J106" s="66"/>
      <c r="K106" s="66"/>
      <c r="L106" s="62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</row>
    <row r="110" s="2" customFormat="1" ht="6.96" customHeight="1">
      <c r="A110" s="37"/>
      <c r="B110" s="67"/>
      <c r="C110" s="68"/>
      <c r="D110" s="68"/>
      <c r="E110" s="68"/>
      <c r="F110" s="68"/>
      <c r="G110" s="68"/>
      <c r="H110" s="68"/>
      <c r="I110" s="68"/>
      <c r="J110" s="68"/>
      <c r="K110" s="68"/>
      <c r="L110" s="62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</row>
    <row r="111" s="2" customFormat="1" ht="24.96" customHeight="1">
      <c r="A111" s="37"/>
      <c r="B111" s="38"/>
      <c r="C111" s="22" t="s">
        <v>142</v>
      </c>
      <c r="D111" s="39"/>
      <c r="E111" s="39"/>
      <c r="F111" s="39"/>
      <c r="G111" s="39"/>
      <c r="H111" s="39"/>
      <c r="I111" s="39"/>
      <c r="J111" s="39"/>
      <c r="K111" s="39"/>
      <c r="L111" s="62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</row>
    <row r="112" s="2" customFormat="1" ht="6.96" customHeight="1">
      <c r="A112" s="37"/>
      <c r="B112" s="38"/>
      <c r="C112" s="39"/>
      <c r="D112" s="39"/>
      <c r="E112" s="39"/>
      <c r="F112" s="39"/>
      <c r="G112" s="39"/>
      <c r="H112" s="39"/>
      <c r="I112" s="39"/>
      <c r="J112" s="39"/>
      <c r="K112" s="39"/>
      <c r="L112" s="62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</row>
    <row r="113" s="2" customFormat="1" ht="12" customHeight="1">
      <c r="A113" s="37"/>
      <c r="B113" s="38"/>
      <c r="C113" s="31" t="s">
        <v>17</v>
      </c>
      <c r="D113" s="39"/>
      <c r="E113" s="39"/>
      <c r="F113" s="39"/>
      <c r="G113" s="39"/>
      <c r="H113" s="39"/>
      <c r="I113" s="39"/>
      <c r="J113" s="39"/>
      <c r="K113" s="39"/>
      <c r="L113" s="62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</row>
    <row r="114" s="2" customFormat="1" ht="16.5" customHeight="1">
      <c r="A114" s="37"/>
      <c r="B114" s="38"/>
      <c r="C114" s="39"/>
      <c r="D114" s="39"/>
      <c r="E114" s="173" t="str">
        <f>E7</f>
        <v>Areál společnosti FORESTINA s.r.o. Horažďovice, Blatenská 587</v>
      </c>
      <c r="F114" s="31"/>
      <c r="G114" s="31"/>
      <c r="H114" s="31"/>
      <c r="I114" s="39"/>
      <c r="J114" s="39"/>
      <c r="K114" s="39"/>
      <c r="L114" s="62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</row>
    <row r="115" s="2" customFormat="1" ht="12" customHeight="1">
      <c r="A115" s="37"/>
      <c r="B115" s="38"/>
      <c r="C115" s="31" t="s">
        <v>109</v>
      </c>
      <c r="D115" s="39"/>
      <c r="E115" s="39"/>
      <c r="F115" s="39"/>
      <c r="G115" s="39"/>
      <c r="H115" s="39"/>
      <c r="I115" s="39"/>
      <c r="J115" s="39"/>
      <c r="K115" s="39"/>
      <c r="L115" s="62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</row>
    <row r="116" s="2" customFormat="1" ht="16.5" customHeight="1">
      <c r="A116" s="37"/>
      <c r="B116" s="38"/>
      <c r="C116" s="39"/>
      <c r="D116" s="39"/>
      <c r="E116" s="75" t="str">
        <f>E9</f>
        <v>034 - Venkovní úpravy - přístřešek vrátnice VP2</v>
      </c>
      <c r="F116" s="39"/>
      <c r="G116" s="39"/>
      <c r="H116" s="39"/>
      <c r="I116" s="39"/>
      <c r="J116" s="39"/>
      <c r="K116" s="39"/>
      <c r="L116" s="62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</row>
    <row r="117" s="2" customFormat="1" ht="6.96" customHeight="1">
      <c r="A117" s="37"/>
      <c r="B117" s="38"/>
      <c r="C117" s="39"/>
      <c r="D117" s="39"/>
      <c r="E117" s="39"/>
      <c r="F117" s="39"/>
      <c r="G117" s="39"/>
      <c r="H117" s="39"/>
      <c r="I117" s="39"/>
      <c r="J117" s="39"/>
      <c r="K117" s="39"/>
      <c r="L117" s="62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</row>
    <row r="118" s="2" customFormat="1" ht="12" customHeight="1">
      <c r="A118" s="37"/>
      <c r="B118" s="38"/>
      <c r="C118" s="31" t="s">
        <v>21</v>
      </c>
      <c r="D118" s="39"/>
      <c r="E118" s="39"/>
      <c r="F118" s="26" t="str">
        <f>F12</f>
        <v>Horažďovice</v>
      </c>
      <c r="G118" s="39"/>
      <c r="H118" s="39"/>
      <c r="I118" s="31" t="s">
        <v>23</v>
      </c>
      <c r="J118" s="78" t="str">
        <f>IF(J12="","",J12)</f>
        <v>26. 11. 2025</v>
      </c>
      <c r="K118" s="39"/>
      <c r="L118" s="62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</row>
    <row r="119" s="2" customFormat="1" ht="6.96" customHeight="1">
      <c r="A119" s="37"/>
      <c r="B119" s="38"/>
      <c r="C119" s="39"/>
      <c r="D119" s="39"/>
      <c r="E119" s="39"/>
      <c r="F119" s="39"/>
      <c r="G119" s="39"/>
      <c r="H119" s="39"/>
      <c r="I119" s="39"/>
      <c r="J119" s="39"/>
      <c r="K119" s="39"/>
      <c r="L119" s="62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</row>
    <row r="120" s="2" customFormat="1" ht="25.65" customHeight="1">
      <c r="A120" s="37"/>
      <c r="B120" s="38"/>
      <c r="C120" s="31" t="s">
        <v>25</v>
      </c>
      <c r="D120" s="39"/>
      <c r="E120" s="39"/>
      <c r="F120" s="26" t="str">
        <f>E15</f>
        <v>FORESTINA s.r.o.</v>
      </c>
      <c r="G120" s="39"/>
      <c r="H120" s="39"/>
      <c r="I120" s="31" t="s">
        <v>31</v>
      </c>
      <c r="J120" s="35" t="str">
        <f>E21</f>
        <v>STA projektový ateliér, s.r.o.</v>
      </c>
      <c r="K120" s="39"/>
      <c r="L120" s="62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</row>
    <row r="121" s="2" customFormat="1" ht="15.15" customHeight="1">
      <c r="A121" s="37"/>
      <c r="B121" s="38"/>
      <c r="C121" s="31" t="s">
        <v>29</v>
      </c>
      <c r="D121" s="39"/>
      <c r="E121" s="39"/>
      <c r="F121" s="26" t="str">
        <f>IF(E18="","",E18)</f>
        <v>Vyplň údaj</v>
      </c>
      <c r="G121" s="39"/>
      <c r="H121" s="39"/>
      <c r="I121" s="31" t="s">
        <v>34</v>
      </c>
      <c r="J121" s="35" t="str">
        <f>E24</f>
        <v>Pavel Hrba</v>
      </c>
      <c r="K121" s="39"/>
      <c r="L121" s="62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</row>
    <row r="122" s="2" customFormat="1" ht="10.32" customHeight="1">
      <c r="A122" s="37"/>
      <c r="B122" s="38"/>
      <c r="C122" s="39"/>
      <c r="D122" s="39"/>
      <c r="E122" s="39"/>
      <c r="F122" s="39"/>
      <c r="G122" s="39"/>
      <c r="H122" s="39"/>
      <c r="I122" s="39"/>
      <c r="J122" s="39"/>
      <c r="K122" s="39"/>
      <c r="L122" s="62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</row>
    <row r="123" s="11" customFormat="1" ht="29.28" customHeight="1">
      <c r="A123" s="190"/>
      <c r="B123" s="191"/>
      <c r="C123" s="192" t="s">
        <v>143</v>
      </c>
      <c r="D123" s="193" t="s">
        <v>62</v>
      </c>
      <c r="E123" s="193" t="s">
        <v>58</v>
      </c>
      <c r="F123" s="193" t="s">
        <v>59</v>
      </c>
      <c r="G123" s="193" t="s">
        <v>144</v>
      </c>
      <c r="H123" s="193" t="s">
        <v>145</v>
      </c>
      <c r="I123" s="193" t="s">
        <v>146</v>
      </c>
      <c r="J123" s="194" t="s">
        <v>113</v>
      </c>
      <c r="K123" s="195" t="s">
        <v>147</v>
      </c>
      <c r="L123" s="196"/>
      <c r="M123" s="99" t="s">
        <v>1</v>
      </c>
      <c r="N123" s="100" t="s">
        <v>41</v>
      </c>
      <c r="O123" s="100" t="s">
        <v>148</v>
      </c>
      <c r="P123" s="100" t="s">
        <v>149</v>
      </c>
      <c r="Q123" s="100" t="s">
        <v>150</v>
      </c>
      <c r="R123" s="100" t="s">
        <v>151</v>
      </c>
      <c r="S123" s="100" t="s">
        <v>152</v>
      </c>
      <c r="T123" s="101" t="s">
        <v>153</v>
      </c>
      <c r="U123" s="190"/>
      <c r="V123" s="190"/>
      <c r="W123" s="190"/>
      <c r="X123" s="190"/>
      <c r="Y123" s="190"/>
      <c r="Z123" s="190"/>
      <c r="AA123" s="190"/>
      <c r="AB123" s="190"/>
      <c r="AC123" s="190"/>
      <c r="AD123" s="190"/>
      <c r="AE123" s="190"/>
    </row>
    <row r="124" s="2" customFormat="1" ht="22.8" customHeight="1">
      <c r="A124" s="37"/>
      <c r="B124" s="38"/>
      <c r="C124" s="106" t="s">
        <v>154</v>
      </c>
      <c r="D124" s="39"/>
      <c r="E124" s="39"/>
      <c r="F124" s="39"/>
      <c r="G124" s="39"/>
      <c r="H124" s="39"/>
      <c r="I124" s="39"/>
      <c r="J124" s="197">
        <f>BK124</f>
        <v>0</v>
      </c>
      <c r="K124" s="39"/>
      <c r="L124" s="43"/>
      <c r="M124" s="102"/>
      <c r="N124" s="198"/>
      <c r="O124" s="103"/>
      <c r="P124" s="199">
        <f>P125+P169</f>
        <v>0</v>
      </c>
      <c r="Q124" s="103"/>
      <c r="R124" s="199">
        <f>R125+R169</f>
        <v>176.84780434999999</v>
      </c>
      <c r="S124" s="103"/>
      <c r="T124" s="200">
        <f>T125+T169</f>
        <v>1.6990000000000001</v>
      </c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T124" s="16" t="s">
        <v>76</v>
      </c>
      <c r="AU124" s="16" t="s">
        <v>115</v>
      </c>
      <c r="BK124" s="201">
        <f>BK125+BK169</f>
        <v>0</v>
      </c>
    </row>
    <row r="125" s="12" customFormat="1" ht="25.92" customHeight="1">
      <c r="A125" s="12"/>
      <c r="B125" s="202"/>
      <c r="C125" s="203"/>
      <c r="D125" s="204" t="s">
        <v>76</v>
      </c>
      <c r="E125" s="205" t="s">
        <v>155</v>
      </c>
      <c r="F125" s="205" t="s">
        <v>156</v>
      </c>
      <c r="G125" s="203"/>
      <c r="H125" s="203"/>
      <c r="I125" s="206"/>
      <c r="J125" s="207">
        <f>BK125</f>
        <v>0</v>
      </c>
      <c r="K125" s="203"/>
      <c r="L125" s="208"/>
      <c r="M125" s="209"/>
      <c r="N125" s="210"/>
      <c r="O125" s="210"/>
      <c r="P125" s="211">
        <f>P126+P146+P167</f>
        <v>0</v>
      </c>
      <c r="Q125" s="210"/>
      <c r="R125" s="211">
        <f>R126+R146+R167</f>
        <v>67.386388149999988</v>
      </c>
      <c r="S125" s="210"/>
      <c r="T125" s="212">
        <f>T126+T146+T167</f>
        <v>1.6990000000000001</v>
      </c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R125" s="213" t="s">
        <v>8</v>
      </c>
      <c r="AT125" s="214" t="s">
        <v>76</v>
      </c>
      <c r="AU125" s="214" t="s">
        <v>77</v>
      </c>
      <c r="AY125" s="213" t="s">
        <v>157</v>
      </c>
      <c r="BK125" s="215">
        <f>BK126+BK146+BK167</f>
        <v>0</v>
      </c>
    </row>
    <row r="126" s="12" customFormat="1" ht="22.8" customHeight="1">
      <c r="A126" s="12"/>
      <c r="B126" s="202"/>
      <c r="C126" s="203"/>
      <c r="D126" s="204" t="s">
        <v>76</v>
      </c>
      <c r="E126" s="216" t="s">
        <v>8</v>
      </c>
      <c r="F126" s="216" t="s">
        <v>158</v>
      </c>
      <c r="G126" s="203"/>
      <c r="H126" s="203"/>
      <c r="I126" s="206"/>
      <c r="J126" s="217">
        <f>BK126</f>
        <v>0</v>
      </c>
      <c r="K126" s="203"/>
      <c r="L126" s="208"/>
      <c r="M126" s="209"/>
      <c r="N126" s="210"/>
      <c r="O126" s="210"/>
      <c r="P126" s="211">
        <f>SUM(P127:P145)</f>
        <v>0</v>
      </c>
      <c r="Q126" s="210"/>
      <c r="R126" s="211">
        <f>SUM(R127:R145)</f>
        <v>0</v>
      </c>
      <c r="S126" s="210"/>
      <c r="T126" s="212">
        <f>SUM(T127:T145)</f>
        <v>0</v>
      </c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R126" s="213" t="s">
        <v>8</v>
      </c>
      <c r="AT126" s="214" t="s">
        <v>76</v>
      </c>
      <c r="AU126" s="214" t="s">
        <v>8</v>
      </c>
      <c r="AY126" s="213" t="s">
        <v>157</v>
      </c>
      <c r="BK126" s="215">
        <f>SUM(BK127:BK145)</f>
        <v>0</v>
      </c>
    </row>
    <row r="127" s="2" customFormat="1" ht="24.15" customHeight="1">
      <c r="A127" s="37"/>
      <c r="B127" s="38"/>
      <c r="C127" s="218" t="s">
        <v>8</v>
      </c>
      <c r="D127" s="218" t="s">
        <v>159</v>
      </c>
      <c r="E127" s="219" t="s">
        <v>2634</v>
      </c>
      <c r="F127" s="220" t="s">
        <v>2635</v>
      </c>
      <c r="G127" s="221" t="s">
        <v>162</v>
      </c>
      <c r="H127" s="222">
        <v>10.005000000000001</v>
      </c>
      <c r="I127" s="223"/>
      <c r="J127" s="224">
        <f>ROUND(I127*H127,0)</f>
        <v>0</v>
      </c>
      <c r="K127" s="225"/>
      <c r="L127" s="43"/>
      <c r="M127" s="226" t="s">
        <v>1</v>
      </c>
      <c r="N127" s="227" t="s">
        <v>42</v>
      </c>
      <c r="O127" s="90"/>
      <c r="P127" s="228">
        <f>O127*H127</f>
        <v>0</v>
      </c>
      <c r="Q127" s="228">
        <v>0</v>
      </c>
      <c r="R127" s="228">
        <f>Q127*H127</f>
        <v>0</v>
      </c>
      <c r="S127" s="228">
        <v>0</v>
      </c>
      <c r="T127" s="229">
        <f>S127*H127</f>
        <v>0</v>
      </c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R127" s="230" t="s">
        <v>163</v>
      </c>
      <c r="AT127" s="230" t="s">
        <v>159</v>
      </c>
      <c r="AU127" s="230" t="s">
        <v>86</v>
      </c>
      <c r="AY127" s="16" t="s">
        <v>157</v>
      </c>
      <c r="BE127" s="231">
        <f>IF(N127="základní",J127,0)</f>
        <v>0</v>
      </c>
      <c r="BF127" s="231">
        <f>IF(N127="snížená",J127,0)</f>
        <v>0</v>
      </c>
      <c r="BG127" s="231">
        <f>IF(N127="zákl. přenesená",J127,0)</f>
        <v>0</v>
      </c>
      <c r="BH127" s="231">
        <f>IF(N127="sníž. přenesená",J127,0)</f>
        <v>0</v>
      </c>
      <c r="BI127" s="231">
        <f>IF(N127="nulová",J127,0)</f>
        <v>0</v>
      </c>
      <c r="BJ127" s="16" t="s">
        <v>8</v>
      </c>
      <c r="BK127" s="231">
        <f>ROUND(I127*H127,0)</f>
        <v>0</v>
      </c>
      <c r="BL127" s="16" t="s">
        <v>163</v>
      </c>
      <c r="BM127" s="230" t="s">
        <v>2636</v>
      </c>
    </row>
    <row r="128" s="13" customFormat="1">
      <c r="A128" s="13"/>
      <c r="B128" s="232"/>
      <c r="C128" s="233"/>
      <c r="D128" s="234" t="s">
        <v>165</v>
      </c>
      <c r="E128" s="235" t="s">
        <v>1</v>
      </c>
      <c r="F128" s="236" t="s">
        <v>2637</v>
      </c>
      <c r="G128" s="233"/>
      <c r="H128" s="237">
        <v>10.005000000000001</v>
      </c>
      <c r="I128" s="238"/>
      <c r="J128" s="233"/>
      <c r="K128" s="233"/>
      <c r="L128" s="239"/>
      <c r="M128" s="240"/>
      <c r="N128" s="241"/>
      <c r="O128" s="241"/>
      <c r="P128" s="241"/>
      <c r="Q128" s="241"/>
      <c r="R128" s="241"/>
      <c r="S128" s="241"/>
      <c r="T128" s="242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T128" s="243" t="s">
        <v>165</v>
      </c>
      <c r="AU128" s="243" t="s">
        <v>86</v>
      </c>
      <c r="AV128" s="13" t="s">
        <v>86</v>
      </c>
      <c r="AW128" s="13" t="s">
        <v>32</v>
      </c>
      <c r="AX128" s="13" t="s">
        <v>77</v>
      </c>
      <c r="AY128" s="243" t="s">
        <v>157</v>
      </c>
    </row>
    <row r="129" s="2" customFormat="1" ht="37.8" customHeight="1">
      <c r="A129" s="37"/>
      <c r="B129" s="38"/>
      <c r="C129" s="218" t="s">
        <v>86</v>
      </c>
      <c r="D129" s="218" t="s">
        <v>159</v>
      </c>
      <c r="E129" s="219" t="s">
        <v>168</v>
      </c>
      <c r="F129" s="220" t="s">
        <v>169</v>
      </c>
      <c r="G129" s="221" t="s">
        <v>162</v>
      </c>
      <c r="H129" s="222">
        <v>15.005000000000001</v>
      </c>
      <c r="I129" s="223"/>
      <c r="J129" s="224">
        <f>ROUND(I129*H129,0)</f>
        <v>0</v>
      </c>
      <c r="K129" s="225"/>
      <c r="L129" s="43"/>
      <c r="M129" s="226" t="s">
        <v>1</v>
      </c>
      <c r="N129" s="227" t="s">
        <v>42</v>
      </c>
      <c r="O129" s="90"/>
      <c r="P129" s="228">
        <f>O129*H129</f>
        <v>0</v>
      </c>
      <c r="Q129" s="228">
        <v>0</v>
      </c>
      <c r="R129" s="228">
        <f>Q129*H129</f>
        <v>0</v>
      </c>
      <c r="S129" s="228">
        <v>0</v>
      </c>
      <c r="T129" s="229">
        <f>S129*H129</f>
        <v>0</v>
      </c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R129" s="230" t="s">
        <v>163</v>
      </c>
      <c r="AT129" s="230" t="s">
        <v>159</v>
      </c>
      <c r="AU129" s="230" t="s">
        <v>86</v>
      </c>
      <c r="AY129" s="16" t="s">
        <v>157</v>
      </c>
      <c r="BE129" s="231">
        <f>IF(N129="základní",J129,0)</f>
        <v>0</v>
      </c>
      <c r="BF129" s="231">
        <f>IF(N129="snížená",J129,0)</f>
        <v>0</v>
      </c>
      <c r="BG129" s="231">
        <f>IF(N129="zákl. přenesená",J129,0)</f>
        <v>0</v>
      </c>
      <c r="BH129" s="231">
        <f>IF(N129="sníž. přenesená",J129,0)</f>
        <v>0</v>
      </c>
      <c r="BI129" s="231">
        <f>IF(N129="nulová",J129,0)</f>
        <v>0</v>
      </c>
      <c r="BJ129" s="16" t="s">
        <v>8</v>
      </c>
      <c r="BK129" s="231">
        <f>ROUND(I129*H129,0)</f>
        <v>0</v>
      </c>
      <c r="BL129" s="16" t="s">
        <v>163</v>
      </c>
      <c r="BM129" s="230" t="s">
        <v>2638</v>
      </c>
    </row>
    <row r="130" s="13" customFormat="1">
      <c r="A130" s="13"/>
      <c r="B130" s="232"/>
      <c r="C130" s="233"/>
      <c r="D130" s="234" t="s">
        <v>165</v>
      </c>
      <c r="E130" s="235" t="s">
        <v>1</v>
      </c>
      <c r="F130" s="236" t="s">
        <v>2639</v>
      </c>
      <c r="G130" s="233"/>
      <c r="H130" s="237">
        <v>10.005000000000001</v>
      </c>
      <c r="I130" s="238"/>
      <c r="J130" s="233"/>
      <c r="K130" s="233"/>
      <c r="L130" s="239"/>
      <c r="M130" s="240"/>
      <c r="N130" s="241"/>
      <c r="O130" s="241"/>
      <c r="P130" s="241"/>
      <c r="Q130" s="241"/>
      <c r="R130" s="241"/>
      <c r="S130" s="241"/>
      <c r="T130" s="242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T130" s="243" t="s">
        <v>165</v>
      </c>
      <c r="AU130" s="243" t="s">
        <v>86</v>
      </c>
      <c r="AV130" s="13" t="s">
        <v>86</v>
      </c>
      <c r="AW130" s="13" t="s">
        <v>32</v>
      </c>
      <c r="AX130" s="13" t="s">
        <v>77</v>
      </c>
      <c r="AY130" s="243" t="s">
        <v>157</v>
      </c>
    </row>
    <row r="131" s="13" customFormat="1">
      <c r="A131" s="13"/>
      <c r="B131" s="232"/>
      <c r="C131" s="233"/>
      <c r="D131" s="234" t="s">
        <v>165</v>
      </c>
      <c r="E131" s="235" t="s">
        <v>1</v>
      </c>
      <c r="F131" s="236" t="s">
        <v>2640</v>
      </c>
      <c r="G131" s="233"/>
      <c r="H131" s="237">
        <v>5</v>
      </c>
      <c r="I131" s="238"/>
      <c r="J131" s="233"/>
      <c r="K131" s="233"/>
      <c r="L131" s="239"/>
      <c r="M131" s="240"/>
      <c r="N131" s="241"/>
      <c r="O131" s="241"/>
      <c r="P131" s="241"/>
      <c r="Q131" s="241"/>
      <c r="R131" s="241"/>
      <c r="S131" s="241"/>
      <c r="T131" s="242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T131" s="243" t="s">
        <v>165</v>
      </c>
      <c r="AU131" s="243" t="s">
        <v>86</v>
      </c>
      <c r="AV131" s="13" t="s">
        <v>86</v>
      </c>
      <c r="AW131" s="13" t="s">
        <v>32</v>
      </c>
      <c r="AX131" s="13" t="s">
        <v>77</v>
      </c>
      <c r="AY131" s="243" t="s">
        <v>157</v>
      </c>
    </row>
    <row r="132" s="2" customFormat="1" ht="37.8" customHeight="1">
      <c r="A132" s="37"/>
      <c r="B132" s="38"/>
      <c r="C132" s="218" t="s">
        <v>176</v>
      </c>
      <c r="D132" s="218" t="s">
        <v>159</v>
      </c>
      <c r="E132" s="219" t="s">
        <v>177</v>
      </c>
      <c r="F132" s="220" t="s">
        <v>178</v>
      </c>
      <c r="G132" s="221" t="s">
        <v>162</v>
      </c>
      <c r="H132" s="222">
        <v>5.0049999999999999</v>
      </c>
      <c r="I132" s="223"/>
      <c r="J132" s="224">
        <f>ROUND(I132*H132,0)</f>
        <v>0</v>
      </c>
      <c r="K132" s="225"/>
      <c r="L132" s="43"/>
      <c r="M132" s="226" t="s">
        <v>1</v>
      </c>
      <c r="N132" s="227" t="s">
        <v>42</v>
      </c>
      <c r="O132" s="90"/>
      <c r="P132" s="228">
        <f>O132*H132</f>
        <v>0</v>
      </c>
      <c r="Q132" s="228">
        <v>0</v>
      </c>
      <c r="R132" s="228">
        <f>Q132*H132</f>
        <v>0</v>
      </c>
      <c r="S132" s="228">
        <v>0</v>
      </c>
      <c r="T132" s="229">
        <f>S132*H132</f>
        <v>0</v>
      </c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R132" s="230" t="s">
        <v>163</v>
      </c>
      <c r="AT132" s="230" t="s">
        <v>159</v>
      </c>
      <c r="AU132" s="230" t="s">
        <v>86</v>
      </c>
      <c r="AY132" s="16" t="s">
        <v>157</v>
      </c>
      <c r="BE132" s="231">
        <f>IF(N132="základní",J132,0)</f>
        <v>0</v>
      </c>
      <c r="BF132" s="231">
        <f>IF(N132="snížená",J132,0)</f>
        <v>0</v>
      </c>
      <c r="BG132" s="231">
        <f>IF(N132="zákl. přenesená",J132,0)</f>
        <v>0</v>
      </c>
      <c r="BH132" s="231">
        <f>IF(N132="sníž. přenesená",J132,0)</f>
        <v>0</v>
      </c>
      <c r="BI132" s="231">
        <f>IF(N132="nulová",J132,0)</f>
        <v>0</v>
      </c>
      <c r="BJ132" s="16" t="s">
        <v>8</v>
      </c>
      <c r="BK132" s="231">
        <f>ROUND(I132*H132,0)</f>
        <v>0</v>
      </c>
      <c r="BL132" s="16" t="s">
        <v>163</v>
      </c>
      <c r="BM132" s="230" t="s">
        <v>2641</v>
      </c>
    </row>
    <row r="133" s="13" customFormat="1">
      <c r="A133" s="13"/>
      <c r="B133" s="232"/>
      <c r="C133" s="233"/>
      <c r="D133" s="234" t="s">
        <v>165</v>
      </c>
      <c r="E133" s="235" t="s">
        <v>1</v>
      </c>
      <c r="F133" s="236" t="s">
        <v>2642</v>
      </c>
      <c r="G133" s="233"/>
      <c r="H133" s="237">
        <v>5.0049999999999999</v>
      </c>
      <c r="I133" s="238"/>
      <c r="J133" s="233"/>
      <c r="K133" s="233"/>
      <c r="L133" s="239"/>
      <c r="M133" s="240"/>
      <c r="N133" s="241"/>
      <c r="O133" s="241"/>
      <c r="P133" s="241"/>
      <c r="Q133" s="241"/>
      <c r="R133" s="241"/>
      <c r="S133" s="241"/>
      <c r="T133" s="242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T133" s="243" t="s">
        <v>165</v>
      </c>
      <c r="AU133" s="243" t="s">
        <v>86</v>
      </c>
      <c r="AV133" s="13" t="s">
        <v>86</v>
      </c>
      <c r="AW133" s="13" t="s">
        <v>32</v>
      </c>
      <c r="AX133" s="13" t="s">
        <v>77</v>
      </c>
      <c r="AY133" s="243" t="s">
        <v>157</v>
      </c>
    </row>
    <row r="134" s="2" customFormat="1" ht="37.8" customHeight="1">
      <c r="A134" s="37"/>
      <c r="B134" s="38"/>
      <c r="C134" s="218" t="s">
        <v>163</v>
      </c>
      <c r="D134" s="218" t="s">
        <v>159</v>
      </c>
      <c r="E134" s="219" t="s">
        <v>181</v>
      </c>
      <c r="F134" s="220" t="s">
        <v>182</v>
      </c>
      <c r="G134" s="221" t="s">
        <v>162</v>
      </c>
      <c r="H134" s="222">
        <v>85.084999999999994</v>
      </c>
      <c r="I134" s="223"/>
      <c r="J134" s="224">
        <f>ROUND(I134*H134,0)</f>
        <v>0</v>
      </c>
      <c r="K134" s="225"/>
      <c r="L134" s="43"/>
      <c r="M134" s="226" t="s">
        <v>1</v>
      </c>
      <c r="N134" s="227" t="s">
        <v>42</v>
      </c>
      <c r="O134" s="90"/>
      <c r="P134" s="228">
        <f>O134*H134</f>
        <v>0</v>
      </c>
      <c r="Q134" s="228">
        <v>0</v>
      </c>
      <c r="R134" s="228">
        <f>Q134*H134</f>
        <v>0</v>
      </c>
      <c r="S134" s="228">
        <v>0</v>
      </c>
      <c r="T134" s="229">
        <f>S134*H134</f>
        <v>0</v>
      </c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R134" s="230" t="s">
        <v>163</v>
      </c>
      <c r="AT134" s="230" t="s">
        <v>159</v>
      </c>
      <c r="AU134" s="230" t="s">
        <v>86</v>
      </c>
      <c r="AY134" s="16" t="s">
        <v>157</v>
      </c>
      <c r="BE134" s="231">
        <f>IF(N134="základní",J134,0)</f>
        <v>0</v>
      </c>
      <c r="BF134" s="231">
        <f>IF(N134="snížená",J134,0)</f>
        <v>0</v>
      </c>
      <c r="BG134" s="231">
        <f>IF(N134="zákl. přenesená",J134,0)</f>
        <v>0</v>
      </c>
      <c r="BH134" s="231">
        <f>IF(N134="sníž. přenesená",J134,0)</f>
        <v>0</v>
      </c>
      <c r="BI134" s="231">
        <f>IF(N134="nulová",J134,0)</f>
        <v>0</v>
      </c>
      <c r="BJ134" s="16" t="s">
        <v>8</v>
      </c>
      <c r="BK134" s="231">
        <f>ROUND(I134*H134,0)</f>
        <v>0</v>
      </c>
      <c r="BL134" s="16" t="s">
        <v>163</v>
      </c>
      <c r="BM134" s="230" t="s">
        <v>2643</v>
      </c>
    </row>
    <row r="135" s="13" customFormat="1">
      <c r="A135" s="13"/>
      <c r="B135" s="232"/>
      <c r="C135" s="233"/>
      <c r="D135" s="234" t="s">
        <v>165</v>
      </c>
      <c r="E135" s="235" t="s">
        <v>1</v>
      </c>
      <c r="F135" s="236" t="s">
        <v>2644</v>
      </c>
      <c r="G135" s="233"/>
      <c r="H135" s="237">
        <v>85.084999999999994</v>
      </c>
      <c r="I135" s="238"/>
      <c r="J135" s="233"/>
      <c r="K135" s="233"/>
      <c r="L135" s="239"/>
      <c r="M135" s="240"/>
      <c r="N135" s="241"/>
      <c r="O135" s="241"/>
      <c r="P135" s="241"/>
      <c r="Q135" s="241"/>
      <c r="R135" s="241"/>
      <c r="S135" s="241"/>
      <c r="T135" s="242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T135" s="243" t="s">
        <v>165</v>
      </c>
      <c r="AU135" s="243" t="s">
        <v>86</v>
      </c>
      <c r="AV135" s="13" t="s">
        <v>86</v>
      </c>
      <c r="AW135" s="13" t="s">
        <v>32</v>
      </c>
      <c r="AX135" s="13" t="s">
        <v>77</v>
      </c>
      <c r="AY135" s="243" t="s">
        <v>157</v>
      </c>
    </row>
    <row r="136" s="2" customFormat="1" ht="24.15" customHeight="1">
      <c r="A136" s="37"/>
      <c r="B136" s="38"/>
      <c r="C136" s="218" t="s">
        <v>185</v>
      </c>
      <c r="D136" s="218" t="s">
        <v>159</v>
      </c>
      <c r="E136" s="219" t="s">
        <v>186</v>
      </c>
      <c r="F136" s="220" t="s">
        <v>187</v>
      </c>
      <c r="G136" s="221" t="s">
        <v>162</v>
      </c>
      <c r="H136" s="222">
        <v>10.005000000000001</v>
      </c>
      <c r="I136" s="223"/>
      <c r="J136" s="224">
        <f>ROUND(I136*H136,0)</f>
        <v>0</v>
      </c>
      <c r="K136" s="225"/>
      <c r="L136" s="43"/>
      <c r="M136" s="226" t="s">
        <v>1</v>
      </c>
      <c r="N136" s="227" t="s">
        <v>42</v>
      </c>
      <c r="O136" s="90"/>
      <c r="P136" s="228">
        <f>O136*H136</f>
        <v>0</v>
      </c>
      <c r="Q136" s="228">
        <v>0</v>
      </c>
      <c r="R136" s="228">
        <f>Q136*H136</f>
        <v>0</v>
      </c>
      <c r="S136" s="228">
        <v>0</v>
      </c>
      <c r="T136" s="229">
        <f>S136*H136</f>
        <v>0</v>
      </c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R136" s="230" t="s">
        <v>163</v>
      </c>
      <c r="AT136" s="230" t="s">
        <v>159</v>
      </c>
      <c r="AU136" s="230" t="s">
        <v>86</v>
      </c>
      <c r="AY136" s="16" t="s">
        <v>157</v>
      </c>
      <c r="BE136" s="231">
        <f>IF(N136="základní",J136,0)</f>
        <v>0</v>
      </c>
      <c r="BF136" s="231">
        <f>IF(N136="snížená",J136,0)</f>
        <v>0</v>
      </c>
      <c r="BG136" s="231">
        <f>IF(N136="zákl. přenesená",J136,0)</f>
        <v>0</v>
      </c>
      <c r="BH136" s="231">
        <f>IF(N136="sníž. přenesená",J136,0)</f>
        <v>0</v>
      </c>
      <c r="BI136" s="231">
        <f>IF(N136="nulová",J136,0)</f>
        <v>0</v>
      </c>
      <c r="BJ136" s="16" t="s">
        <v>8</v>
      </c>
      <c r="BK136" s="231">
        <f>ROUND(I136*H136,0)</f>
        <v>0</v>
      </c>
      <c r="BL136" s="16" t="s">
        <v>163</v>
      </c>
      <c r="BM136" s="230" t="s">
        <v>2645</v>
      </c>
    </row>
    <row r="137" s="13" customFormat="1">
      <c r="A137" s="13"/>
      <c r="B137" s="232"/>
      <c r="C137" s="233"/>
      <c r="D137" s="234" t="s">
        <v>165</v>
      </c>
      <c r="E137" s="235" t="s">
        <v>1</v>
      </c>
      <c r="F137" s="236" t="s">
        <v>2640</v>
      </c>
      <c r="G137" s="233"/>
      <c r="H137" s="237">
        <v>5</v>
      </c>
      <c r="I137" s="238"/>
      <c r="J137" s="233"/>
      <c r="K137" s="233"/>
      <c r="L137" s="239"/>
      <c r="M137" s="240"/>
      <c r="N137" s="241"/>
      <c r="O137" s="241"/>
      <c r="P137" s="241"/>
      <c r="Q137" s="241"/>
      <c r="R137" s="241"/>
      <c r="S137" s="241"/>
      <c r="T137" s="242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T137" s="243" t="s">
        <v>165</v>
      </c>
      <c r="AU137" s="243" t="s">
        <v>86</v>
      </c>
      <c r="AV137" s="13" t="s">
        <v>86</v>
      </c>
      <c r="AW137" s="13" t="s">
        <v>32</v>
      </c>
      <c r="AX137" s="13" t="s">
        <v>77</v>
      </c>
      <c r="AY137" s="243" t="s">
        <v>157</v>
      </c>
    </row>
    <row r="138" s="13" customFormat="1">
      <c r="A138" s="13"/>
      <c r="B138" s="232"/>
      <c r="C138" s="233"/>
      <c r="D138" s="234" t="s">
        <v>165</v>
      </c>
      <c r="E138" s="235" t="s">
        <v>1</v>
      </c>
      <c r="F138" s="236" t="s">
        <v>2642</v>
      </c>
      <c r="G138" s="233"/>
      <c r="H138" s="237">
        <v>5.0049999999999999</v>
      </c>
      <c r="I138" s="238"/>
      <c r="J138" s="233"/>
      <c r="K138" s="233"/>
      <c r="L138" s="239"/>
      <c r="M138" s="240"/>
      <c r="N138" s="241"/>
      <c r="O138" s="241"/>
      <c r="P138" s="241"/>
      <c r="Q138" s="241"/>
      <c r="R138" s="241"/>
      <c r="S138" s="241"/>
      <c r="T138" s="242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T138" s="243" t="s">
        <v>165</v>
      </c>
      <c r="AU138" s="243" t="s">
        <v>86</v>
      </c>
      <c r="AV138" s="13" t="s">
        <v>86</v>
      </c>
      <c r="AW138" s="13" t="s">
        <v>32</v>
      </c>
      <c r="AX138" s="13" t="s">
        <v>77</v>
      </c>
      <c r="AY138" s="243" t="s">
        <v>157</v>
      </c>
    </row>
    <row r="139" s="2" customFormat="1" ht="33" customHeight="1">
      <c r="A139" s="37"/>
      <c r="B139" s="38"/>
      <c r="C139" s="218" t="s">
        <v>190</v>
      </c>
      <c r="D139" s="218" t="s">
        <v>159</v>
      </c>
      <c r="E139" s="219" t="s">
        <v>191</v>
      </c>
      <c r="F139" s="220" t="s">
        <v>192</v>
      </c>
      <c r="G139" s="221" t="s">
        <v>193</v>
      </c>
      <c r="H139" s="222">
        <v>8.7590000000000003</v>
      </c>
      <c r="I139" s="223"/>
      <c r="J139" s="224">
        <f>ROUND(I139*H139,0)</f>
        <v>0</v>
      </c>
      <c r="K139" s="225"/>
      <c r="L139" s="43"/>
      <c r="M139" s="226" t="s">
        <v>1</v>
      </c>
      <c r="N139" s="227" t="s">
        <v>42</v>
      </c>
      <c r="O139" s="90"/>
      <c r="P139" s="228">
        <f>O139*H139</f>
        <v>0</v>
      </c>
      <c r="Q139" s="228">
        <v>0</v>
      </c>
      <c r="R139" s="228">
        <f>Q139*H139</f>
        <v>0</v>
      </c>
      <c r="S139" s="228">
        <v>0</v>
      </c>
      <c r="T139" s="229">
        <f>S139*H139</f>
        <v>0</v>
      </c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R139" s="230" t="s">
        <v>163</v>
      </c>
      <c r="AT139" s="230" t="s">
        <v>159</v>
      </c>
      <c r="AU139" s="230" t="s">
        <v>86</v>
      </c>
      <c r="AY139" s="16" t="s">
        <v>157</v>
      </c>
      <c r="BE139" s="231">
        <f>IF(N139="základní",J139,0)</f>
        <v>0</v>
      </c>
      <c r="BF139" s="231">
        <f>IF(N139="snížená",J139,0)</f>
        <v>0</v>
      </c>
      <c r="BG139" s="231">
        <f>IF(N139="zákl. přenesená",J139,0)</f>
        <v>0</v>
      </c>
      <c r="BH139" s="231">
        <f>IF(N139="sníž. přenesená",J139,0)</f>
        <v>0</v>
      </c>
      <c r="BI139" s="231">
        <f>IF(N139="nulová",J139,0)</f>
        <v>0</v>
      </c>
      <c r="BJ139" s="16" t="s">
        <v>8</v>
      </c>
      <c r="BK139" s="231">
        <f>ROUND(I139*H139,0)</f>
        <v>0</v>
      </c>
      <c r="BL139" s="16" t="s">
        <v>163</v>
      </c>
      <c r="BM139" s="230" t="s">
        <v>2646</v>
      </c>
    </row>
    <row r="140" s="13" customFormat="1">
      <c r="A140" s="13"/>
      <c r="B140" s="232"/>
      <c r="C140" s="233"/>
      <c r="D140" s="234" t="s">
        <v>165</v>
      </c>
      <c r="E140" s="235" t="s">
        <v>1</v>
      </c>
      <c r="F140" s="236" t="s">
        <v>2647</v>
      </c>
      <c r="G140" s="233"/>
      <c r="H140" s="237">
        <v>8.7590000000000003</v>
      </c>
      <c r="I140" s="238"/>
      <c r="J140" s="233"/>
      <c r="K140" s="233"/>
      <c r="L140" s="239"/>
      <c r="M140" s="240"/>
      <c r="N140" s="241"/>
      <c r="O140" s="241"/>
      <c r="P140" s="241"/>
      <c r="Q140" s="241"/>
      <c r="R140" s="241"/>
      <c r="S140" s="241"/>
      <c r="T140" s="242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T140" s="243" t="s">
        <v>165</v>
      </c>
      <c r="AU140" s="243" t="s">
        <v>86</v>
      </c>
      <c r="AV140" s="13" t="s">
        <v>86</v>
      </c>
      <c r="AW140" s="13" t="s">
        <v>32</v>
      </c>
      <c r="AX140" s="13" t="s">
        <v>77</v>
      </c>
      <c r="AY140" s="243" t="s">
        <v>157</v>
      </c>
    </row>
    <row r="141" s="2" customFormat="1" ht="16.5" customHeight="1">
      <c r="A141" s="37"/>
      <c r="B141" s="38"/>
      <c r="C141" s="218" t="s">
        <v>196</v>
      </c>
      <c r="D141" s="218" t="s">
        <v>159</v>
      </c>
      <c r="E141" s="219" t="s">
        <v>197</v>
      </c>
      <c r="F141" s="220" t="s">
        <v>198</v>
      </c>
      <c r="G141" s="221" t="s">
        <v>162</v>
      </c>
      <c r="H141" s="222">
        <v>15.01</v>
      </c>
      <c r="I141" s="223"/>
      <c r="J141" s="224">
        <f>ROUND(I141*H141,0)</f>
        <v>0</v>
      </c>
      <c r="K141" s="225"/>
      <c r="L141" s="43"/>
      <c r="M141" s="226" t="s">
        <v>1</v>
      </c>
      <c r="N141" s="227" t="s">
        <v>42</v>
      </c>
      <c r="O141" s="90"/>
      <c r="P141" s="228">
        <f>O141*H141</f>
        <v>0</v>
      </c>
      <c r="Q141" s="228">
        <v>0</v>
      </c>
      <c r="R141" s="228">
        <f>Q141*H141</f>
        <v>0</v>
      </c>
      <c r="S141" s="228">
        <v>0</v>
      </c>
      <c r="T141" s="229">
        <f>S141*H141</f>
        <v>0</v>
      </c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R141" s="230" t="s">
        <v>163</v>
      </c>
      <c r="AT141" s="230" t="s">
        <v>159</v>
      </c>
      <c r="AU141" s="230" t="s">
        <v>86</v>
      </c>
      <c r="AY141" s="16" t="s">
        <v>157</v>
      </c>
      <c r="BE141" s="231">
        <f>IF(N141="základní",J141,0)</f>
        <v>0</v>
      </c>
      <c r="BF141" s="231">
        <f>IF(N141="snížená",J141,0)</f>
        <v>0</v>
      </c>
      <c r="BG141" s="231">
        <f>IF(N141="zákl. přenesená",J141,0)</f>
        <v>0</v>
      </c>
      <c r="BH141" s="231">
        <f>IF(N141="sníž. přenesená",J141,0)</f>
        <v>0</v>
      </c>
      <c r="BI141" s="231">
        <f>IF(N141="nulová",J141,0)</f>
        <v>0</v>
      </c>
      <c r="BJ141" s="16" t="s">
        <v>8</v>
      </c>
      <c r="BK141" s="231">
        <f>ROUND(I141*H141,0)</f>
        <v>0</v>
      </c>
      <c r="BL141" s="16" t="s">
        <v>163</v>
      </c>
      <c r="BM141" s="230" t="s">
        <v>2648</v>
      </c>
    </row>
    <row r="142" s="13" customFormat="1">
      <c r="A142" s="13"/>
      <c r="B142" s="232"/>
      <c r="C142" s="233"/>
      <c r="D142" s="234" t="s">
        <v>165</v>
      </c>
      <c r="E142" s="235" t="s">
        <v>1</v>
      </c>
      <c r="F142" s="236" t="s">
        <v>2639</v>
      </c>
      <c r="G142" s="233"/>
      <c r="H142" s="237">
        <v>10.005000000000001</v>
      </c>
      <c r="I142" s="238"/>
      <c r="J142" s="233"/>
      <c r="K142" s="233"/>
      <c r="L142" s="239"/>
      <c r="M142" s="240"/>
      <c r="N142" s="241"/>
      <c r="O142" s="241"/>
      <c r="P142" s="241"/>
      <c r="Q142" s="241"/>
      <c r="R142" s="241"/>
      <c r="S142" s="241"/>
      <c r="T142" s="242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T142" s="243" t="s">
        <v>165</v>
      </c>
      <c r="AU142" s="243" t="s">
        <v>86</v>
      </c>
      <c r="AV142" s="13" t="s">
        <v>86</v>
      </c>
      <c r="AW142" s="13" t="s">
        <v>32</v>
      </c>
      <c r="AX142" s="13" t="s">
        <v>77</v>
      </c>
      <c r="AY142" s="243" t="s">
        <v>157</v>
      </c>
    </row>
    <row r="143" s="13" customFormat="1">
      <c r="A143" s="13"/>
      <c r="B143" s="232"/>
      <c r="C143" s="233"/>
      <c r="D143" s="234" t="s">
        <v>165</v>
      </c>
      <c r="E143" s="235" t="s">
        <v>1</v>
      </c>
      <c r="F143" s="236" t="s">
        <v>2642</v>
      </c>
      <c r="G143" s="233"/>
      <c r="H143" s="237">
        <v>5.0049999999999999</v>
      </c>
      <c r="I143" s="238"/>
      <c r="J143" s="233"/>
      <c r="K143" s="233"/>
      <c r="L143" s="239"/>
      <c r="M143" s="240"/>
      <c r="N143" s="241"/>
      <c r="O143" s="241"/>
      <c r="P143" s="241"/>
      <c r="Q143" s="241"/>
      <c r="R143" s="241"/>
      <c r="S143" s="241"/>
      <c r="T143" s="242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T143" s="243" t="s">
        <v>165</v>
      </c>
      <c r="AU143" s="243" t="s">
        <v>86</v>
      </c>
      <c r="AV143" s="13" t="s">
        <v>86</v>
      </c>
      <c r="AW143" s="13" t="s">
        <v>32</v>
      </c>
      <c r="AX143" s="13" t="s">
        <v>77</v>
      </c>
      <c r="AY143" s="243" t="s">
        <v>157</v>
      </c>
    </row>
    <row r="144" s="2" customFormat="1" ht="24.15" customHeight="1">
      <c r="A144" s="37"/>
      <c r="B144" s="38"/>
      <c r="C144" s="218" t="s">
        <v>200</v>
      </c>
      <c r="D144" s="218" t="s">
        <v>159</v>
      </c>
      <c r="E144" s="219" t="s">
        <v>201</v>
      </c>
      <c r="F144" s="220" t="s">
        <v>202</v>
      </c>
      <c r="G144" s="221" t="s">
        <v>162</v>
      </c>
      <c r="H144" s="222">
        <v>5</v>
      </c>
      <c r="I144" s="223"/>
      <c r="J144" s="224">
        <f>ROUND(I144*H144,0)</f>
        <v>0</v>
      </c>
      <c r="K144" s="225"/>
      <c r="L144" s="43"/>
      <c r="M144" s="226" t="s">
        <v>1</v>
      </c>
      <c r="N144" s="227" t="s">
        <v>42</v>
      </c>
      <c r="O144" s="90"/>
      <c r="P144" s="228">
        <f>O144*H144</f>
        <v>0</v>
      </c>
      <c r="Q144" s="228">
        <v>0</v>
      </c>
      <c r="R144" s="228">
        <f>Q144*H144</f>
        <v>0</v>
      </c>
      <c r="S144" s="228">
        <v>0</v>
      </c>
      <c r="T144" s="229">
        <f>S144*H144</f>
        <v>0</v>
      </c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R144" s="230" t="s">
        <v>163</v>
      </c>
      <c r="AT144" s="230" t="s">
        <v>159</v>
      </c>
      <c r="AU144" s="230" t="s">
        <v>86</v>
      </c>
      <c r="AY144" s="16" t="s">
        <v>157</v>
      </c>
      <c r="BE144" s="231">
        <f>IF(N144="základní",J144,0)</f>
        <v>0</v>
      </c>
      <c r="BF144" s="231">
        <f>IF(N144="snížená",J144,0)</f>
        <v>0</v>
      </c>
      <c r="BG144" s="231">
        <f>IF(N144="zákl. přenesená",J144,0)</f>
        <v>0</v>
      </c>
      <c r="BH144" s="231">
        <f>IF(N144="sníž. přenesená",J144,0)</f>
        <v>0</v>
      </c>
      <c r="BI144" s="231">
        <f>IF(N144="nulová",J144,0)</f>
        <v>0</v>
      </c>
      <c r="BJ144" s="16" t="s">
        <v>8</v>
      </c>
      <c r="BK144" s="231">
        <f>ROUND(I144*H144,0)</f>
        <v>0</v>
      </c>
      <c r="BL144" s="16" t="s">
        <v>163</v>
      </c>
      <c r="BM144" s="230" t="s">
        <v>2649</v>
      </c>
    </row>
    <row r="145" s="13" customFormat="1">
      <c r="A145" s="13"/>
      <c r="B145" s="232"/>
      <c r="C145" s="233"/>
      <c r="D145" s="234" t="s">
        <v>165</v>
      </c>
      <c r="E145" s="235" t="s">
        <v>1</v>
      </c>
      <c r="F145" s="236" t="s">
        <v>2650</v>
      </c>
      <c r="G145" s="233"/>
      <c r="H145" s="237">
        <v>5</v>
      </c>
      <c r="I145" s="238"/>
      <c r="J145" s="233"/>
      <c r="K145" s="233"/>
      <c r="L145" s="239"/>
      <c r="M145" s="240"/>
      <c r="N145" s="241"/>
      <c r="O145" s="241"/>
      <c r="P145" s="241"/>
      <c r="Q145" s="241"/>
      <c r="R145" s="241"/>
      <c r="S145" s="241"/>
      <c r="T145" s="242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T145" s="243" t="s">
        <v>165</v>
      </c>
      <c r="AU145" s="243" t="s">
        <v>86</v>
      </c>
      <c r="AV145" s="13" t="s">
        <v>86</v>
      </c>
      <c r="AW145" s="13" t="s">
        <v>32</v>
      </c>
      <c r="AX145" s="13" t="s">
        <v>77</v>
      </c>
      <c r="AY145" s="243" t="s">
        <v>157</v>
      </c>
    </row>
    <row r="146" s="12" customFormat="1" ht="22.8" customHeight="1">
      <c r="A146" s="12"/>
      <c r="B146" s="202"/>
      <c r="C146" s="203"/>
      <c r="D146" s="204" t="s">
        <v>76</v>
      </c>
      <c r="E146" s="216" t="s">
        <v>86</v>
      </c>
      <c r="F146" s="216" t="s">
        <v>212</v>
      </c>
      <c r="G146" s="203"/>
      <c r="H146" s="203"/>
      <c r="I146" s="206"/>
      <c r="J146" s="217">
        <f>BK146</f>
        <v>0</v>
      </c>
      <c r="K146" s="203"/>
      <c r="L146" s="208"/>
      <c r="M146" s="209"/>
      <c r="N146" s="210"/>
      <c r="O146" s="210"/>
      <c r="P146" s="211">
        <f>SUM(P147:P166)</f>
        <v>0</v>
      </c>
      <c r="Q146" s="210"/>
      <c r="R146" s="211">
        <f>SUM(R147:R166)</f>
        <v>67.386388149999988</v>
      </c>
      <c r="S146" s="210"/>
      <c r="T146" s="212">
        <f>SUM(T147:T166)</f>
        <v>1.6990000000000001</v>
      </c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R146" s="213" t="s">
        <v>8</v>
      </c>
      <c r="AT146" s="214" t="s">
        <v>76</v>
      </c>
      <c r="AU146" s="214" t="s">
        <v>8</v>
      </c>
      <c r="AY146" s="213" t="s">
        <v>157</v>
      </c>
      <c r="BK146" s="215">
        <f>SUM(BK147:BK166)</f>
        <v>0</v>
      </c>
    </row>
    <row r="147" s="2" customFormat="1" ht="24.15" customHeight="1">
      <c r="A147" s="37"/>
      <c r="B147" s="38"/>
      <c r="C147" s="218" t="s">
        <v>206</v>
      </c>
      <c r="D147" s="218" t="s">
        <v>159</v>
      </c>
      <c r="E147" s="219" t="s">
        <v>1677</v>
      </c>
      <c r="F147" s="220" t="s">
        <v>1678</v>
      </c>
      <c r="G147" s="221" t="s">
        <v>216</v>
      </c>
      <c r="H147" s="222">
        <v>19</v>
      </c>
      <c r="I147" s="223"/>
      <c r="J147" s="224">
        <f>ROUND(I147*H147,0)</f>
        <v>0</v>
      </c>
      <c r="K147" s="225"/>
      <c r="L147" s="43"/>
      <c r="M147" s="226" t="s">
        <v>1</v>
      </c>
      <c r="N147" s="227" t="s">
        <v>42</v>
      </c>
      <c r="O147" s="90"/>
      <c r="P147" s="228">
        <f>O147*H147</f>
        <v>0</v>
      </c>
      <c r="Q147" s="228">
        <v>0.00014999999999999999</v>
      </c>
      <c r="R147" s="228">
        <f>Q147*H147</f>
        <v>0.0028499999999999997</v>
      </c>
      <c r="S147" s="228">
        <v>0</v>
      </c>
      <c r="T147" s="229">
        <f>S147*H147</f>
        <v>0</v>
      </c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R147" s="230" t="s">
        <v>163</v>
      </c>
      <c r="AT147" s="230" t="s">
        <v>159</v>
      </c>
      <c r="AU147" s="230" t="s">
        <v>86</v>
      </c>
      <c r="AY147" s="16" t="s">
        <v>157</v>
      </c>
      <c r="BE147" s="231">
        <f>IF(N147="základní",J147,0)</f>
        <v>0</v>
      </c>
      <c r="BF147" s="231">
        <f>IF(N147="snížená",J147,0)</f>
        <v>0</v>
      </c>
      <c r="BG147" s="231">
        <f>IF(N147="zákl. přenesená",J147,0)</f>
        <v>0</v>
      </c>
      <c r="BH147" s="231">
        <f>IF(N147="sníž. přenesená",J147,0)</f>
        <v>0</v>
      </c>
      <c r="BI147" s="231">
        <f>IF(N147="nulová",J147,0)</f>
        <v>0</v>
      </c>
      <c r="BJ147" s="16" t="s">
        <v>8</v>
      </c>
      <c r="BK147" s="231">
        <f>ROUND(I147*H147,0)</f>
        <v>0</v>
      </c>
      <c r="BL147" s="16" t="s">
        <v>163</v>
      </c>
      <c r="BM147" s="230" t="s">
        <v>2651</v>
      </c>
    </row>
    <row r="148" s="13" customFormat="1">
      <c r="A148" s="13"/>
      <c r="B148" s="232"/>
      <c r="C148" s="233"/>
      <c r="D148" s="234" t="s">
        <v>165</v>
      </c>
      <c r="E148" s="235" t="s">
        <v>1</v>
      </c>
      <c r="F148" s="236" t="s">
        <v>2652</v>
      </c>
      <c r="G148" s="233"/>
      <c r="H148" s="237">
        <v>19</v>
      </c>
      <c r="I148" s="238"/>
      <c r="J148" s="233"/>
      <c r="K148" s="233"/>
      <c r="L148" s="239"/>
      <c r="M148" s="240"/>
      <c r="N148" s="241"/>
      <c r="O148" s="241"/>
      <c r="P148" s="241"/>
      <c r="Q148" s="241"/>
      <c r="R148" s="241"/>
      <c r="S148" s="241"/>
      <c r="T148" s="242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T148" s="243" t="s">
        <v>165</v>
      </c>
      <c r="AU148" s="243" t="s">
        <v>86</v>
      </c>
      <c r="AV148" s="13" t="s">
        <v>86</v>
      </c>
      <c r="AW148" s="13" t="s">
        <v>32</v>
      </c>
      <c r="AX148" s="13" t="s">
        <v>77</v>
      </c>
      <c r="AY148" s="243" t="s">
        <v>157</v>
      </c>
    </row>
    <row r="149" s="2" customFormat="1" ht="37.8" customHeight="1">
      <c r="A149" s="37"/>
      <c r="B149" s="38"/>
      <c r="C149" s="218" t="s">
        <v>213</v>
      </c>
      <c r="D149" s="218" t="s">
        <v>159</v>
      </c>
      <c r="E149" s="219" t="s">
        <v>1685</v>
      </c>
      <c r="F149" s="220" t="s">
        <v>1686</v>
      </c>
      <c r="G149" s="221" t="s">
        <v>216</v>
      </c>
      <c r="H149" s="222">
        <v>19</v>
      </c>
      <c r="I149" s="223"/>
      <c r="J149" s="224">
        <f>ROUND(I149*H149,0)</f>
        <v>0</v>
      </c>
      <c r="K149" s="225"/>
      <c r="L149" s="43"/>
      <c r="M149" s="226" t="s">
        <v>1</v>
      </c>
      <c r="N149" s="227" t="s">
        <v>42</v>
      </c>
      <c r="O149" s="90"/>
      <c r="P149" s="228">
        <f>O149*H149</f>
        <v>0</v>
      </c>
      <c r="Q149" s="228">
        <v>0</v>
      </c>
      <c r="R149" s="228">
        <f>Q149*H149</f>
        <v>0</v>
      </c>
      <c r="S149" s="228">
        <v>0</v>
      </c>
      <c r="T149" s="229">
        <f>S149*H149</f>
        <v>0</v>
      </c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R149" s="230" t="s">
        <v>163</v>
      </c>
      <c r="AT149" s="230" t="s">
        <v>159</v>
      </c>
      <c r="AU149" s="230" t="s">
        <v>86</v>
      </c>
      <c r="AY149" s="16" t="s">
        <v>157</v>
      </c>
      <c r="BE149" s="231">
        <f>IF(N149="základní",J149,0)</f>
        <v>0</v>
      </c>
      <c r="BF149" s="231">
        <f>IF(N149="snížená",J149,0)</f>
        <v>0</v>
      </c>
      <c r="BG149" s="231">
        <f>IF(N149="zákl. přenesená",J149,0)</f>
        <v>0</v>
      </c>
      <c r="BH149" s="231">
        <f>IF(N149="sníž. přenesená",J149,0)</f>
        <v>0</v>
      </c>
      <c r="BI149" s="231">
        <f>IF(N149="nulová",J149,0)</f>
        <v>0</v>
      </c>
      <c r="BJ149" s="16" t="s">
        <v>8</v>
      </c>
      <c r="BK149" s="231">
        <f>ROUND(I149*H149,0)</f>
        <v>0</v>
      </c>
      <c r="BL149" s="16" t="s">
        <v>163</v>
      </c>
      <c r="BM149" s="230" t="s">
        <v>2653</v>
      </c>
    </row>
    <row r="150" s="2" customFormat="1" ht="24.15" customHeight="1">
      <c r="A150" s="37"/>
      <c r="B150" s="38"/>
      <c r="C150" s="254" t="s">
        <v>219</v>
      </c>
      <c r="D150" s="254" t="s">
        <v>229</v>
      </c>
      <c r="E150" s="255" t="s">
        <v>230</v>
      </c>
      <c r="F150" s="256" t="s">
        <v>231</v>
      </c>
      <c r="G150" s="257" t="s">
        <v>162</v>
      </c>
      <c r="H150" s="258">
        <v>15.669000000000001</v>
      </c>
      <c r="I150" s="259"/>
      <c r="J150" s="260">
        <f>ROUND(I150*H150,0)</f>
        <v>0</v>
      </c>
      <c r="K150" s="261"/>
      <c r="L150" s="262"/>
      <c r="M150" s="263" t="s">
        <v>1</v>
      </c>
      <c r="N150" s="264" t="s">
        <v>42</v>
      </c>
      <c r="O150" s="90"/>
      <c r="P150" s="228">
        <f>O150*H150</f>
        <v>0</v>
      </c>
      <c r="Q150" s="228">
        <v>2.4289999999999998</v>
      </c>
      <c r="R150" s="228">
        <f>Q150*H150</f>
        <v>38.060001</v>
      </c>
      <c r="S150" s="228">
        <v>0</v>
      </c>
      <c r="T150" s="229">
        <f>S150*H150</f>
        <v>0</v>
      </c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R150" s="230" t="s">
        <v>200</v>
      </c>
      <c r="AT150" s="230" t="s">
        <v>229</v>
      </c>
      <c r="AU150" s="230" t="s">
        <v>86</v>
      </c>
      <c r="AY150" s="16" t="s">
        <v>157</v>
      </c>
      <c r="BE150" s="231">
        <f>IF(N150="základní",J150,0)</f>
        <v>0</v>
      </c>
      <c r="BF150" s="231">
        <f>IF(N150="snížená",J150,0)</f>
        <v>0</v>
      </c>
      <c r="BG150" s="231">
        <f>IF(N150="zákl. přenesená",J150,0)</f>
        <v>0</v>
      </c>
      <c r="BH150" s="231">
        <f>IF(N150="sníž. přenesená",J150,0)</f>
        <v>0</v>
      </c>
      <c r="BI150" s="231">
        <f>IF(N150="nulová",J150,0)</f>
        <v>0</v>
      </c>
      <c r="BJ150" s="16" t="s">
        <v>8</v>
      </c>
      <c r="BK150" s="231">
        <f>ROUND(I150*H150,0)</f>
        <v>0</v>
      </c>
      <c r="BL150" s="16" t="s">
        <v>163</v>
      </c>
      <c r="BM150" s="230" t="s">
        <v>2654</v>
      </c>
    </row>
    <row r="151" s="13" customFormat="1">
      <c r="A151" s="13"/>
      <c r="B151" s="232"/>
      <c r="C151" s="233"/>
      <c r="D151" s="234" t="s">
        <v>165</v>
      </c>
      <c r="E151" s="235" t="s">
        <v>1</v>
      </c>
      <c r="F151" s="236" t="s">
        <v>2655</v>
      </c>
      <c r="G151" s="233"/>
      <c r="H151" s="237">
        <v>14.923</v>
      </c>
      <c r="I151" s="238"/>
      <c r="J151" s="233"/>
      <c r="K151" s="233"/>
      <c r="L151" s="239"/>
      <c r="M151" s="240"/>
      <c r="N151" s="241"/>
      <c r="O151" s="241"/>
      <c r="P151" s="241"/>
      <c r="Q151" s="241"/>
      <c r="R151" s="241"/>
      <c r="S151" s="241"/>
      <c r="T151" s="242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T151" s="243" t="s">
        <v>165</v>
      </c>
      <c r="AU151" s="243" t="s">
        <v>86</v>
      </c>
      <c r="AV151" s="13" t="s">
        <v>86</v>
      </c>
      <c r="AW151" s="13" t="s">
        <v>32</v>
      </c>
      <c r="AX151" s="13" t="s">
        <v>8</v>
      </c>
      <c r="AY151" s="243" t="s">
        <v>157</v>
      </c>
    </row>
    <row r="152" s="13" customFormat="1">
      <c r="A152" s="13"/>
      <c r="B152" s="232"/>
      <c r="C152" s="233"/>
      <c r="D152" s="234" t="s">
        <v>165</v>
      </c>
      <c r="E152" s="233"/>
      <c r="F152" s="236" t="s">
        <v>2656</v>
      </c>
      <c r="G152" s="233"/>
      <c r="H152" s="237">
        <v>15.669000000000001</v>
      </c>
      <c r="I152" s="238"/>
      <c r="J152" s="233"/>
      <c r="K152" s="233"/>
      <c r="L152" s="239"/>
      <c r="M152" s="240"/>
      <c r="N152" s="241"/>
      <c r="O152" s="241"/>
      <c r="P152" s="241"/>
      <c r="Q152" s="241"/>
      <c r="R152" s="241"/>
      <c r="S152" s="241"/>
      <c r="T152" s="24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T152" s="243" t="s">
        <v>165</v>
      </c>
      <c r="AU152" s="243" t="s">
        <v>86</v>
      </c>
      <c r="AV152" s="13" t="s">
        <v>86</v>
      </c>
      <c r="AW152" s="13" t="s">
        <v>4</v>
      </c>
      <c r="AX152" s="13" t="s">
        <v>8</v>
      </c>
      <c r="AY152" s="243" t="s">
        <v>157</v>
      </c>
    </row>
    <row r="153" s="2" customFormat="1" ht="24.15" customHeight="1">
      <c r="A153" s="37"/>
      <c r="B153" s="38"/>
      <c r="C153" s="218" t="s">
        <v>9</v>
      </c>
      <c r="D153" s="218" t="s">
        <v>159</v>
      </c>
      <c r="E153" s="219" t="s">
        <v>236</v>
      </c>
      <c r="F153" s="220" t="s">
        <v>237</v>
      </c>
      <c r="G153" s="221" t="s">
        <v>193</v>
      </c>
      <c r="H153" s="222">
        <v>0.64300000000000002</v>
      </c>
      <c r="I153" s="223"/>
      <c r="J153" s="224">
        <f>ROUND(I153*H153,0)</f>
        <v>0</v>
      </c>
      <c r="K153" s="225"/>
      <c r="L153" s="43"/>
      <c r="M153" s="226" t="s">
        <v>1</v>
      </c>
      <c r="N153" s="227" t="s">
        <v>42</v>
      </c>
      <c r="O153" s="90"/>
      <c r="P153" s="228">
        <f>O153*H153</f>
        <v>0</v>
      </c>
      <c r="Q153" s="228">
        <v>1.11381</v>
      </c>
      <c r="R153" s="228">
        <f>Q153*H153</f>
        <v>0.71617982999999996</v>
      </c>
      <c r="S153" s="228">
        <v>0</v>
      </c>
      <c r="T153" s="229">
        <f>S153*H153</f>
        <v>0</v>
      </c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R153" s="230" t="s">
        <v>163</v>
      </c>
      <c r="AT153" s="230" t="s">
        <v>159</v>
      </c>
      <c r="AU153" s="230" t="s">
        <v>86</v>
      </c>
      <c r="AY153" s="16" t="s">
        <v>157</v>
      </c>
      <c r="BE153" s="231">
        <f>IF(N153="základní",J153,0)</f>
        <v>0</v>
      </c>
      <c r="BF153" s="231">
        <f>IF(N153="snížená",J153,0)</f>
        <v>0</v>
      </c>
      <c r="BG153" s="231">
        <f>IF(N153="zákl. přenesená",J153,0)</f>
        <v>0</v>
      </c>
      <c r="BH153" s="231">
        <f>IF(N153="sníž. přenesená",J153,0)</f>
        <v>0</v>
      </c>
      <c r="BI153" s="231">
        <f>IF(N153="nulová",J153,0)</f>
        <v>0</v>
      </c>
      <c r="BJ153" s="16" t="s">
        <v>8</v>
      </c>
      <c r="BK153" s="231">
        <f>ROUND(I153*H153,0)</f>
        <v>0</v>
      </c>
      <c r="BL153" s="16" t="s">
        <v>163</v>
      </c>
      <c r="BM153" s="230" t="s">
        <v>2657</v>
      </c>
    </row>
    <row r="154" s="13" customFormat="1">
      <c r="A154" s="13"/>
      <c r="B154" s="232"/>
      <c r="C154" s="233"/>
      <c r="D154" s="234" t="s">
        <v>165</v>
      </c>
      <c r="E154" s="235" t="s">
        <v>1</v>
      </c>
      <c r="F154" s="236" t="s">
        <v>2658</v>
      </c>
      <c r="G154" s="233"/>
      <c r="H154" s="237">
        <v>0.53400000000000003</v>
      </c>
      <c r="I154" s="238"/>
      <c r="J154" s="233"/>
      <c r="K154" s="233"/>
      <c r="L154" s="239"/>
      <c r="M154" s="240"/>
      <c r="N154" s="241"/>
      <c r="O154" s="241"/>
      <c r="P154" s="241"/>
      <c r="Q154" s="241"/>
      <c r="R154" s="241"/>
      <c r="S154" s="241"/>
      <c r="T154" s="24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T154" s="243" t="s">
        <v>165</v>
      </c>
      <c r="AU154" s="243" t="s">
        <v>86</v>
      </c>
      <c r="AV154" s="13" t="s">
        <v>86</v>
      </c>
      <c r="AW154" s="13" t="s">
        <v>32</v>
      </c>
      <c r="AX154" s="13" t="s">
        <v>77</v>
      </c>
      <c r="AY154" s="243" t="s">
        <v>157</v>
      </c>
    </row>
    <row r="155" s="13" customFormat="1">
      <c r="A155" s="13"/>
      <c r="B155" s="232"/>
      <c r="C155" s="233"/>
      <c r="D155" s="234" t="s">
        <v>165</v>
      </c>
      <c r="E155" s="235" t="s">
        <v>1</v>
      </c>
      <c r="F155" s="236" t="s">
        <v>2659</v>
      </c>
      <c r="G155" s="233"/>
      <c r="H155" s="237">
        <v>0.109</v>
      </c>
      <c r="I155" s="238"/>
      <c r="J155" s="233"/>
      <c r="K155" s="233"/>
      <c r="L155" s="239"/>
      <c r="M155" s="240"/>
      <c r="N155" s="241"/>
      <c r="O155" s="241"/>
      <c r="P155" s="241"/>
      <c r="Q155" s="241"/>
      <c r="R155" s="241"/>
      <c r="S155" s="241"/>
      <c r="T155" s="24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T155" s="243" t="s">
        <v>165</v>
      </c>
      <c r="AU155" s="243" t="s">
        <v>86</v>
      </c>
      <c r="AV155" s="13" t="s">
        <v>86</v>
      </c>
      <c r="AW155" s="13" t="s">
        <v>32</v>
      </c>
      <c r="AX155" s="13" t="s">
        <v>77</v>
      </c>
      <c r="AY155" s="243" t="s">
        <v>157</v>
      </c>
    </row>
    <row r="156" s="2" customFormat="1" ht="24.15" customHeight="1">
      <c r="A156" s="37"/>
      <c r="B156" s="38"/>
      <c r="C156" s="218" t="s">
        <v>228</v>
      </c>
      <c r="D156" s="218" t="s">
        <v>159</v>
      </c>
      <c r="E156" s="219" t="s">
        <v>1697</v>
      </c>
      <c r="F156" s="220" t="s">
        <v>1698</v>
      </c>
      <c r="G156" s="221" t="s">
        <v>216</v>
      </c>
      <c r="H156" s="222">
        <v>1</v>
      </c>
      <c r="I156" s="223"/>
      <c r="J156" s="224">
        <f>ROUND(I156*H156,0)</f>
        <v>0</v>
      </c>
      <c r="K156" s="225"/>
      <c r="L156" s="43"/>
      <c r="M156" s="226" t="s">
        <v>1</v>
      </c>
      <c r="N156" s="227" t="s">
        <v>42</v>
      </c>
      <c r="O156" s="90"/>
      <c r="P156" s="228">
        <f>O156*H156</f>
        <v>0</v>
      </c>
      <c r="Q156" s="228">
        <v>0</v>
      </c>
      <c r="R156" s="228">
        <f>Q156*H156</f>
        <v>0</v>
      </c>
      <c r="S156" s="228">
        <v>1.6990000000000001</v>
      </c>
      <c r="T156" s="229">
        <f>S156*H156</f>
        <v>1.6990000000000001</v>
      </c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R156" s="230" t="s">
        <v>163</v>
      </c>
      <c r="AT156" s="230" t="s">
        <v>159</v>
      </c>
      <c r="AU156" s="230" t="s">
        <v>86</v>
      </c>
      <c r="AY156" s="16" t="s">
        <v>157</v>
      </c>
      <c r="BE156" s="231">
        <f>IF(N156="základní",J156,0)</f>
        <v>0</v>
      </c>
      <c r="BF156" s="231">
        <f>IF(N156="snížená",J156,0)</f>
        <v>0</v>
      </c>
      <c r="BG156" s="231">
        <f>IF(N156="zákl. přenesená",J156,0)</f>
        <v>0</v>
      </c>
      <c r="BH156" s="231">
        <f>IF(N156="sníž. přenesená",J156,0)</f>
        <v>0</v>
      </c>
      <c r="BI156" s="231">
        <f>IF(N156="nulová",J156,0)</f>
        <v>0</v>
      </c>
      <c r="BJ156" s="16" t="s">
        <v>8</v>
      </c>
      <c r="BK156" s="231">
        <f>ROUND(I156*H156,0)</f>
        <v>0</v>
      </c>
      <c r="BL156" s="16" t="s">
        <v>163</v>
      </c>
      <c r="BM156" s="230" t="s">
        <v>2660</v>
      </c>
    </row>
    <row r="157" s="13" customFormat="1">
      <c r="A157" s="13"/>
      <c r="B157" s="232"/>
      <c r="C157" s="233"/>
      <c r="D157" s="234" t="s">
        <v>165</v>
      </c>
      <c r="E157" s="235" t="s">
        <v>1</v>
      </c>
      <c r="F157" s="236" t="s">
        <v>2661</v>
      </c>
      <c r="G157" s="233"/>
      <c r="H157" s="237">
        <v>1</v>
      </c>
      <c r="I157" s="238"/>
      <c r="J157" s="233"/>
      <c r="K157" s="233"/>
      <c r="L157" s="239"/>
      <c r="M157" s="240"/>
      <c r="N157" s="241"/>
      <c r="O157" s="241"/>
      <c r="P157" s="241"/>
      <c r="Q157" s="241"/>
      <c r="R157" s="241"/>
      <c r="S157" s="241"/>
      <c r="T157" s="24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T157" s="243" t="s">
        <v>165</v>
      </c>
      <c r="AU157" s="243" t="s">
        <v>86</v>
      </c>
      <c r="AV157" s="13" t="s">
        <v>86</v>
      </c>
      <c r="AW157" s="13" t="s">
        <v>32</v>
      </c>
      <c r="AX157" s="13" t="s">
        <v>77</v>
      </c>
      <c r="AY157" s="243" t="s">
        <v>157</v>
      </c>
    </row>
    <row r="158" s="2" customFormat="1" ht="24.15" customHeight="1">
      <c r="A158" s="37"/>
      <c r="B158" s="38"/>
      <c r="C158" s="218" t="s">
        <v>235</v>
      </c>
      <c r="D158" s="218" t="s">
        <v>159</v>
      </c>
      <c r="E158" s="219" t="s">
        <v>2662</v>
      </c>
      <c r="F158" s="220" t="s">
        <v>2663</v>
      </c>
      <c r="G158" s="221" t="s">
        <v>162</v>
      </c>
      <c r="H158" s="222">
        <v>1.1850000000000001</v>
      </c>
      <c r="I158" s="223"/>
      <c r="J158" s="224">
        <f>ROUND(I158*H158,0)</f>
        <v>0</v>
      </c>
      <c r="K158" s="225"/>
      <c r="L158" s="43"/>
      <c r="M158" s="226" t="s">
        <v>1</v>
      </c>
      <c r="N158" s="227" t="s">
        <v>42</v>
      </c>
      <c r="O158" s="90"/>
      <c r="P158" s="228">
        <f>O158*H158</f>
        <v>0</v>
      </c>
      <c r="Q158" s="228">
        <v>2.1600000000000001</v>
      </c>
      <c r="R158" s="228">
        <f>Q158*H158</f>
        <v>2.5596000000000001</v>
      </c>
      <c r="S158" s="228">
        <v>0</v>
      </c>
      <c r="T158" s="229">
        <f>S158*H158</f>
        <v>0</v>
      </c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R158" s="230" t="s">
        <v>163</v>
      </c>
      <c r="AT158" s="230" t="s">
        <v>159</v>
      </c>
      <c r="AU158" s="230" t="s">
        <v>86</v>
      </c>
      <c r="AY158" s="16" t="s">
        <v>157</v>
      </c>
      <c r="BE158" s="231">
        <f>IF(N158="základní",J158,0)</f>
        <v>0</v>
      </c>
      <c r="BF158" s="231">
        <f>IF(N158="snížená",J158,0)</f>
        <v>0</v>
      </c>
      <c r="BG158" s="231">
        <f>IF(N158="zákl. přenesená",J158,0)</f>
        <v>0</v>
      </c>
      <c r="BH158" s="231">
        <f>IF(N158="sníž. přenesená",J158,0)</f>
        <v>0</v>
      </c>
      <c r="BI158" s="231">
        <f>IF(N158="nulová",J158,0)</f>
        <v>0</v>
      </c>
      <c r="BJ158" s="16" t="s">
        <v>8</v>
      </c>
      <c r="BK158" s="231">
        <f>ROUND(I158*H158,0)</f>
        <v>0</v>
      </c>
      <c r="BL158" s="16" t="s">
        <v>163</v>
      </c>
      <c r="BM158" s="230" t="s">
        <v>2664</v>
      </c>
    </row>
    <row r="159" s="13" customFormat="1">
      <c r="A159" s="13"/>
      <c r="B159" s="232"/>
      <c r="C159" s="233"/>
      <c r="D159" s="234" t="s">
        <v>165</v>
      </c>
      <c r="E159" s="235" t="s">
        <v>1</v>
      </c>
      <c r="F159" s="236" t="s">
        <v>2665</v>
      </c>
      <c r="G159" s="233"/>
      <c r="H159" s="237">
        <v>1.1850000000000001</v>
      </c>
      <c r="I159" s="238"/>
      <c r="J159" s="233"/>
      <c r="K159" s="233"/>
      <c r="L159" s="239"/>
      <c r="M159" s="240"/>
      <c r="N159" s="241"/>
      <c r="O159" s="241"/>
      <c r="P159" s="241"/>
      <c r="Q159" s="241"/>
      <c r="R159" s="241"/>
      <c r="S159" s="241"/>
      <c r="T159" s="242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T159" s="243" t="s">
        <v>165</v>
      </c>
      <c r="AU159" s="243" t="s">
        <v>86</v>
      </c>
      <c r="AV159" s="13" t="s">
        <v>86</v>
      </c>
      <c r="AW159" s="13" t="s">
        <v>32</v>
      </c>
      <c r="AX159" s="13" t="s">
        <v>77</v>
      </c>
      <c r="AY159" s="243" t="s">
        <v>157</v>
      </c>
    </row>
    <row r="160" s="2" customFormat="1" ht="24.15" customHeight="1">
      <c r="A160" s="37"/>
      <c r="B160" s="38"/>
      <c r="C160" s="218" t="s">
        <v>241</v>
      </c>
      <c r="D160" s="218" t="s">
        <v>159</v>
      </c>
      <c r="E160" s="219" t="s">
        <v>2666</v>
      </c>
      <c r="F160" s="220" t="s">
        <v>2667</v>
      </c>
      <c r="G160" s="221" t="s">
        <v>162</v>
      </c>
      <c r="H160" s="222">
        <v>10.01</v>
      </c>
      <c r="I160" s="223"/>
      <c r="J160" s="224">
        <f>ROUND(I160*H160,0)</f>
        <v>0</v>
      </c>
      <c r="K160" s="225"/>
      <c r="L160" s="43"/>
      <c r="M160" s="226" t="s">
        <v>1</v>
      </c>
      <c r="N160" s="227" t="s">
        <v>42</v>
      </c>
      <c r="O160" s="90"/>
      <c r="P160" s="228">
        <f>O160*H160</f>
        <v>0</v>
      </c>
      <c r="Q160" s="228">
        <v>2.5018699999999998</v>
      </c>
      <c r="R160" s="228">
        <f>Q160*H160</f>
        <v>25.043718699999996</v>
      </c>
      <c r="S160" s="228">
        <v>0</v>
      </c>
      <c r="T160" s="229">
        <f>S160*H160</f>
        <v>0</v>
      </c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R160" s="230" t="s">
        <v>163</v>
      </c>
      <c r="AT160" s="230" t="s">
        <v>159</v>
      </c>
      <c r="AU160" s="230" t="s">
        <v>86</v>
      </c>
      <c r="AY160" s="16" t="s">
        <v>157</v>
      </c>
      <c r="BE160" s="231">
        <f>IF(N160="základní",J160,0)</f>
        <v>0</v>
      </c>
      <c r="BF160" s="231">
        <f>IF(N160="snížená",J160,0)</f>
        <v>0</v>
      </c>
      <c r="BG160" s="231">
        <f>IF(N160="zákl. přenesená",J160,0)</f>
        <v>0</v>
      </c>
      <c r="BH160" s="231">
        <f>IF(N160="sníž. přenesená",J160,0)</f>
        <v>0</v>
      </c>
      <c r="BI160" s="231">
        <f>IF(N160="nulová",J160,0)</f>
        <v>0</v>
      </c>
      <c r="BJ160" s="16" t="s">
        <v>8</v>
      </c>
      <c r="BK160" s="231">
        <f>ROUND(I160*H160,0)</f>
        <v>0</v>
      </c>
      <c r="BL160" s="16" t="s">
        <v>163</v>
      </c>
      <c r="BM160" s="230" t="s">
        <v>2668</v>
      </c>
    </row>
    <row r="161" s="13" customFormat="1">
      <c r="A161" s="13"/>
      <c r="B161" s="232"/>
      <c r="C161" s="233"/>
      <c r="D161" s="234" t="s">
        <v>165</v>
      </c>
      <c r="E161" s="235" t="s">
        <v>1</v>
      </c>
      <c r="F161" s="236" t="s">
        <v>2669</v>
      </c>
      <c r="G161" s="233"/>
      <c r="H161" s="237">
        <v>10.01</v>
      </c>
      <c r="I161" s="238"/>
      <c r="J161" s="233"/>
      <c r="K161" s="233"/>
      <c r="L161" s="239"/>
      <c r="M161" s="240"/>
      <c r="N161" s="241"/>
      <c r="O161" s="241"/>
      <c r="P161" s="241"/>
      <c r="Q161" s="241"/>
      <c r="R161" s="241"/>
      <c r="S161" s="241"/>
      <c r="T161" s="24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T161" s="243" t="s">
        <v>165</v>
      </c>
      <c r="AU161" s="243" t="s">
        <v>86</v>
      </c>
      <c r="AV161" s="13" t="s">
        <v>86</v>
      </c>
      <c r="AW161" s="13" t="s">
        <v>32</v>
      </c>
      <c r="AX161" s="13" t="s">
        <v>77</v>
      </c>
      <c r="AY161" s="243" t="s">
        <v>157</v>
      </c>
    </row>
    <row r="162" s="2" customFormat="1" ht="16.5" customHeight="1">
      <c r="A162" s="37"/>
      <c r="B162" s="38"/>
      <c r="C162" s="218" t="s">
        <v>246</v>
      </c>
      <c r="D162" s="218" t="s">
        <v>159</v>
      </c>
      <c r="E162" s="219" t="s">
        <v>272</v>
      </c>
      <c r="F162" s="220" t="s">
        <v>273</v>
      </c>
      <c r="G162" s="221" t="s">
        <v>209</v>
      </c>
      <c r="H162" s="222">
        <v>18</v>
      </c>
      <c r="I162" s="223"/>
      <c r="J162" s="224">
        <f>ROUND(I162*H162,0)</f>
        <v>0</v>
      </c>
      <c r="K162" s="225"/>
      <c r="L162" s="43"/>
      <c r="M162" s="226" t="s">
        <v>1</v>
      </c>
      <c r="N162" s="227" t="s">
        <v>42</v>
      </c>
      <c r="O162" s="90"/>
      <c r="P162" s="228">
        <f>O162*H162</f>
        <v>0</v>
      </c>
      <c r="Q162" s="228">
        <v>0.0026900000000000001</v>
      </c>
      <c r="R162" s="228">
        <f>Q162*H162</f>
        <v>0.048420000000000005</v>
      </c>
      <c r="S162" s="228">
        <v>0</v>
      </c>
      <c r="T162" s="229">
        <f>S162*H162</f>
        <v>0</v>
      </c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R162" s="230" t="s">
        <v>163</v>
      </c>
      <c r="AT162" s="230" t="s">
        <v>159</v>
      </c>
      <c r="AU162" s="230" t="s">
        <v>86</v>
      </c>
      <c r="AY162" s="16" t="s">
        <v>157</v>
      </c>
      <c r="BE162" s="231">
        <f>IF(N162="základní",J162,0)</f>
        <v>0</v>
      </c>
      <c r="BF162" s="231">
        <f>IF(N162="snížená",J162,0)</f>
        <v>0</v>
      </c>
      <c r="BG162" s="231">
        <f>IF(N162="zákl. přenesená",J162,0)</f>
        <v>0</v>
      </c>
      <c r="BH162" s="231">
        <f>IF(N162="sníž. přenesená",J162,0)</f>
        <v>0</v>
      </c>
      <c r="BI162" s="231">
        <f>IF(N162="nulová",J162,0)</f>
        <v>0</v>
      </c>
      <c r="BJ162" s="16" t="s">
        <v>8</v>
      </c>
      <c r="BK162" s="231">
        <f>ROUND(I162*H162,0)</f>
        <v>0</v>
      </c>
      <c r="BL162" s="16" t="s">
        <v>163</v>
      </c>
      <c r="BM162" s="230" t="s">
        <v>2670</v>
      </c>
    </row>
    <row r="163" s="13" customFormat="1">
      <c r="A163" s="13"/>
      <c r="B163" s="232"/>
      <c r="C163" s="233"/>
      <c r="D163" s="234" t="s">
        <v>165</v>
      </c>
      <c r="E163" s="235" t="s">
        <v>1</v>
      </c>
      <c r="F163" s="236" t="s">
        <v>2671</v>
      </c>
      <c r="G163" s="233"/>
      <c r="H163" s="237">
        <v>18</v>
      </c>
      <c r="I163" s="238"/>
      <c r="J163" s="233"/>
      <c r="K163" s="233"/>
      <c r="L163" s="239"/>
      <c r="M163" s="240"/>
      <c r="N163" s="241"/>
      <c r="O163" s="241"/>
      <c r="P163" s="241"/>
      <c r="Q163" s="241"/>
      <c r="R163" s="241"/>
      <c r="S163" s="241"/>
      <c r="T163" s="242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T163" s="243" t="s">
        <v>165</v>
      </c>
      <c r="AU163" s="243" t="s">
        <v>86</v>
      </c>
      <c r="AV163" s="13" t="s">
        <v>86</v>
      </c>
      <c r="AW163" s="13" t="s">
        <v>32</v>
      </c>
      <c r="AX163" s="13" t="s">
        <v>77</v>
      </c>
      <c r="AY163" s="243" t="s">
        <v>157</v>
      </c>
    </row>
    <row r="164" s="2" customFormat="1" ht="16.5" customHeight="1">
      <c r="A164" s="37"/>
      <c r="B164" s="38"/>
      <c r="C164" s="218" t="s">
        <v>251</v>
      </c>
      <c r="D164" s="218" t="s">
        <v>159</v>
      </c>
      <c r="E164" s="219" t="s">
        <v>279</v>
      </c>
      <c r="F164" s="220" t="s">
        <v>280</v>
      </c>
      <c r="G164" s="221" t="s">
        <v>209</v>
      </c>
      <c r="H164" s="222">
        <v>18</v>
      </c>
      <c r="I164" s="223"/>
      <c r="J164" s="224">
        <f>ROUND(I164*H164,0)</f>
        <v>0</v>
      </c>
      <c r="K164" s="225"/>
      <c r="L164" s="43"/>
      <c r="M164" s="226" t="s">
        <v>1</v>
      </c>
      <c r="N164" s="227" t="s">
        <v>42</v>
      </c>
      <c r="O164" s="90"/>
      <c r="P164" s="228">
        <f>O164*H164</f>
        <v>0</v>
      </c>
      <c r="Q164" s="228">
        <v>0</v>
      </c>
      <c r="R164" s="228">
        <f>Q164*H164</f>
        <v>0</v>
      </c>
      <c r="S164" s="228">
        <v>0</v>
      </c>
      <c r="T164" s="229">
        <f>S164*H164</f>
        <v>0</v>
      </c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R164" s="230" t="s">
        <v>163</v>
      </c>
      <c r="AT164" s="230" t="s">
        <v>159</v>
      </c>
      <c r="AU164" s="230" t="s">
        <v>86</v>
      </c>
      <c r="AY164" s="16" t="s">
        <v>157</v>
      </c>
      <c r="BE164" s="231">
        <f>IF(N164="základní",J164,0)</f>
        <v>0</v>
      </c>
      <c r="BF164" s="231">
        <f>IF(N164="snížená",J164,0)</f>
        <v>0</v>
      </c>
      <c r="BG164" s="231">
        <f>IF(N164="zákl. přenesená",J164,0)</f>
        <v>0</v>
      </c>
      <c r="BH164" s="231">
        <f>IF(N164="sníž. přenesená",J164,0)</f>
        <v>0</v>
      </c>
      <c r="BI164" s="231">
        <f>IF(N164="nulová",J164,0)</f>
        <v>0</v>
      </c>
      <c r="BJ164" s="16" t="s">
        <v>8</v>
      </c>
      <c r="BK164" s="231">
        <f>ROUND(I164*H164,0)</f>
        <v>0</v>
      </c>
      <c r="BL164" s="16" t="s">
        <v>163</v>
      </c>
      <c r="BM164" s="230" t="s">
        <v>2672</v>
      </c>
    </row>
    <row r="165" s="2" customFormat="1" ht="21.75" customHeight="1">
      <c r="A165" s="37"/>
      <c r="B165" s="38"/>
      <c r="C165" s="218" t="s">
        <v>256</v>
      </c>
      <c r="D165" s="218" t="s">
        <v>159</v>
      </c>
      <c r="E165" s="219" t="s">
        <v>283</v>
      </c>
      <c r="F165" s="220" t="s">
        <v>284</v>
      </c>
      <c r="G165" s="221" t="s">
        <v>193</v>
      </c>
      <c r="H165" s="222">
        <v>0.90100000000000002</v>
      </c>
      <c r="I165" s="223"/>
      <c r="J165" s="224">
        <f>ROUND(I165*H165,0)</f>
        <v>0</v>
      </c>
      <c r="K165" s="225"/>
      <c r="L165" s="43"/>
      <c r="M165" s="226" t="s">
        <v>1</v>
      </c>
      <c r="N165" s="227" t="s">
        <v>42</v>
      </c>
      <c r="O165" s="90"/>
      <c r="P165" s="228">
        <f>O165*H165</f>
        <v>0</v>
      </c>
      <c r="Q165" s="228">
        <v>1.0606199999999999</v>
      </c>
      <c r="R165" s="228">
        <f>Q165*H165</f>
        <v>0.95561861999999997</v>
      </c>
      <c r="S165" s="228">
        <v>0</v>
      </c>
      <c r="T165" s="229">
        <f>S165*H165</f>
        <v>0</v>
      </c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R165" s="230" t="s">
        <v>163</v>
      </c>
      <c r="AT165" s="230" t="s">
        <v>159</v>
      </c>
      <c r="AU165" s="230" t="s">
        <v>86</v>
      </c>
      <c r="AY165" s="16" t="s">
        <v>157</v>
      </c>
      <c r="BE165" s="231">
        <f>IF(N165="základní",J165,0)</f>
        <v>0</v>
      </c>
      <c r="BF165" s="231">
        <f>IF(N165="snížená",J165,0)</f>
        <v>0</v>
      </c>
      <c r="BG165" s="231">
        <f>IF(N165="zákl. přenesená",J165,0)</f>
        <v>0</v>
      </c>
      <c r="BH165" s="231">
        <f>IF(N165="sníž. přenesená",J165,0)</f>
        <v>0</v>
      </c>
      <c r="BI165" s="231">
        <f>IF(N165="nulová",J165,0)</f>
        <v>0</v>
      </c>
      <c r="BJ165" s="16" t="s">
        <v>8</v>
      </c>
      <c r="BK165" s="231">
        <f>ROUND(I165*H165,0)</f>
        <v>0</v>
      </c>
      <c r="BL165" s="16" t="s">
        <v>163</v>
      </c>
      <c r="BM165" s="230" t="s">
        <v>2673</v>
      </c>
    </row>
    <row r="166" s="13" customFormat="1">
      <c r="A166" s="13"/>
      <c r="B166" s="232"/>
      <c r="C166" s="233"/>
      <c r="D166" s="234" t="s">
        <v>165</v>
      </c>
      <c r="E166" s="235" t="s">
        <v>1</v>
      </c>
      <c r="F166" s="236" t="s">
        <v>2674</v>
      </c>
      <c r="G166" s="233"/>
      <c r="H166" s="237">
        <v>0.90100000000000002</v>
      </c>
      <c r="I166" s="238"/>
      <c r="J166" s="233"/>
      <c r="K166" s="233"/>
      <c r="L166" s="239"/>
      <c r="M166" s="240"/>
      <c r="N166" s="241"/>
      <c r="O166" s="241"/>
      <c r="P166" s="241"/>
      <c r="Q166" s="241"/>
      <c r="R166" s="241"/>
      <c r="S166" s="241"/>
      <c r="T166" s="242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T166" s="243" t="s">
        <v>165</v>
      </c>
      <c r="AU166" s="243" t="s">
        <v>86</v>
      </c>
      <c r="AV166" s="13" t="s">
        <v>86</v>
      </c>
      <c r="AW166" s="13" t="s">
        <v>32</v>
      </c>
      <c r="AX166" s="13" t="s">
        <v>77</v>
      </c>
      <c r="AY166" s="243" t="s">
        <v>157</v>
      </c>
    </row>
    <row r="167" s="12" customFormat="1" ht="22.8" customHeight="1">
      <c r="A167" s="12"/>
      <c r="B167" s="202"/>
      <c r="C167" s="203"/>
      <c r="D167" s="204" t="s">
        <v>76</v>
      </c>
      <c r="E167" s="216" t="s">
        <v>630</v>
      </c>
      <c r="F167" s="216" t="s">
        <v>631</v>
      </c>
      <c r="G167" s="203"/>
      <c r="H167" s="203"/>
      <c r="I167" s="206"/>
      <c r="J167" s="217">
        <f>BK167</f>
        <v>0</v>
      </c>
      <c r="K167" s="203"/>
      <c r="L167" s="208"/>
      <c r="M167" s="209"/>
      <c r="N167" s="210"/>
      <c r="O167" s="210"/>
      <c r="P167" s="211">
        <f>P168</f>
        <v>0</v>
      </c>
      <c r="Q167" s="210"/>
      <c r="R167" s="211">
        <f>R168</f>
        <v>0</v>
      </c>
      <c r="S167" s="210"/>
      <c r="T167" s="212">
        <f>T168</f>
        <v>0</v>
      </c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R167" s="213" t="s">
        <v>8</v>
      </c>
      <c r="AT167" s="214" t="s">
        <v>76</v>
      </c>
      <c r="AU167" s="214" t="s">
        <v>8</v>
      </c>
      <c r="AY167" s="213" t="s">
        <v>157</v>
      </c>
      <c r="BK167" s="215">
        <f>BK168</f>
        <v>0</v>
      </c>
    </row>
    <row r="168" s="2" customFormat="1" ht="24.15" customHeight="1">
      <c r="A168" s="37"/>
      <c r="B168" s="38"/>
      <c r="C168" s="218" t="s">
        <v>260</v>
      </c>
      <c r="D168" s="218" t="s">
        <v>159</v>
      </c>
      <c r="E168" s="219" t="s">
        <v>2675</v>
      </c>
      <c r="F168" s="220" t="s">
        <v>2676</v>
      </c>
      <c r="G168" s="221" t="s">
        <v>193</v>
      </c>
      <c r="H168" s="222">
        <v>67.385999999999996</v>
      </c>
      <c r="I168" s="223"/>
      <c r="J168" s="224">
        <f>ROUND(I168*H168,0)</f>
        <v>0</v>
      </c>
      <c r="K168" s="225"/>
      <c r="L168" s="43"/>
      <c r="M168" s="226" t="s">
        <v>1</v>
      </c>
      <c r="N168" s="227" t="s">
        <v>42</v>
      </c>
      <c r="O168" s="90"/>
      <c r="P168" s="228">
        <f>O168*H168</f>
        <v>0</v>
      </c>
      <c r="Q168" s="228">
        <v>0</v>
      </c>
      <c r="R168" s="228">
        <f>Q168*H168</f>
        <v>0</v>
      </c>
      <c r="S168" s="228">
        <v>0</v>
      </c>
      <c r="T168" s="229">
        <f>S168*H168</f>
        <v>0</v>
      </c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R168" s="230" t="s">
        <v>163</v>
      </c>
      <c r="AT168" s="230" t="s">
        <v>159</v>
      </c>
      <c r="AU168" s="230" t="s">
        <v>86</v>
      </c>
      <c r="AY168" s="16" t="s">
        <v>157</v>
      </c>
      <c r="BE168" s="231">
        <f>IF(N168="základní",J168,0)</f>
        <v>0</v>
      </c>
      <c r="BF168" s="231">
        <f>IF(N168="snížená",J168,0)</f>
        <v>0</v>
      </c>
      <c r="BG168" s="231">
        <f>IF(N168="zákl. přenesená",J168,0)</f>
        <v>0</v>
      </c>
      <c r="BH168" s="231">
        <f>IF(N168="sníž. přenesená",J168,0)</f>
        <v>0</v>
      </c>
      <c r="BI168" s="231">
        <f>IF(N168="nulová",J168,0)</f>
        <v>0</v>
      </c>
      <c r="BJ168" s="16" t="s">
        <v>8</v>
      </c>
      <c r="BK168" s="231">
        <f>ROUND(I168*H168,0)</f>
        <v>0</v>
      </c>
      <c r="BL168" s="16" t="s">
        <v>163</v>
      </c>
      <c r="BM168" s="230" t="s">
        <v>2677</v>
      </c>
    </row>
    <row r="169" s="12" customFormat="1" ht="25.92" customHeight="1">
      <c r="A169" s="12"/>
      <c r="B169" s="202"/>
      <c r="C169" s="203"/>
      <c r="D169" s="204" t="s">
        <v>76</v>
      </c>
      <c r="E169" s="205" t="s">
        <v>636</v>
      </c>
      <c r="F169" s="205" t="s">
        <v>636</v>
      </c>
      <c r="G169" s="203"/>
      <c r="H169" s="203"/>
      <c r="I169" s="206"/>
      <c r="J169" s="207">
        <f>BK169</f>
        <v>0</v>
      </c>
      <c r="K169" s="203"/>
      <c r="L169" s="208"/>
      <c r="M169" s="209"/>
      <c r="N169" s="210"/>
      <c r="O169" s="210"/>
      <c r="P169" s="211">
        <f>P170+P179+P183</f>
        <v>0</v>
      </c>
      <c r="Q169" s="210"/>
      <c r="R169" s="211">
        <f>R170+R179+R183</f>
        <v>109.4614162</v>
      </c>
      <c r="S169" s="210"/>
      <c r="T169" s="212">
        <f>T170+T179+T183</f>
        <v>0</v>
      </c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R169" s="213" t="s">
        <v>86</v>
      </c>
      <c r="AT169" s="214" t="s">
        <v>76</v>
      </c>
      <c r="AU169" s="214" t="s">
        <v>77</v>
      </c>
      <c r="AY169" s="213" t="s">
        <v>157</v>
      </c>
      <c r="BK169" s="215">
        <f>BK170+BK179+BK183</f>
        <v>0</v>
      </c>
    </row>
    <row r="170" s="12" customFormat="1" ht="22.8" customHeight="1">
      <c r="A170" s="12"/>
      <c r="B170" s="202"/>
      <c r="C170" s="203"/>
      <c r="D170" s="204" t="s">
        <v>76</v>
      </c>
      <c r="E170" s="216" t="s">
        <v>1193</v>
      </c>
      <c r="F170" s="216" t="s">
        <v>1194</v>
      </c>
      <c r="G170" s="203"/>
      <c r="H170" s="203"/>
      <c r="I170" s="206"/>
      <c r="J170" s="217">
        <f>BK170</f>
        <v>0</v>
      </c>
      <c r="K170" s="203"/>
      <c r="L170" s="208"/>
      <c r="M170" s="209"/>
      <c r="N170" s="210"/>
      <c r="O170" s="210"/>
      <c r="P170" s="211">
        <f>SUM(P171:P178)</f>
        <v>0</v>
      </c>
      <c r="Q170" s="210"/>
      <c r="R170" s="211">
        <f>SUM(R171:R178)</f>
        <v>0.16506199999999999</v>
      </c>
      <c r="S170" s="210"/>
      <c r="T170" s="212">
        <f>SUM(T171:T178)</f>
        <v>0</v>
      </c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R170" s="213" t="s">
        <v>86</v>
      </c>
      <c r="AT170" s="214" t="s">
        <v>76</v>
      </c>
      <c r="AU170" s="214" t="s">
        <v>8</v>
      </c>
      <c r="AY170" s="213" t="s">
        <v>157</v>
      </c>
      <c r="BK170" s="215">
        <f>SUM(BK171:BK178)</f>
        <v>0</v>
      </c>
    </row>
    <row r="171" s="2" customFormat="1" ht="33" customHeight="1">
      <c r="A171" s="37"/>
      <c r="B171" s="38"/>
      <c r="C171" s="218" t="s">
        <v>310</v>
      </c>
      <c r="D171" s="218" t="s">
        <v>159</v>
      </c>
      <c r="E171" s="219" t="s">
        <v>2678</v>
      </c>
      <c r="F171" s="220" t="s">
        <v>2679</v>
      </c>
      <c r="G171" s="221" t="s">
        <v>216</v>
      </c>
      <c r="H171" s="222">
        <v>12</v>
      </c>
      <c r="I171" s="223"/>
      <c r="J171" s="224">
        <f>ROUND(I171*H171,0)</f>
        <v>0</v>
      </c>
      <c r="K171" s="225"/>
      <c r="L171" s="43"/>
      <c r="M171" s="226" t="s">
        <v>1</v>
      </c>
      <c r="N171" s="227" t="s">
        <v>42</v>
      </c>
      <c r="O171" s="90"/>
      <c r="P171" s="228">
        <f>O171*H171</f>
        <v>0</v>
      </c>
      <c r="Q171" s="228">
        <v>0.0065300000000000002</v>
      </c>
      <c r="R171" s="228">
        <f>Q171*H171</f>
        <v>0.078359999999999999</v>
      </c>
      <c r="S171" s="228">
        <v>0</v>
      </c>
      <c r="T171" s="229">
        <f>S171*H171</f>
        <v>0</v>
      </c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R171" s="230" t="s">
        <v>246</v>
      </c>
      <c r="AT171" s="230" t="s">
        <v>159</v>
      </c>
      <c r="AU171" s="230" t="s">
        <v>86</v>
      </c>
      <c r="AY171" s="16" t="s">
        <v>157</v>
      </c>
      <c r="BE171" s="231">
        <f>IF(N171="základní",J171,0)</f>
        <v>0</v>
      </c>
      <c r="BF171" s="231">
        <f>IF(N171="snížená",J171,0)</f>
        <v>0</v>
      </c>
      <c r="BG171" s="231">
        <f>IF(N171="zákl. přenesená",J171,0)</f>
        <v>0</v>
      </c>
      <c r="BH171" s="231">
        <f>IF(N171="sníž. přenesená",J171,0)</f>
        <v>0</v>
      </c>
      <c r="BI171" s="231">
        <f>IF(N171="nulová",J171,0)</f>
        <v>0</v>
      </c>
      <c r="BJ171" s="16" t="s">
        <v>8</v>
      </c>
      <c r="BK171" s="231">
        <f>ROUND(I171*H171,0)</f>
        <v>0</v>
      </c>
      <c r="BL171" s="16" t="s">
        <v>246</v>
      </c>
      <c r="BM171" s="230" t="s">
        <v>2680</v>
      </c>
    </row>
    <row r="172" s="13" customFormat="1">
      <c r="A172" s="13"/>
      <c r="B172" s="232"/>
      <c r="C172" s="233"/>
      <c r="D172" s="234" t="s">
        <v>165</v>
      </c>
      <c r="E172" s="235" t="s">
        <v>1</v>
      </c>
      <c r="F172" s="236" t="s">
        <v>2681</v>
      </c>
      <c r="G172" s="233"/>
      <c r="H172" s="237">
        <v>12</v>
      </c>
      <c r="I172" s="238"/>
      <c r="J172" s="233"/>
      <c r="K172" s="233"/>
      <c r="L172" s="239"/>
      <c r="M172" s="240"/>
      <c r="N172" s="241"/>
      <c r="O172" s="241"/>
      <c r="P172" s="241"/>
      <c r="Q172" s="241"/>
      <c r="R172" s="241"/>
      <c r="S172" s="241"/>
      <c r="T172" s="24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T172" s="243" t="s">
        <v>165</v>
      </c>
      <c r="AU172" s="243" t="s">
        <v>86</v>
      </c>
      <c r="AV172" s="13" t="s">
        <v>86</v>
      </c>
      <c r="AW172" s="13" t="s">
        <v>32</v>
      </c>
      <c r="AX172" s="13" t="s">
        <v>77</v>
      </c>
      <c r="AY172" s="243" t="s">
        <v>157</v>
      </c>
    </row>
    <row r="173" s="2" customFormat="1" ht="24.15" customHeight="1">
      <c r="A173" s="37"/>
      <c r="B173" s="38"/>
      <c r="C173" s="218" t="s">
        <v>265</v>
      </c>
      <c r="D173" s="218" t="s">
        <v>159</v>
      </c>
      <c r="E173" s="219" t="s">
        <v>2682</v>
      </c>
      <c r="F173" s="220" t="s">
        <v>2683</v>
      </c>
      <c r="G173" s="221" t="s">
        <v>216</v>
      </c>
      <c r="H173" s="222">
        <v>25.399999999999999</v>
      </c>
      <c r="I173" s="223"/>
      <c r="J173" s="224">
        <f>ROUND(I173*H173,0)</f>
        <v>0</v>
      </c>
      <c r="K173" s="225"/>
      <c r="L173" s="43"/>
      <c r="M173" s="226" t="s">
        <v>1</v>
      </c>
      <c r="N173" s="227" t="s">
        <v>42</v>
      </c>
      <c r="O173" s="90"/>
      <c r="P173" s="228">
        <f>O173*H173</f>
        <v>0</v>
      </c>
      <c r="Q173" s="228">
        <v>0.0016299999999999999</v>
      </c>
      <c r="R173" s="228">
        <f>Q173*H173</f>
        <v>0.041401999999999994</v>
      </c>
      <c r="S173" s="228">
        <v>0</v>
      </c>
      <c r="T173" s="229">
        <f>S173*H173</f>
        <v>0</v>
      </c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R173" s="230" t="s">
        <v>246</v>
      </c>
      <c r="AT173" s="230" t="s">
        <v>159</v>
      </c>
      <c r="AU173" s="230" t="s">
        <v>86</v>
      </c>
      <c r="AY173" s="16" t="s">
        <v>157</v>
      </c>
      <c r="BE173" s="231">
        <f>IF(N173="základní",J173,0)</f>
        <v>0</v>
      </c>
      <c r="BF173" s="231">
        <f>IF(N173="snížená",J173,0)</f>
        <v>0</v>
      </c>
      <c r="BG173" s="231">
        <f>IF(N173="zákl. přenesená",J173,0)</f>
        <v>0</v>
      </c>
      <c r="BH173" s="231">
        <f>IF(N173="sníž. přenesená",J173,0)</f>
        <v>0</v>
      </c>
      <c r="BI173" s="231">
        <f>IF(N173="nulová",J173,0)</f>
        <v>0</v>
      </c>
      <c r="BJ173" s="16" t="s">
        <v>8</v>
      </c>
      <c r="BK173" s="231">
        <f>ROUND(I173*H173,0)</f>
        <v>0</v>
      </c>
      <c r="BL173" s="16" t="s">
        <v>246</v>
      </c>
      <c r="BM173" s="230" t="s">
        <v>2684</v>
      </c>
    </row>
    <row r="174" s="13" customFormat="1">
      <c r="A174" s="13"/>
      <c r="B174" s="232"/>
      <c r="C174" s="233"/>
      <c r="D174" s="234" t="s">
        <v>165</v>
      </c>
      <c r="E174" s="235" t="s">
        <v>1</v>
      </c>
      <c r="F174" s="236" t="s">
        <v>2685</v>
      </c>
      <c r="G174" s="233"/>
      <c r="H174" s="237">
        <v>25.399999999999999</v>
      </c>
      <c r="I174" s="238"/>
      <c r="J174" s="233"/>
      <c r="K174" s="233"/>
      <c r="L174" s="239"/>
      <c r="M174" s="240"/>
      <c r="N174" s="241"/>
      <c r="O174" s="241"/>
      <c r="P174" s="241"/>
      <c r="Q174" s="241"/>
      <c r="R174" s="241"/>
      <c r="S174" s="241"/>
      <c r="T174" s="24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T174" s="243" t="s">
        <v>165</v>
      </c>
      <c r="AU174" s="243" t="s">
        <v>86</v>
      </c>
      <c r="AV174" s="13" t="s">
        <v>86</v>
      </c>
      <c r="AW174" s="13" t="s">
        <v>32</v>
      </c>
      <c r="AX174" s="13" t="s">
        <v>77</v>
      </c>
      <c r="AY174" s="243" t="s">
        <v>157</v>
      </c>
    </row>
    <row r="175" s="2" customFormat="1" ht="24.15" customHeight="1">
      <c r="A175" s="37"/>
      <c r="B175" s="38"/>
      <c r="C175" s="218" t="s">
        <v>7</v>
      </c>
      <c r="D175" s="218" t="s">
        <v>159</v>
      </c>
      <c r="E175" s="219" t="s">
        <v>2686</v>
      </c>
      <c r="F175" s="220" t="s">
        <v>2687</v>
      </c>
      <c r="G175" s="221" t="s">
        <v>565</v>
      </c>
      <c r="H175" s="222">
        <v>2</v>
      </c>
      <c r="I175" s="223"/>
      <c r="J175" s="224">
        <f>ROUND(I175*H175,0)</f>
        <v>0</v>
      </c>
      <c r="K175" s="225"/>
      <c r="L175" s="43"/>
      <c r="M175" s="226" t="s">
        <v>1</v>
      </c>
      <c r="N175" s="227" t="s">
        <v>42</v>
      </c>
      <c r="O175" s="90"/>
      <c r="P175" s="228">
        <f>O175*H175</f>
        <v>0</v>
      </c>
      <c r="Q175" s="228">
        <v>0.00025000000000000001</v>
      </c>
      <c r="R175" s="228">
        <f>Q175*H175</f>
        <v>0.00050000000000000001</v>
      </c>
      <c r="S175" s="228">
        <v>0</v>
      </c>
      <c r="T175" s="229">
        <f>S175*H175</f>
        <v>0</v>
      </c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R175" s="230" t="s">
        <v>246</v>
      </c>
      <c r="AT175" s="230" t="s">
        <v>159</v>
      </c>
      <c r="AU175" s="230" t="s">
        <v>86</v>
      </c>
      <c r="AY175" s="16" t="s">
        <v>157</v>
      </c>
      <c r="BE175" s="231">
        <f>IF(N175="základní",J175,0)</f>
        <v>0</v>
      </c>
      <c r="BF175" s="231">
        <f>IF(N175="snížená",J175,0)</f>
        <v>0</v>
      </c>
      <c r="BG175" s="231">
        <f>IF(N175="zákl. přenesená",J175,0)</f>
        <v>0</v>
      </c>
      <c r="BH175" s="231">
        <f>IF(N175="sníž. přenesená",J175,0)</f>
        <v>0</v>
      </c>
      <c r="BI175" s="231">
        <f>IF(N175="nulová",J175,0)</f>
        <v>0</v>
      </c>
      <c r="BJ175" s="16" t="s">
        <v>8</v>
      </c>
      <c r="BK175" s="231">
        <f>ROUND(I175*H175,0)</f>
        <v>0</v>
      </c>
      <c r="BL175" s="16" t="s">
        <v>246</v>
      </c>
      <c r="BM175" s="230" t="s">
        <v>2688</v>
      </c>
    </row>
    <row r="176" s="2" customFormat="1" ht="24.15" customHeight="1">
      <c r="A176" s="37"/>
      <c r="B176" s="38"/>
      <c r="C176" s="218" t="s">
        <v>278</v>
      </c>
      <c r="D176" s="218" t="s">
        <v>159</v>
      </c>
      <c r="E176" s="219" t="s">
        <v>2689</v>
      </c>
      <c r="F176" s="220" t="s">
        <v>2690</v>
      </c>
      <c r="G176" s="221" t="s">
        <v>216</v>
      </c>
      <c r="H176" s="222">
        <v>12.800000000000001</v>
      </c>
      <c r="I176" s="223"/>
      <c r="J176" s="224">
        <f>ROUND(I176*H176,0)</f>
        <v>0</v>
      </c>
      <c r="K176" s="225"/>
      <c r="L176" s="43"/>
      <c r="M176" s="226" t="s">
        <v>1</v>
      </c>
      <c r="N176" s="227" t="s">
        <v>42</v>
      </c>
      <c r="O176" s="90"/>
      <c r="P176" s="228">
        <f>O176*H176</f>
        <v>0</v>
      </c>
      <c r="Q176" s="228">
        <v>0.0035000000000000001</v>
      </c>
      <c r="R176" s="228">
        <f>Q176*H176</f>
        <v>0.044800000000000006</v>
      </c>
      <c r="S176" s="228">
        <v>0</v>
      </c>
      <c r="T176" s="229">
        <f>S176*H176</f>
        <v>0</v>
      </c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R176" s="230" t="s">
        <v>246</v>
      </c>
      <c r="AT176" s="230" t="s">
        <v>159</v>
      </c>
      <c r="AU176" s="230" t="s">
        <v>86</v>
      </c>
      <c r="AY176" s="16" t="s">
        <v>157</v>
      </c>
      <c r="BE176" s="231">
        <f>IF(N176="základní",J176,0)</f>
        <v>0</v>
      </c>
      <c r="BF176" s="231">
        <f>IF(N176="snížená",J176,0)</f>
        <v>0</v>
      </c>
      <c r="BG176" s="231">
        <f>IF(N176="zákl. přenesená",J176,0)</f>
        <v>0</v>
      </c>
      <c r="BH176" s="231">
        <f>IF(N176="sníž. přenesená",J176,0)</f>
        <v>0</v>
      </c>
      <c r="BI176" s="231">
        <f>IF(N176="nulová",J176,0)</f>
        <v>0</v>
      </c>
      <c r="BJ176" s="16" t="s">
        <v>8</v>
      </c>
      <c r="BK176" s="231">
        <f>ROUND(I176*H176,0)</f>
        <v>0</v>
      </c>
      <c r="BL176" s="16" t="s">
        <v>246</v>
      </c>
      <c r="BM176" s="230" t="s">
        <v>2691</v>
      </c>
    </row>
    <row r="177" s="13" customFormat="1">
      <c r="A177" s="13"/>
      <c r="B177" s="232"/>
      <c r="C177" s="233"/>
      <c r="D177" s="234" t="s">
        <v>165</v>
      </c>
      <c r="E177" s="235" t="s">
        <v>1</v>
      </c>
      <c r="F177" s="236" t="s">
        <v>2692</v>
      </c>
      <c r="G177" s="233"/>
      <c r="H177" s="237">
        <v>12.800000000000001</v>
      </c>
      <c r="I177" s="238"/>
      <c r="J177" s="233"/>
      <c r="K177" s="233"/>
      <c r="L177" s="239"/>
      <c r="M177" s="240"/>
      <c r="N177" s="241"/>
      <c r="O177" s="241"/>
      <c r="P177" s="241"/>
      <c r="Q177" s="241"/>
      <c r="R177" s="241"/>
      <c r="S177" s="241"/>
      <c r="T177" s="242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T177" s="243" t="s">
        <v>165</v>
      </c>
      <c r="AU177" s="243" t="s">
        <v>86</v>
      </c>
      <c r="AV177" s="13" t="s">
        <v>86</v>
      </c>
      <c r="AW177" s="13" t="s">
        <v>32</v>
      </c>
      <c r="AX177" s="13" t="s">
        <v>77</v>
      </c>
      <c r="AY177" s="243" t="s">
        <v>157</v>
      </c>
    </row>
    <row r="178" s="2" customFormat="1" ht="24.15" customHeight="1">
      <c r="A178" s="37"/>
      <c r="B178" s="38"/>
      <c r="C178" s="218" t="s">
        <v>282</v>
      </c>
      <c r="D178" s="218" t="s">
        <v>159</v>
      </c>
      <c r="E178" s="219" t="s">
        <v>2133</v>
      </c>
      <c r="F178" s="220" t="s">
        <v>2134</v>
      </c>
      <c r="G178" s="221" t="s">
        <v>193</v>
      </c>
      <c r="H178" s="222">
        <v>0.16500000000000001</v>
      </c>
      <c r="I178" s="223"/>
      <c r="J178" s="224">
        <f>ROUND(I178*H178,0)</f>
        <v>0</v>
      </c>
      <c r="K178" s="225"/>
      <c r="L178" s="43"/>
      <c r="M178" s="226" t="s">
        <v>1</v>
      </c>
      <c r="N178" s="227" t="s">
        <v>42</v>
      </c>
      <c r="O178" s="90"/>
      <c r="P178" s="228">
        <f>O178*H178</f>
        <v>0</v>
      </c>
      <c r="Q178" s="228">
        <v>0</v>
      </c>
      <c r="R178" s="228">
        <f>Q178*H178</f>
        <v>0</v>
      </c>
      <c r="S178" s="228">
        <v>0</v>
      </c>
      <c r="T178" s="229">
        <f>S178*H178</f>
        <v>0</v>
      </c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R178" s="230" t="s">
        <v>246</v>
      </c>
      <c r="AT178" s="230" t="s">
        <v>159</v>
      </c>
      <c r="AU178" s="230" t="s">
        <v>86</v>
      </c>
      <c r="AY178" s="16" t="s">
        <v>157</v>
      </c>
      <c r="BE178" s="231">
        <f>IF(N178="základní",J178,0)</f>
        <v>0</v>
      </c>
      <c r="BF178" s="231">
        <f>IF(N178="snížená",J178,0)</f>
        <v>0</v>
      </c>
      <c r="BG178" s="231">
        <f>IF(N178="zákl. přenesená",J178,0)</f>
        <v>0</v>
      </c>
      <c r="BH178" s="231">
        <f>IF(N178="sníž. přenesená",J178,0)</f>
        <v>0</v>
      </c>
      <c r="BI178" s="231">
        <f>IF(N178="nulová",J178,0)</f>
        <v>0</v>
      </c>
      <c r="BJ178" s="16" t="s">
        <v>8</v>
      </c>
      <c r="BK178" s="231">
        <f>ROUND(I178*H178,0)</f>
        <v>0</v>
      </c>
      <c r="BL178" s="16" t="s">
        <v>246</v>
      </c>
      <c r="BM178" s="230" t="s">
        <v>2693</v>
      </c>
    </row>
    <row r="179" s="12" customFormat="1" ht="22.8" customHeight="1">
      <c r="A179" s="12"/>
      <c r="B179" s="202"/>
      <c r="C179" s="203"/>
      <c r="D179" s="204" t="s">
        <v>76</v>
      </c>
      <c r="E179" s="216" t="s">
        <v>1312</v>
      </c>
      <c r="F179" s="216" t="s">
        <v>1313</v>
      </c>
      <c r="G179" s="203"/>
      <c r="H179" s="203"/>
      <c r="I179" s="206"/>
      <c r="J179" s="217">
        <f>BK179</f>
        <v>0</v>
      </c>
      <c r="K179" s="203"/>
      <c r="L179" s="208"/>
      <c r="M179" s="209"/>
      <c r="N179" s="210"/>
      <c r="O179" s="210"/>
      <c r="P179" s="211">
        <f>SUM(P180:P182)</f>
        <v>0</v>
      </c>
      <c r="Q179" s="210"/>
      <c r="R179" s="211">
        <f>SUM(R180:R182)</f>
        <v>100.207943</v>
      </c>
      <c r="S179" s="210"/>
      <c r="T179" s="212">
        <f>SUM(T180:T182)</f>
        <v>0</v>
      </c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R179" s="213" t="s">
        <v>86</v>
      </c>
      <c r="AT179" s="214" t="s">
        <v>76</v>
      </c>
      <c r="AU179" s="214" t="s">
        <v>8</v>
      </c>
      <c r="AY179" s="213" t="s">
        <v>157</v>
      </c>
      <c r="BK179" s="215">
        <f>SUM(BK180:BK182)</f>
        <v>0</v>
      </c>
    </row>
    <row r="180" s="2" customFormat="1" ht="24.15" customHeight="1">
      <c r="A180" s="37"/>
      <c r="B180" s="38"/>
      <c r="C180" s="218" t="s">
        <v>288</v>
      </c>
      <c r="D180" s="218" t="s">
        <v>159</v>
      </c>
      <c r="E180" s="219" t="s">
        <v>2694</v>
      </c>
      <c r="F180" s="220" t="s">
        <v>2695</v>
      </c>
      <c r="G180" s="221" t="s">
        <v>1407</v>
      </c>
      <c r="H180" s="222">
        <v>100207.943</v>
      </c>
      <c r="I180" s="223"/>
      <c r="J180" s="224">
        <f>ROUND(I180*H180,0)</f>
        <v>0</v>
      </c>
      <c r="K180" s="225"/>
      <c r="L180" s="43"/>
      <c r="M180" s="226" t="s">
        <v>1</v>
      </c>
      <c r="N180" s="227" t="s">
        <v>42</v>
      </c>
      <c r="O180" s="90"/>
      <c r="P180" s="228">
        <f>O180*H180</f>
        <v>0</v>
      </c>
      <c r="Q180" s="228">
        <v>0.001</v>
      </c>
      <c r="R180" s="228">
        <f>Q180*H180</f>
        <v>100.207943</v>
      </c>
      <c r="S180" s="228">
        <v>0</v>
      </c>
      <c r="T180" s="229">
        <f>S180*H180</f>
        <v>0</v>
      </c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R180" s="230" t="s">
        <v>246</v>
      </c>
      <c r="AT180" s="230" t="s">
        <v>159</v>
      </c>
      <c r="AU180" s="230" t="s">
        <v>86</v>
      </c>
      <c r="AY180" s="16" t="s">
        <v>157</v>
      </c>
      <c r="BE180" s="231">
        <f>IF(N180="základní",J180,0)</f>
        <v>0</v>
      </c>
      <c r="BF180" s="231">
        <f>IF(N180="snížená",J180,0)</f>
        <v>0</v>
      </c>
      <c r="BG180" s="231">
        <f>IF(N180="zákl. přenesená",J180,0)</f>
        <v>0</v>
      </c>
      <c r="BH180" s="231">
        <f>IF(N180="sníž. přenesená",J180,0)</f>
        <v>0</v>
      </c>
      <c r="BI180" s="231">
        <f>IF(N180="nulová",J180,0)</f>
        <v>0</v>
      </c>
      <c r="BJ180" s="16" t="s">
        <v>8</v>
      </c>
      <c r="BK180" s="231">
        <f>ROUND(I180*H180,0)</f>
        <v>0</v>
      </c>
      <c r="BL180" s="16" t="s">
        <v>246</v>
      </c>
      <c r="BM180" s="230" t="s">
        <v>2696</v>
      </c>
    </row>
    <row r="181" s="13" customFormat="1">
      <c r="A181" s="13"/>
      <c r="B181" s="232"/>
      <c r="C181" s="233"/>
      <c r="D181" s="234" t="s">
        <v>165</v>
      </c>
      <c r="E181" s="235" t="s">
        <v>1</v>
      </c>
      <c r="F181" s="236" t="s">
        <v>2697</v>
      </c>
      <c r="G181" s="233"/>
      <c r="H181" s="237">
        <v>100207.943</v>
      </c>
      <c r="I181" s="238"/>
      <c r="J181" s="233"/>
      <c r="K181" s="233"/>
      <c r="L181" s="239"/>
      <c r="M181" s="240"/>
      <c r="N181" s="241"/>
      <c r="O181" s="241"/>
      <c r="P181" s="241"/>
      <c r="Q181" s="241"/>
      <c r="R181" s="241"/>
      <c r="S181" s="241"/>
      <c r="T181" s="24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T181" s="243" t="s">
        <v>165</v>
      </c>
      <c r="AU181" s="243" t="s">
        <v>86</v>
      </c>
      <c r="AV181" s="13" t="s">
        <v>86</v>
      </c>
      <c r="AW181" s="13" t="s">
        <v>32</v>
      </c>
      <c r="AX181" s="13" t="s">
        <v>77</v>
      </c>
      <c r="AY181" s="243" t="s">
        <v>157</v>
      </c>
    </row>
    <row r="182" s="2" customFormat="1" ht="24.15" customHeight="1">
      <c r="A182" s="37"/>
      <c r="B182" s="38"/>
      <c r="C182" s="218" t="s">
        <v>293</v>
      </c>
      <c r="D182" s="218" t="s">
        <v>159</v>
      </c>
      <c r="E182" s="219" t="s">
        <v>2148</v>
      </c>
      <c r="F182" s="220" t="s">
        <v>2149</v>
      </c>
      <c r="G182" s="221" t="s">
        <v>193</v>
      </c>
      <c r="H182" s="222">
        <v>100.208</v>
      </c>
      <c r="I182" s="223"/>
      <c r="J182" s="224">
        <f>ROUND(I182*H182,0)</f>
        <v>0</v>
      </c>
      <c r="K182" s="225"/>
      <c r="L182" s="43"/>
      <c r="M182" s="226" t="s">
        <v>1</v>
      </c>
      <c r="N182" s="227" t="s">
        <v>42</v>
      </c>
      <c r="O182" s="90"/>
      <c r="P182" s="228">
        <f>O182*H182</f>
        <v>0</v>
      </c>
      <c r="Q182" s="228">
        <v>0</v>
      </c>
      <c r="R182" s="228">
        <f>Q182*H182</f>
        <v>0</v>
      </c>
      <c r="S182" s="228">
        <v>0</v>
      </c>
      <c r="T182" s="229">
        <f>S182*H182</f>
        <v>0</v>
      </c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R182" s="230" t="s">
        <v>246</v>
      </c>
      <c r="AT182" s="230" t="s">
        <v>159</v>
      </c>
      <c r="AU182" s="230" t="s">
        <v>86</v>
      </c>
      <c r="AY182" s="16" t="s">
        <v>157</v>
      </c>
      <c r="BE182" s="231">
        <f>IF(N182="základní",J182,0)</f>
        <v>0</v>
      </c>
      <c r="BF182" s="231">
        <f>IF(N182="snížená",J182,0)</f>
        <v>0</v>
      </c>
      <c r="BG182" s="231">
        <f>IF(N182="zákl. přenesená",J182,0)</f>
        <v>0</v>
      </c>
      <c r="BH182" s="231">
        <f>IF(N182="sníž. přenesená",J182,0)</f>
        <v>0</v>
      </c>
      <c r="BI182" s="231">
        <f>IF(N182="nulová",J182,0)</f>
        <v>0</v>
      </c>
      <c r="BJ182" s="16" t="s">
        <v>8</v>
      </c>
      <c r="BK182" s="231">
        <f>ROUND(I182*H182,0)</f>
        <v>0</v>
      </c>
      <c r="BL182" s="16" t="s">
        <v>246</v>
      </c>
      <c r="BM182" s="230" t="s">
        <v>2698</v>
      </c>
    </row>
    <row r="183" s="12" customFormat="1" ht="22.8" customHeight="1">
      <c r="A183" s="12"/>
      <c r="B183" s="202"/>
      <c r="C183" s="203"/>
      <c r="D183" s="204" t="s">
        <v>76</v>
      </c>
      <c r="E183" s="216" t="s">
        <v>2699</v>
      </c>
      <c r="F183" s="216" t="s">
        <v>2700</v>
      </c>
      <c r="G183" s="203"/>
      <c r="H183" s="203"/>
      <c r="I183" s="206"/>
      <c r="J183" s="217">
        <f>BK183</f>
        <v>0</v>
      </c>
      <c r="K183" s="203"/>
      <c r="L183" s="208"/>
      <c r="M183" s="209"/>
      <c r="N183" s="210"/>
      <c r="O183" s="210"/>
      <c r="P183" s="211">
        <f>SUM(P184:P186)</f>
        <v>0</v>
      </c>
      <c r="Q183" s="210"/>
      <c r="R183" s="211">
        <f>SUM(R184:R186)</f>
        <v>9.0884111999999995</v>
      </c>
      <c r="S183" s="210"/>
      <c r="T183" s="212">
        <f>SUM(T184:T186)</f>
        <v>0</v>
      </c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R183" s="213" t="s">
        <v>86</v>
      </c>
      <c r="AT183" s="214" t="s">
        <v>76</v>
      </c>
      <c r="AU183" s="214" t="s">
        <v>8</v>
      </c>
      <c r="AY183" s="213" t="s">
        <v>157</v>
      </c>
      <c r="BK183" s="215">
        <f>SUM(BK184:BK186)</f>
        <v>0</v>
      </c>
    </row>
    <row r="184" s="2" customFormat="1" ht="16.5" customHeight="1">
      <c r="A184" s="37"/>
      <c r="B184" s="38"/>
      <c r="C184" s="218" t="s">
        <v>298</v>
      </c>
      <c r="D184" s="218" t="s">
        <v>159</v>
      </c>
      <c r="E184" s="219" t="s">
        <v>2701</v>
      </c>
      <c r="F184" s="220" t="s">
        <v>2702</v>
      </c>
      <c r="G184" s="221" t="s">
        <v>209</v>
      </c>
      <c r="H184" s="222">
        <v>516.38699999999994</v>
      </c>
      <c r="I184" s="223"/>
      <c r="J184" s="224">
        <f>ROUND(I184*H184,0)</f>
        <v>0</v>
      </c>
      <c r="K184" s="225"/>
      <c r="L184" s="43"/>
      <c r="M184" s="226" t="s">
        <v>1</v>
      </c>
      <c r="N184" s="227" t="s">
        <v>42</v>
      </c>
      <c r="O184" s="90"/>
      <c r="P184" s="228">
        <f>O184*H184</f>
        <v>0</v>
      </c>
      <c r="Q184" s="228">
        <v>0.017600000000000001</v>
      </c>
      <c r="R184" s="228">
        <f>Q184*H184</f>
        <v>9.0884111999999995</v>
      </c>
      <c r="S184" s="228">
        <v>0</v>
      </c>
      <c r="T184" s="229">
        <f>S184*H184</f>
        <v>0</v>
      </c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R184" s="230" t="s">
        <v>246</v>
      </c>
      <c r="AT184" s="230" t="s">
        <v>159</v>
      </c>
      <c r="AU184" s="230" t="s">
        <v>86</v>
      </c>
      <c r="AY184" s="16" t="s">
        <v>157</v>
      </c>
      <c r="BE184" s="231">
        <f>IF(N184="základní",J184,0)</f>
        <v>0</v>
      </c>
      <c r="BF184" s="231">
        <f>IF(N184="snížená",J184,0)</f>
        <v>0</v>
      </c>
      <c r="BG184" s="231">
        <f>IF(N184="zákl. přenesená",J184,0)</f>
        <v>0</v>
      </c>
      <c r="BH184" s="231">
        <f>IF(N184="sníž. přenesená",J184,0)</f>
        <v>0</v>
      </c>
      <c r="BI184" s="231">
        <f>IF(N184="nulová",J184,0)</f>
        <v>0</v>
      </c>
      <c r="BJ184" s="16" t="s">
        <v>8</v>
      </c>
      <c r="BK184" s="231">
        <f>ROUND(I184*H184,0)</f>
        <v>0</v>
      </c>
      <c r="BL184" s="16" t="s">
        <v>246</v>
      </c>
      <c r="BM184" s="230" t="s">
        <v>2703</v>
      </c>
    </row>
    <row r="185" s="13" customFormat="1">
      <c r="A185" s="13"/>
      <c r="B185" s="232"/>
      <c r="C185" s="233"/>
      <c r="D185" s="234" t="s">
        <v>165</v>
      </c>
      <c r="E185" s="235" t="s">
        <v>1</v>
      </c>
      <c r="F185" s="236" t="s">
        <v>2704</v>
      </c>
      <c r="G185" s="233"/>
      <c r="H185" s="237">
        <v>516.38699999999994</v>
      </c>
      <c r="I185" s="238"/>
      <c r="J185" s="233"/>
      <c r="K185" s="233"/>
      <c r="L185" s="239"/>
      <c r="M185" s="240"/>
      <c r="N185" s="241"/>
      <c r="O185" s="241"/>
      <c r="P185" s="241"/>
      <c r="Q185" s="241"/>
      <c r="R185" s="241"/>
      <c r="S185" s="241"/>
      <c r="T185" s="24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T185" s="243" t="s">
        <v>165</v>
      </c>
      <c r="AU185" s="243" t="s">
        <v>86</v>
      </c>
      <c r="AV185" s="13" t="s">
        <v>86</v>
      </c>
      <c r="AW185" s="13" t="s">
        <v>32</v>
      </c>
      <c r="AX185" s="13" t="s">
        <v>77</v>
      </c>
      <c r="AY185" s="243" t="s">
        <v>157</v>
      </c>
    </row>
    <row r="186" s="2" customFormat="1" ht="24.15" customHeight="1">
      <c r="A186" s="37"/>
      <c r="B186" s="38"/>
      <c r="C186" s="218" t="s">
        <v>304</v>
      </c>
      <c r="D186" s="218" t="s">
        <v>159</v>
      </c>
      <c r="E186" s="219" t="s">
        <v>2705</v>
      </c>
      <c r="F186" s="220" t="s">
        <v>2706</v>
      </c>
      <c r="G186" s="221" t="s">
        <v>193</v>
      </c>
      <c r="H186" s="222">
        <v>9.0879999999999992</v>
      </c>
      <c r="I186" s="223"/>
      <c r="J186" s="224">
        <f>ROUND(I186*H186,0)</f>
        <v>0</v>
      </c>
      <c r="K186" s="225"/>
      <c r="L186" s="43"/>
      <c r="M186" s="266" t="s">
        <v>1</v>
      </c>
      <c r="N186" s="267" t="s">
        <v>42</v>
      </c>
      <c r="O186" s="268"/>
      <c r="P186" s="269">
        <f>O186*H186</f>
        <v>0</v>
      </c>
      <c r="Q186" s="269">
        <v>0</v>
      </c>
      <c r="R186" s="269">
        <f>Q186*H186</f>
        <v>0</v>
      </c>
      <c r="S186" s="269">
        <v>0</v>
      </c>
      <c r="T186" s="270">
        <f>S186*H186</f>
        <v>0</v>
      </c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R186" s="230" t="s">
        <v>246</v>
      </c>
      <c r="AT186" s="230" t="s">
        <v>159</v>
      </c>
      <c r="AU186" s="230" t="s">
        <v>86</v>
      </c>
      <c r="AY186" s="16" t="s">
        <v>157</v>
      </c>
      <c r="BE186" s="231">
        <f>IF(N186="základní",J186,0)</f>
        <v>0</v>
      </c>
      <c r="BF186" s="231">
        <f>IF(N186="snížená",J186,0)</f>
        <v>0</v>
      </c>
      <c r="BG186" s="231">
        <f>IF(N186="zákl. přenesená",J186,0)</f>
        <v>0</v>
      </c>
      <c r="BH186" s="231">
        <f>IF(N186="sníž. přenesená",J186,0)</f>
        <v>0</v>
      </c>
      <c r="BI186" s="231">
        <f>IF(N186="nulová",J186,0)</f>
        <v>0</v>
      </c>
      <c r="BJ186" s="16" t="s">
        <v>8</v>
      </c>
      <c r="BK186" s="231">
        <f>ROUND(I186*H186,0)</f>
        <v>0</v>
      </c>
      <c r="BL186" s="16" t="s">
        <v>246</v>
      </c>
      <c r="BM186" s="230" t="s">
        <v>2707</v>
      </c>
    </row>
    <row r="187" s="2" customFormat="1" ht="6.96" customHeight="1">
      <c r="A187" s="37"/>
      <c r="B187" s="65"/>
      <c r="C187" s="66"/>
      <c r="D187" s="66"/>
      <c r="E187" s="66"/>
      <c r="F187" s="66"/>
      <c r="G187" s="66"/>
      <c r="H187" s="66"/>
      <c r="I187" s="66"/>
      <c r="J187" s="66"/>
      <c r="K187" s="66"/>
      <c r="L187" s="43"/>
      <c r="M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</row>
  </sheetData>
  <sheetProtection sheet="1" autoFilter="0" formatColumns="0" formatRows="0" objects="1" scenarios="1" spinCount="100000" saltValue="7bB2naa9SSCb+xZD1Brp2opnCv/EUsrk3J9Gdo1tifcPlBsEWZ/UsE6gMN59nvw1E+T3HBTNZTqln+WzfcFEHw==" hashValue="PTQBuwZQ4P06QKDlauD0CEI251NVK+gFiTtQ3yZmFZUhQ8WA26OAbaWj86L4xGO/vxLaEhbI0JrPZy4oIXVfBg==" algorithmName="SHA-512" password="F695"/>
  <autoFilter ref="C123:K186"/>
  <mergeCells count="9">
    <mergeCell ref="E7:H7"/>
    <mergeCell ref="E9:H9"/>
    <mergeCell ref="E18:H18"/>
    <mergeCell ref="E27:H27"/>
    <mergeCell ref="E85:H85"/>
    <mergeCell ref="E87:H87"/>
    <mergeCell ref="E114:H114"/>
    <mergeCell ref="E116:H116"/>
    <mergeCell ref="L2:V2"/>
  </mergeCell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50.83203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hidden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6" t="s">
        <v>101</v>
      </c>
    </row>
    <row r="3" s="1" customFormat="1" ht="6.96" customHeight="1">
      <c r="B3" s="135"/>
      <c r="C3" s="136"/>
      <c r="D3" s="136"/>
      <c r="E3" s="136"/>
      <c r="F3" s="136"/>
      <c r="G3" s="136"/>
      <c r="H3" s="136"/>
      <c r="I3" s="136"/>
      <c r="J3" s="136"/>
      <c r="K3" s="136"/>
      <c r="L3" s="19"/>
      <c r="AT3" s="16" t="s">
        <v>86</v>
      </c>
    </row>
    <row r="4" s="1" customFormat="1" ht="24.96" customHeight="1">
      <c r="B4" s="19"/>
      <c r="D4" s="137" t="s">
        <v>108</v>
      </c>
      <c r="L4" s="19"/>
      <c r="M4" s="138" t="s">
        <v>11</v>
      </c>
      <c r="AT4" s="16" t="s">
        <v>4</v>
      </c>
    </row>
    <row r="5" s="1" customFormat="1" ht="6.96" customHeight="1">
      <c r="B5" s="19"/>
      <c r="L5" s="19"/>
    </row>
    <row r="6" s="1" customFormat="1" ht="12" customHeight="1">
      <c r="B6" s="19"/>
      <c r="D6" s="139" t="s">
        <v>17</v>
      </c>
      <c r="L6" s="19"/>
    </row>
    <row r="7" s="1" customFormat="1" ht="16.5" customHeight="1">
      <c r="B7" s="19"/>
      <c r="E7" s="140" t="str">
        <f>'Rekapitulace stavby'!K6</f>
        <v>Areál společnosti FORESTINA s.r.o. Horažďovice, Blatenská 587</v>
      </c>
      <c r="F7" s="139"/>
      <c r="G7" s="139"/>
      <c r="H7" s="139"/>
      <c r="L7" s="19"/>
    </row>
    <row r="8" s="2" customFormat="1" ht="12" customHeight="1">
      <c r="A8" s="37"/>
      <c r="B8" s="43"/>
      <c r="C8" s="37"/>
      <c r="D8" s="139" t="s">
        <v>109</v>
      </c>
      <c r="E8" s="37"/>
      <c r="F8" s="37"/>
      <c r="G8" s="37"/>
      <c r="H8" s="37"/>
      <c r="I8" s="37"/>
      <c r="J8" s="37"/>
      <c r="K8" s="37"/>
      <c r="L8" s="62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</row>
    <row r="9" s="2" customFormat="1" ht="16.5" customHeight="1">
      <c r="A9" s="37"/>
      <c r="B9" s="43"/>
      <c r="C9" s="37"/>
      <c r="D9" s="37"/>
      <c r="E9" s="141" t="s">
        <v>2708</v>
      </c>
      <c r="F9" s="37"/>
      <c r="G9" s="37"/>
      <c r="H9" s="37"/>
      <c r="I9" s="37"/>
      <c r="J9" s="37"/>
      <c r="K9" s="37"/>
      <c r="L9" s="62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</row>
    <row r="10" s="2" customFormat="1">
      <c r="A10" s="37"/>
      <c r="B10" s="43"/>
      <c r="C10" s="37"/>
      <c r="D10" s="37"/>
      <c r="E10" s="37"/>
      <c r="F10" s="37"/>
      <c r="G10" s="37"/>
      <c r="H10" s="37"/>
      <c r="I10" s="37"/>
      <c r="J10" s="37"/>
      <c r="K10" s="37"/>
      <c r="L10" s="62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</row>
    <row r="11" s="2" customFormat="1" ht="12" customHeight="1">
      <c r="A11" s="37"/>
      <c r="B11" s="43"/>
      <c r="C11" s="37"/>
      <c r="D11" s="139" t="s">
        <v>19</v>
      </c>
      <c r="E11" s="37"/>
      <c r="F11" s="142" t="s">
        <v>1</v>
      </c>
      <c r="G11" s="37"/>
      <c r="H11" s="37"/>
      <c r="I11" s="139" t="s">
        <v>20</v>
      </c>
      <c r="J11" s="142" t="s">
        <v>1</v>
      </c>
      <c r="K11" s="37"/>
      <c r="L11" s="62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</row>
    <row r="12" s="2" customFormat="1" ht="12" customHeight="1">
      <c r="A12" s="37"/>
      <c r="B12" s="43"/>
      <c r="C12" s="37"/>
      <c r="D12" s="139" t="s">
        <v>21</v>
      </c>
      <c r="E12" s="37"/>
      <c r="F12" s="142" t="s">
        <v>22</v>
      </c>
      <c r="G12" s="37"/>
      <c r="H12" s="37"/>
      <c r="I12" s="139" t="s">
        <v>23</v>
      </c>
      <c r="J12" s="143" t="str">
        <f>'Rekapitulace stavby'!AN8</f>
        <v>26. 11. 2025</v>
      </c>
      <c r="K12" s="37"/>
      <c r="L12" s="62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</row>
    <row r="13" s="2" customFormat="1" ht="10.8" customHeight="1">
      <c r="A13" s="37"/>
      <c r="B13" s="43"/>
      <c r="C13" s="37"/>
      <c r="D13" s="37"/>
      <c r="E13" s="37"/>
      <c r="F13" s="37"/>
      <c r="G13" s="37"/>
      <c r="H13" s="37"/>
      <c r="I13" s="37"/>
      <c r="J13" s="37"/>
      <c r="K13" s="37"/>
      <c r="L13" s="62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</row>
    <row r="14" s="2" customFormat="1" ht="12" customHeight="1">
      <c r="A14" s="37"/>
      <c r="B14" s="43"/>
      <c r="C14" s="37"/>
      <c r="D14" s="139" t="s">
        <v>25</v>
      </c>
      <c r="E14" s="37"/>
      <c r="F14" s="37"/>
      <c r="G14" s="37"/>
      <c r="H14" s="37"/>
      <c r="I14" s="139" t="s">
        <v>26</v>
      </c>
      <c r="J14" s="142" t="s">
        <v>1</v>
      </c>
      <c r="K14" s="37"/>
      <c r="L14" s="62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</row>
    <row r="15" s="2" customFormat="1" ht="18" customHeight="1">
      <c r="A15" s="37"/>
      <c r="B15" s="43"/>
      <c r="C15" s="37"/>
      <c r="D15" s="37"/>
      <c r="E15" s="142" t="s">
        <v>27</v>
      </c>
      <c r="F15" s="37"/>
      <c r="G15" s="37"/>
      <c r="H15" s="37"/>
      <c r="I15" s="139" t="s">
        <v>28</v>
      </c>
      <c r="J15" s="142" t="s">
        <v>1</v>
      </c>
      <c r="K15" s="37"/>
      <c r="L15" s="62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</row>
    <row r="16" s="2" customFormat="1" ht="6.96" customHeight="1">
      <c r="A16" s="37"/>
      <c r="B16" s="43"/>
      <c r="C16" s="37"/>
      <c r="D16" s="37"/>
      <c r="E16" s="37"/>
      <c r="F16" s="37"/>
      <c r="G16" s="37"/>
      <c r="H16" s="37"/>
      <c r="I16" s="37"/>
      <c r="J16" s="37"/>
      <c r="K16" s="37"/>
      <c r="L16" s="62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</row>
    <row r="17" s="2" customFormat="1" ht="12" customHeight="1">
      <c r="A17" s="37"/>
      <c r="B17" s="43"/>
      <c r="C17" s="37"/>
      <c r="D17" s="139" t="s">
        <v>29</v>
      </c>
      <c r="E17" s="37"/>
      <c r="F17" s="37"/>
      <c r="G17" s="37"/>
      <c r="H17" s="37"/>
      <c r="I17" s="139" t="s">
        <v>26</v>
      </c>
      <c r="J17" s="32" t="str">
        <f>'Rekapitulace stavby'!AN13</f>
        <v>Vyplň údaj</v>
      </c>
      <c r="K17" s="37"/>
      <c r="L17" s="62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</row>
    <row r="18" s="2" customFormat="1" ht="18" customHeight="1">
      <c r="A18" s="37"/>
      <c r="B18" s="43"/>
      <c r="C18" s="37"/>
      <c r="D18" s="37"/>
      <c r="E18" s="32" t="str">
        <f>'Rekapitulace stavby'!E14</f>
        <v>Vyplň údaj</v>
      </c>
      <c r="F18" s="142"/>
      <c r="G18" s="142"/>
      <c r="H18" s="142"/>
      <c r="I18" s="139" t="s">
        <v>28</v>
      </c>
      <c r="J18" s="32" t="str">
        <f>'Rekapitulace stavby'!AN14</f>
        <v>Vyplň údaj</v>
      </c>
      <c r="K18" s="37"/>
      <c r="L18" s="62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</row>
    <row r="19" s="2" customFormat="1" ht="6.96" customHeight="1">
      <c r="A19" s="37"/>
      <c r="B19" s="43"/>
      <c r="C19" s="37"/>
      <c r="D19" s="37"/>
      <c r="E19" s="37"/>
      <c r="F19" s="37"/>
      <c r="G19" s="37"/>
      <c r="H19" s="37"/>
      <c r="I19" s="37"/>
      <c r="J19" s="37"/>
      <c r="K19" s="37"/>
      <c r="L19" s="62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</row>
    <row r="20" s="2" customFormat="1" ht="12" customHeight="1">
      <c r="A20" s="37"/>
      <c r="B20" s="43"/>
      <c r="C20" s="37"/>
      <c r="D20" s="139" t="s">
        <v>31</v>
      </c>
      <c r="E20" s="37"/>
      <c r="F20" s="37"/>
      <c r="G20" s="37"/>
      <c r="H20" s="37"/>
      <c r="I20" s="139" t="s">
        <v>26</v>
      </c>
      <c r="J20" s="142" t="s">
        <v>1</v>
      </c>
      <c r="K20" s="37"/>
      <c r="L20" s="62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</row>
    <row r="21" s="2" customFormat="1" ht="18" customHeight="1">
      <c r="A21" s="37"/>
      <c r="B21" s="43"/>
      <c r="C21" s="37"/>
      <c r="D21" s="37"/>
      <c r="E21" s="142" t="s">
        <v>33</v>
      </c>
      <c r="F21" s="37"/>
      <c r="G21" s="37"/>
      <c r="H21" s="37"/>
      <c r="I21" s="139" t="s">
        <v>28</v>
      </c>
      <c r="J21" s="142" t="s">
        <v>1</v>
      </c>
      <c r="K21" s="37"/>
      <c r="L21" s="62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</row>
    <row r="22" s="2" customFormat="1" ht="6.96" customHeight="1">
      <c r="A22" s="37"/>
      <c r="B22" s="43"/>
      <c r="C22" s="37"/>
      <c r="D22" s="37"/>
      <c r="E22" s="37"/>
      <c r="F22" s="37"/>
      <c r="G22" s="37"/>
      <c r="H22" s="37"/>
      <c r="I22" s="37"/>
      <c r="J22" s="37"/>
      <c r="K22" s="37"/>
      <c r="L22" s="62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</row>
    <row r="23" s="2" customFormat="1" ht="12" customHeight="1">
      <c r="A23" s="37"/>
      <c r="B23" s="43"/>
      <c r="C23" s="37"/>
      <c r="D23" s="139" t="s">
        <v>34</v>
      </c>
      <c r="E23" s="37"/>
      <c r="F23" s="37"/>
      <c r="G23" s="37"/>
      <c r="H23" s="37"/>
      <c r="I23" s="139" t="s">
        <v>26</v>
      </c>
      <c r="J23" s="142" t="s">
        <v>1</v>
      </c>
      <c r="K23" s="37"/>
      <c r="L23" s="62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</row>
    <row r="24" s="2" customFormat="1" ht="18" customHeight="1">
      <c r="A24" s="37"/>
      <c r="B24" s="43"/>
      <c r="C24" s="37"/>
      <c r="D24" s="37"/>
      <c r="E24" s="142" t="s">
        <v>35</v>
      </c>
      <c r="F24" s="37"/>
      <c r="G24" s="37"/>
      <c r="H24" s="37"/>
      <c r="I24" s="139" t="s">
        <v>28</v>
      </c>
      <c r="J24" s="142" t="s">
        <v>1</v>
      </c>
      <c r="K24" s="37"/>
      <c r="L24" s="62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</row>
    <row r="25" s="2" customFormat="1" ht="6.96" customHeight="1">
      <c r="A25" s="37"/>
      <c r="B25" s="43"/>
      <c r="C25" s="37"/>
      <c r="D25" s="37"/>
      <c r="E25" s="37"/>
      <c r="F25" s="37"/>
      <c r="G25" s="37"/>
      <c r="H25" s="37"/>
      <c r="I25" s="37"/>
      <c r="J25" s="37"/>
      <c r="K25" s="37"/>
      <c r="L25" s="62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</row>
    <row r="26" s="2" customFormat="1" ht="12" customHeight="1">
      <c r="A26" s="37"/>
      <c r="B26" s="43"/>
      <c r="C26" s="37"/>
      <c r="D26" s="139" t="s">
        <v>36</v>
      </c>
      <c r="E26" s="37"/>
      <c r="F26" s="37"/>
      <c r="G26" s="37"/>
      <c r="H26" s="37"/>
      <c r="I26" s="37"/>
      <c r="J26" s="37"/>
      <c r="K26" s="37"/>
      <c r="L26" s="62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</row>
    <row r="27" s="8" customFormat="1" ht="16.5" customHeight="1">
      <c r="A27" s="144"/>
      <c r="B27" s="145"/>
      <c r="C27" s="144"/>
      <c r="D27" s="144"/>
      <c r="E27" s="146" t="s">
        <v>1</v>
      </c>
      <c r="F27" s="146"/>
      <c r="G27" s="146"/>
      <c r="H27" s="146"/>
      <c r="I27" s="144"/>
      <c r="J27" s="144"/>
      <c r="K27" s="144"/>
      <c r="L27" s="147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</row>
    <row r="28" s="2" customFormat="1" ht="6.96" customHeight="1">
      <c r="A28" s="37"/>
      <c r="B28" s="43"/>
      <c r="C28" s="37"/>
      <c r="D28" s="37"/>
      <c r="E28" s="37"/>
      <c r="F28" s="37"/>
      <c r="G28" s="37"/>
      <c r="H28" s="37"/>
      <c r="I28" s="37"/>
      <c r="J28" s="37"/>
      <c r="K28" s="37"/>
      <c r="L28" s="62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</row>
    <row r="29" s="2" customFormat="1" ht="6.96" customHeight="1">
      <c r="A29" s="37"/>
      <c r="B29" s="43"/>
      <c r="C29" s="37"/>
      <c r="D29" s="148"/>
      <c r="E29" s="148"/>
      <c r="F29" s="148"/>
      <c r="G29" s="148"/>
      <c r="H29" s="148"/>
      <c r="I29" s="148"/>
      <c r="J29" s="148"/>
      <c r="K29" s="148"/>
      <c r="L29" s="62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</row>
    <row r="30" s="2" customFormat="1" ht="25.44" customHeight="1">
      <c r="A30" s="37"/>
      <c r="B30" s="43"/>
      <c r="C30" s="37"/>
      <c r="D30" s="149" t="s">
        <v>37</v>
      </c>
      <c r="E30" s="37"/>
      <c r="F30" s="37"/>
      <c r="G30" s="37"/>
      <c r="H30" s="37"/>
      <c r="I30" s="37"/>
      <c r="J30" s="150">
        <f>ROUND(J124, 0)</f>
        <v>0</v>
      </c>
      <c r="K30" s="37"/>
      <c r="L30" s="62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</row>
    <row r="31" s="2" customFormat="1" ht="6.96" customHeight="1">
      <c r="A31" s="37"/>
      <c r="B31" s="43"/>
      <c r="C31" s="37"/>
      <c r="D31" s="148"/>
      <c r="E31" s="148"/>
      <c r="F31" s="148"/>
      <c r="G31" s="148"/>
      <c r="H31" s="148"/>
      <c r="I31" s="148"/>
      <c r="J31" s="148"/>
      <c r="K31" s="148"/>
      <c r="L31" s="62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</row>
    <row r="32" s="2" customFormat="1" ht="14.4" customHeight="1">
      <c r="A32" s="37"/>
      <c r="B32" s="43"/>
      <c r="C32" s="37"/>
      <c r="D32" s="37"/>
      <c r="E32" s="37"/>
      <c r="F32" s="151" t="s">
        <v>39</v>
      </c>
      <c r="G32" s="37"/>
      <c r="H32" s="37"/>
      <c r="I32" s="151" t="s">
        <v>38</v>
      </c>
      <c r="J32" s="151" t="s">
        <v>40</v>
      </c>
      <c r="K32" s="37"/>
      <c r="L32" s="62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</row>
    <row r="33" s="2" customFormat="1" ht="14.4" customHeight="1">
      <c r="A33" s="37"/>
      <c r="B33" s="43"/>
      <c r="C33" s="37"/>
      <c r="D33" s="152" t="s">
        <v>41</v>
      </c>
      <c r="E33" s="139" t="s">
        <v>42</v>
      </c>
      <c r="F33" s="153">
        <f>ROUND((SUM(BE124:BE179)),  0)</f>
        <v>0</v>
      </c>
      <c r="G33" s="37"/>
      <c r="H33" s="37"/>
      <c r="I33" s="154">
        <v>0.20999999999999999</v>
      </c>
      <c r="J33" s="153">
        <f>ROUND(((SUM(BE124:BE179))*I33),  0)</f>
        <v>0</v>
      </c>
      <c r="K33" s="37"/>
      <c r="L33" s="62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</row>
    <row r="34" s="2" customFormat="1" ht="14.4" customHeight="1">
      <c r="A34" s="37"/>
      <c r="B34" s="43"/>
      <c r="C34" s="37"/>
      <c r="D34" s="37"/>
      <c r="E34" s="139" t="s">
        <v>43</v>
      </c>
      <c r="F34" s="153">
        <f>ROUND((SUM(BF124:BF179)),  0)</f>
        <v>0</v>
      </c>
      <c r="G34" s="37"/>
      <c r="H34" s="37"/>
      <c r="I34" s="154">
        <v>0.12</v>
      </c>
      <c r="J34" s="153">
        <f>ROUND(((SUM(BF124:BF179))*I34),  0)</f>
        <v>0</v>
      </c>
      <c r="K34" s="37"/>
      <c r="L34" s="62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</row>
    <row r="35" hidden="1" s="2" customFormat="1" ht="14.4" customHeight="1">
      <c r="A35" s="37"/>
      <c r="B35" s="43"/>
      <c r="C35" s="37"/>
      <c r="D35" s="37"/>
      <c r="E35" s="139" t="s">
        <v>44</v>
      </c>
      <c r="F35" s="153">
        <f>ROUND((SUM(BG124:BG179)),  0)</f>
        <v>0</v>
      </c>
      <c r="G35" s="37"/>
      <c r="H35" s="37"/>
      <c r="I35" s="154">
        <v>0.20999999999999999</v>
      </c>
      <c r="J35" s="153">
        <f>0</f>
        <v>0</v>
      </c>
      <c r="K35" s="37"/>
      <c r="L35" s="62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</row>
    <row r="36" hidden="1" s="2" customFormat="1" ht="14.4" customHeight="1">
      <c r="A36" s="37"/>
      <c r="B36" s="43"/>
      <c r="C36" s="37"/>
      <c r="D36" s="37"/>
      <c r="E36" s="139" t="s">
        <v>45</v>
      </c>
      <c r="F36" s="153">
        <f>ROUND((SUM(BH124:BH179)),  0)</f>
        <v>0</v>
      </c>
      <c r="G36" s="37"/>
      <c r="H36" s="37"/>
      <c r="I36" s="154">
        <v>0.12</v>
      </c>
      <c r="J36" s="153">
        <f>0</f>
        <v>0</v>
      </c>
      <c r="K36" s="37"/>
      <c r="L36" s="62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</row>
    <row r="37" hidden="1" s="2" customFormat="1" ht="14.4" customHeight="1">
      <c r="A37" s="37"/>
      <c r="B37" s="43"/>
      <c r="C37" s="37"/>
      <c r="D37" s="37"/>
      <c r="E37" s="139" t="s">
        <v>46</v>
      </c>
      <c r="F37" s="153">
        <f>ROUND((SUM(BI124:BI179)),  0)</f>
        <v>0</v>
      </c>
      <c r="G37" s="37"/>
      <c r="H37" s="37"/>
      <c r="I37" s="154">
        <v>0</v>
      </c>
      <c r="J37" s="153">
        <f>0</f>
        <v>0</v>
      </c>
      <c r="K37" s="37"/>
      <c r="L37" s="62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</row>
    <row r="38" s="2" customFormat="1" ht="6.96" customHeight="1">
      <c r="A38" s="37"/>
      <c r="B38" s="43"/>
      <c r="C38" s="37"/>
      <c r="D38" s="37"/>
      <c r="E38" s="37"/>
      <c r="F38" s="37"/>
      <c r="G38" s="37"/>
      <c r="H38" s="37"/>
      <c r="I38" s="37"/>
      <c r="J38" s="37"/>
      <c r="K38" s="37"/>
      <c r="L38" s="62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</row>
    <row r="39" s="2" customFormat="1" ht="25.44" customHeight="1">
      <c r="A39" s="37"/>
      <c r="B39" s="43"/>
      <c r="C39" s="155"/>
      <c r="D39" s="156" t="s">
        <v>47</v>
      </c>
      <c r="E39" s="157"/>
      <c r="F39" s="157"/>
      <c r="G39" s="158" t="s">
        <v>48</v>
      </c>
      <c r="H39" s="159" t="s">
        <v>49</v>
      </c>
      <c r="I39" s="157"/>
      <c r="J39" s="160">
        <f>SUM(J30:J37)</f>
        <v>0</v>
      </c>
      <c r="K39" s="161"/>
      <c r="L39" s="62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</row>
    <row r="40" s="2" customFormat="1" ht="14.4" customHeight="1">
      <c r="A40" s="37"/>
      <c r="B40" s="43"/>
      <c r="C40" s="37"/>
      <c r="D40" s="37"/>
      <c r="E40" s="37"/>
      <c r="F40" s="37"/>
      <c r="G40" s="37"/>
      <c r="H40" s="37"/>
      <c r="I40" s="37"/>
      <c r="J40" s="37"/>
      <c r="K40" s="37"/>
      <c r="L40" s="62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</row>
    <row r="41" s="1" customFormat="1" ht="14.4" customHeight="1">
      <c r="B41" s="19"/>
      <c r="L41" s="19"/>
    </row>
    <row r="42" s="1" customFormat="1" ht="14.4" customHeight="1">
      <c r="B42" s="19"/>
      <c r="L42" s="19"/>
    </row>
    <row r="43" s="1" customFormat="1" ht="14.4" customHeight="1">
      <c r="B43" s="19"/>
      <c r="L43" s="19"/>
    </row>
    <row r="44" s="1" customFormat="1" ht="14.4" customHeight="1">
      <c r="B44" s="19"/>
      <c r="L44" s="19"/>
    </row>
    <row r="45" s="1" customFormat="1" ht="14.4" customHeight="1">
      <c r="B45" s="19"/>
      <c r="L45" s="19"/>
    </row>
    <row r="46" s="1" customFormat="1" ht="14.4" customHeight="1">
      <c r="B46" s="19"/>
      <c r="L46" s="19"/>
    </row>
    <row r="47" s="1" customFormat="1" ht="14.4" customHeight="1">
      <c r="B47" s="19"/>
      <c r="L47" s="19"/>
    </row>
    <row r="48" s="1" customFormat="1" ht="14.4" customHeight="1">
      <c r="B48" s="19"/>
      <c r="L48" s="19"/>
    </row>
    <row r="49" s="1" customFormat="1" ht="14.4" customHeight="1">
      <c r="B49" s="19"/>
      <c r="L49" s="19"/>
    </row>
    <row r="50" s="2" customFormat="1" ht="14.4" customHeight="1">
      <c r="B50" s="62"/>
      <c r="D50" s="162" t="s">
        <v>50</v>
      </c>
      <c r="E50" s="163"/>
      <c r="F50" s="163"/>
      <c r="G50" s="162" t="s">
        <v>51</v>
      </c>
      <c r="H50" s="163"/>
      <c r="I50" s="163"/>
      <c r="J50" s="163"/>
      <c r="K50" s="163"/>
      <c r="L50" s="62"/>
    </row>
    <row r="51">
      <c r="B51" s="19"/>
      <c r="L51" s="19"/>
    </row>
    <row r="52">
      <c r="B52" s="19"/>
      <c r="L52" s="19"/>
    </row>
    <row r="53">
      <c r="B53" s="19"/>
      <c r="L53" s="19"/>
    </row>
    <row r="54">
      <c r="B54" s="19"/>
      <c r="L54" s="19"/>
    </row>
    <row r="55">
      <c r="B55" s="19"/>
      <c r="L55" s="19"/>
    </row>
    <row r="56">
      <c r="B56" s="19"/>
      <c r="L56" s="19"/>
    </row>
    <row r="57">
      <c r="B57" s="19"/>
      <c r="L57" s="19"/>
    </row>
    <row r="58">
      <c r="B58" s="19"/>
      <c r="L58" s="19"/>
    </row>
    <row r="59">
      <c r="B59" s="19"/>
      <c r="L59" s="19"/>
    </row>
    <row r="60">
      <c r="B60" s="19"/>
      <c r="L60" s="19"/>
    </row>
    <row r="61" s="2" customFormat="1">
      <c r="A61" s="37"/>
      <c r="B61" s="43"/>
      <c r="C61" s="37"/>
      <c r="D61" s="164" t="s">
        <v>52</v>
      </c>
      <c r="E61" s="165"/>
      <c r="F61" s="166" t="s">
        <v>53</v>
      </c>
      <c r="G61" s="164" t="s">
        <v>52</v>
      </c>
      <c r="H61" s="165"/>
      <c r="I61" s="165"/>
      <c r="J61" s="167" t="s">
        <v>53</v>
      </c>
      <c r="K61" s="165"/>
      <c r="L61" s="62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</row>
    <row r="62">
      <c r="B62" s="19"/>
      <c r="L62" s="19"/>
    </row>
    <row r="63">
      <c r="B63" s="19"/>
      <c r="L63" s="19"/>
    </row>
    <row r="64">
      <c r="B64" s="19"/>
      <c r="L64" s="19"/>
    </row>
    <row r="65" s="2" customFormat="1">
      <c r="A65" s="37"/>
      <c r="B65" s="43"/>
      <c r="C65" s="37"/>
      <c r="D65" s="162" t="s">
        <v>54</v>
      </c>
      <c r="E65" s="168"/>
      <c r="F65" s="168"/>
      <c r="G65" s="162" t="s">
        <v>55</v>
      </c>
      <c r="H65" s="168"/>
      <c r="I65" s="168"/>
      <c r="J65" s="168"/>
      <c r="K65" s="168"/>
      <c r="L65" s="62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</row>
    <row r="66">
      <c r="B66" s="19"/>
      <c r="L66" s="19"/>
    </row>
    <row r="67">
      <c r="B67" s="19"/>
      <c r="L67" s="19"/>
    </row>
    <row r="68">
      <c r="B68" s="19"/>
      <c r="L68" s="19"/>
    </row>
    <row r="69">
      <c r="B69" s="19"/>
      <c r="L69" s="19"/>
    </row>
    <row r="70">
      <c r="B70" s="19"/>
      <c r="L70" s="19"/>
    </row>
    <row r="71">
      <c r="B71" s="19"/>
      <c r="L71" s="19"/>
    </row>
    <row r="72">
      <c r="B72" s="19"/>
      <c r="L72" s="19"/>
    </row>
    <row r="73">
      <c r="B73" s="19"/>
      <c r="L73" s="19"/>
    </row>
    <row r="74">
      <c r="B74" s="19"/>
      <c r="L74" s="19"/>
    </row>
    <row r="75">
      <c r="B75" s="19"/>
      <c r="L75" s="19"/>
    </row>
    <row r="76" s="2" customFormat="1">
      <c r="A76" s="37"/>
      <c r="B76" s="43"/>
      <c r="C76" s="37"/>
      <c r="D76" s="164" t="s">
        <v>52</v>
      </c>
      <c r="E76" s="165"/>
      <c r="F76" s="166" t="s">
        <v>53</v>
      </c>
      <c r="G76" s="164" t="s">
        <v>52</v>
      </c>
      <c r="H76" s="165"/>
      <c r="I76" s="165"/>
      <c r="J76" s="167" t="s">
        <v>53</v>
      </c>
      <c r="K76" s="165"/>
      <c r="L76" s="62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</row>
    <row r="77" s="2" customFormat="1" ht="14.4" customHeight="1">
      <c r="A77" s="37"/>
      <c r="B77" s="169"/>
      <c r="C77" s="170"/>
      <c r="D77" s="170"/>
      <c r="E77" s="170"/>
      <c r="F77" s="170"/>
      <c r="G77" s="170"/>
      <c r="H77" s="170"/>
      <c r="I77" s="170"/>
      <c r="J77" s="170"/>
      <c r="K77" s="170"/>
      <c r="L77" s="62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</row>
    <row r="81" s="2" customFormat="1" ht="6.96" customHeight="1">
      <c r="A81" s="37"/>
      <c r="B81" s="171"/>
      <c r="C81" s="172"/>
      <c r="D81" s="172"/>
      <c r="E81" s="172"/>
      <c r="F81" s="172"/>
      <c r="G81" s="172"/>
      <c r="H81" s="172"/>
      <c r="I81" s="172"/>
      <c r="J81" s="172"/>
      <c r="K81" s="172"/>
      <c r="L81" s="62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</row>
    <row r="82" s="2" customFormat="1" ht="24.96" customHeight="1">
      <c r="A82" s="37"/>
      <c r="B82" s="38"/>
      <c r="C82" s="22" t="s">
        <v>111</v>
      </c>
      <c r="D82" s="39"/>
      <c r="E82" s="39"/>
      <c r="F82" s="39"/>
      <c r="G82" s="39"/>
      <c r="H82" s="39"/>
      <c r="I82" s="39"/>
      <c r="J82" s="39"/>
      <c r="K82" s="39"/>
      <c r="L82" s="62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</row>
    <row r="83" s="2" customFormat="1" ht="6.96" customHeight="1">
      <c r="A83" s="37"/>
      <c r="B83" s="38"/>
      <c r="C83" s="39"/>
      <c r="D83" s="39"/>
      <c r="E83" s="39"/>
      <c r="F83" s="39"/>
      <c r="G83" s="39"/>
      <c r="H83" s="39"/>
      <c r="I83" s="39"/>
      <c r="J83" s="39"/>
      <c r="K83" s="39"/>
      <c r="L83" s="62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</row>
    <row r="84" s="2" customFormat="1" ht="12" customHeight="1">
      <c r="A84" s="37"/>
      <c r="B84" s="38"/>
      <c r="C84" s="31" t="s">
        <v>17</v>
      </c>
      <c r="D84" s="39"/>
      <c r="E84" s="39"/>
      <c r="F84" s="39"/>
      <c r="G84" s="39"/>
      <c r="H84" s="39"/>
      <c r="I84" s="39"/>
      <c r="J84" s="39"/>
      <c r="K84" s="39"/>
      <c r="L84" s="62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</row>
    <row r="85" s="2" customFormat="1" ht="16.5" customHeight="1">
      <c r="A85" s="37"/>
      <c r="B85" s="38"/>
      <c r="C85" s="39"/>
      <c r="D85" s="39"/>
      <c r="E85" s="173" t="str">
        <f>E7</f>
        <v>Areál společnosti FORESTINA s.r.o. Horažďovice, Blatenská 587</v>
      </c>
      <c r="F85" s="31"/>
      <c r="G85" s="31"/>
      <c r="H85" s="31"/>
      <c r="I85" s="39"/>
      <c r="J85" s="39"/>
      <c r="K85" s="39"/>
      <c r="L85" s="62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</row>
    <row r="86" s="2" customFormat="1" ht="12" customHeight="1">
      <c r="A86" s="37"/>
      <c r="B86" s="38"/>
      <c r="C86" s="31" t="s">
        <v>109</v>
      </c>
      <c r="D86" s="39"/>
      <c r="E86" s="39"/>
      <c r="F86" s="39"/>
      <c r="G86" s="39"/>
      <c r="H86" s="39"/>
      <c r="I86" s="39"/>
      <c r="J86" s="39"/>
      <c r="K86" s="39"/>
      <c r="L86" s="62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</row>
    <row r="87" s="2" customFormat="1" ht="16.5" customHeight="1">
      <c r="A87" s="37"/>
      <c r="B87" s="38"/>
      <c r="C87" s="39"/>
      <c r="D87" s="39"/>
      <c r="E87" s="75" t="str">
        <f>E9</f>
        <v>035 - Venkovní úpravy - přístřešek VP3</v>
      </c>
      <c r="F87" s="39"/>
      <c r="G87" s="39"/>
      <c r="H87" s="39"/>
      <c r="I87" s="39"/>
      <c r="J87" s="39"/>
      <c r="K87" s="39"/>
      <c r="L87" s="62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</row>
    <row r="88" s="2" customFormat="1" ht="6.96" customHeight="1">
      <c r="A88" s="37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62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</row>
    <row r="89" s="2" customFormat="1" ht="12" customHeight="1">
      <c r="A89" s="37"/>
      <c r="B89" s="38"/>
      <c r="C89" s="31" t="s">
        <v>21</v>
      </c>
      <c r="D89" s="39"/>
      <c r="E89" s="39"/>
      <c r="F89" s="26" t="str">
        <f>F12</f>
        <v>Horažďovice</v>
      </c>
      <c r="G89" s="39"/>
      <c r="H89" s="39"/>
      <c r="I89" s="31" t="s">
        <v>23</v>
      </c>
      <c r="J89" s="78" t="str">
        <f>IF(J12="","",J12)</f>
        <v>26. 11. 2025</v>
      </c>
      <c r="K89" s="39"/>
      <c r="L89" s="62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</row>
    <row r="90" s="2" customFormat="1" ht="6.96" customHeight="1">
      <c r="A90" s="37"/>
      <c r="B90" s="38"/>
      <c r="C90" s="39"/>
      <c r="D90" s="39"/>
      <c r="E90" s="39"/>
      <c r="F90" s="39"/>
      <c r="G90" s="39"/>
      <c r="H90" s="39"/>
      <c r="I90" s="39"/>
      <c r="J90" s="39"/>
      <c r="K90" s="39"/>
      <c r="L90" s="62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</row>
    <row r="91" s="2" customFormat="1" ht="25.65" customHeight="1">
      <c r="A91" s="37"/>
      <c r="B91" s="38"/>
      <c r="C91" s="31" t="s">
        <v>25</v>
      </c>
      <c r="D91" s="39"/>
      <c r="E91" s="39"/>
      <c r="F91" s="26" t="str">
        <f>E15</f>
        <v>FORESTINA s.r.o.</v>
      </c>
      <c r="G91" s="39"/>
      <c r="H91" s="39"/>
      <c r="I91" s="31" t="s">
        <v>31</v>
      </c>
      <c r="J91" s="35" t="str">
        <f>E21</f>
        <v>STA projektový ateliér, s.r.o.</v>
      </c>
      <c r="K91" s="39"/>
      <c r="L91" s="62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</row>
    <row r="92" s="2" customFormat="1" ht="15.15" customHeight="1">
      <c r="A92" s="37"/>
      <c r="B92" s="38"/>
      <c r="C92" s="31" t="s">
        <v>29</v>
      </c>
      <c r="D92" s="39"/>
      <c r="E92" s="39"/>
      <c r="F92" s="26" t="str">
        <f>IF(E18="","",E18)</f>
        <v>Vyplň údaj</v>
      </c>
      <c r="G92" s="39"/>
      <c r="H92" s="39"/>
      <c r="I92" s="31" t="s">
        <v>34</v>
      </c>
      <c r="J92" s="35" t="str">
        <f>E24</f>
        <v>Pavel Hrba</v>
      </c>
      <c r="K92" s="39"/>
      <c r="L92" s="62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</row>
    <row r="93" s="2" customFormat="1" ht="10.32" customHeight="1">
      <c r="A93" s="37"/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62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</row>
    <row r="94" s="2" customFormat="1" ht="29.28" customHeight="1">
      <c r="A94" s="37"/>
      <c r="B94" s="38"/>
      <c r="C94" s="174" t="s">
        <v>112</v>
      </c>
      <c r="D94" s="175"/>
      <c r="E94" s="175"/>
      <c r="F94" s="175"/>
      <c r="G94" s="175"/>
      <c r="H94" s="175"/>
      <c r="I94" s="175"/>
      <c r="J94" s="176" t="s">
        <v>113</v>
      </c>
      <c r="K94" s="175"/>
      <c r="L94" s="62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</row>
    <row r="95" s="2" customFormat="1" ht="10.32" customHeight="1">
      <c r="A95" s="37"/>
      <c r="B95" s="38"/>
      <c r="C95" s="39"/>
      <c r="D95" s="39"/>
      <c r="E95" s="39"/>
      <c r="F95" s="39"/>
      <c r="G95" s="39"/>
      <c r="H95" s="39"/>
      <c r="I95" s="39"/>
      <c r="J95" s="39"/>
      <c r="K95" s="39"/>
      <c r="L95" s="62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</row>
    <row r="96" s="2" customFormat="1" ht="22.8" customHeight="1">
      <c r="A96" s="37"/>
      <c r="B96" s="38"/>
      <c r="C96" s="177" t="s">
        <v>114</v>
      </c>
      <c r="D96" s="39"/>
      <c r="E96" s="39"/>
      <c r="F96" s="39"/>
      <c r="G96" s="39"/>
      <c r="H96" s="39"/>
      <c r="I96" s="39"/>
      <c r="J96" s="109">
        <f>J124</f>
        <v>0</v>
      </c>
      <c r="K96" s="39"/>
      <c r="L96" s="62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U96" s="16" t="s">
        <v>115</v>
      </c>
    </row>
    <row r="97" s="9" customFormat="1" ht="24.96" customHeight="1">
      <c r="A97" s="9"/>
      <c r="B97" s="178"/>
      <c r="C97" s="179"/>
      <c r="D97" s="180" t="s">
        <v>116</v>
      </c>
      <c r="E97" s="181"/>
      <c r="F97" s="181"/>
      <c r="G97" s="181"/>
      <c r="H97" s="181"/>
      <c r="I97" s="181"/>
      <c r="J97" s="182">
        <f>J125</f>
        <v>0</v>
      </c>
      <c r="K97" s="179"/>
      <c r="L97" s="183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="10" customFormat="1" ht="19.92" customHeight="1">
      <c r="A98" s="10"/>
      <c r="B98" s="184"/>
      <c r="C98" s="185"/>
      <c r="D98" s="186" t="s">
        <v>117</v>
      </c>
      <c r="E98" s="187"/>
      <c r="F98" s="187"/>
      <c r="G98" s="187"/>
      <c r="H98" s="187"/>
      <c r="I98" s="187"/>
      <c r="J98" s="188">
        <f>J126</f>
        <v>0</v>
      </c>
      <c r="K98" s="185"/>
      <c r="L98" s="189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="10" customFormat="1" ht="19.92" customHeight="1">
      <c r="A99" s="10"/>
      <c r="B99" s="184"/>
      <c r="C99" s="185"/>
      <c r="D99" s="186" t="s">
        <v>118</v>
      </c>
      <c r="E99" s="187"/>
      <c r="F99" s="187"/>
      <c r="G99" s="187"/>
      <c r="H99" s="187"/>
      <c r="I99" s="187"/>
      <c r="J99" s="188">
        <f>J146</f>
        <v>0</v>
      </c>
      <c r="K99" s="185"/>
      <c r="L99" s="189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 s="10" customFormat="1" ht="19.92" customHeight="1">
      <c r="A100" s="10"/>
      <c r="B100" s="184"/>
      <c r="C100" s="185"/>
      <c r="D100" s="186" t="s">
        <v>119</v>
      </c>
      <c r="E100" s="187"/>
      <c r="F100" s="187"/>
      <c r="G100" s="187"/>
      <c r="H100" s="187"/>
      <c r="I100" s="187"/>
      <c r="J100" s="188">
        <f>J156</f>
        <v>0</v>
      </c>
      <c r="K100" s="185"/>
      <c r="L100" s="189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s="10" customFormat="1" ht="19.92" customHeight="1">
      <c r="A101" s="10"/>
      <c r="B101" s="184"/>
      <c r="C101" s="185"/>
      <c r="D101" s="186" t="s">
        <v>124</v>
      </c>
      <c r="E101" s="187"/>
      <c r="F101" s="187"/>
      <c r="G101" s="187"/>
      <c r="H101" s="187"/>
      <c r="I101" s="187"/>
      <c r="J101" s="188">
        <f>J157</f>
        <v>0</v>
      </c>
      <c r="K101" s="185"/>
      <c r="L101" s="189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 s="9" customFormat="1" ht="24.96" customHeight="1">
      <c r="A102" s="9"/>
      <c r="B102" s="178"/>
      <c r="C102" s="179"/>
      <c r="D102" s="180" t="s">
        <v>2121</v>
      </c>
      <c r="E102" s="181"/>
      <c r="F102" s="181"/>
      <c r="G102" s="181"/>
      <c r="H102" s="181"/>
      <c r="I102" s="181"/>
      <c r="J102" s="182">
        <f>J159</f>
        <v>0</v>
      </c>
      <c r="K102" s="179"/>
      <c r="L102" s="183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s="10" customFormat="1" ht="19.92" customHeight="1">
      <c r="A103" s="10"/>
      <c r="B103" s="184"/>
      <c r="C103" s="185"/>
      <c r="D103" s="186" t="s">
        <v>131</v>
      </c>
      <c r="E103" s="187"/>
      <c r="F103" s="187"/>
      <c r="G103" s="187"/>
      <c r="H103" s="187"/>
      <c r="I103" s="187"/>
      <c r="J103" s="188">
        <f>J160</f>
        <v>0</v>
      </c>
      <c r="K103" s="185"/>
      <c r="L103" s="189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</row>
    <row r="104" s="10" customFormat="1" ht="19.92" customHeight="1">
      <c r="A104" s="10"/>
      <c r="B104" s="184"/>
      <c r="C104" s="185"/>
      <c r="D104" s="186" t="s">
        <v>133</v>
      </c>
      <c r="E104" s="187"/>
      <c r="F104" s="187"/>
      <c r="G104" s="187"/>
      <c r="H104" s="187"/>
      <c r="I104" s="187"/>
      <c r="J104" s="188">
        <f>J167</f>
        <v>0</v>
      </c>
      <c r="K104" s="185"/>
      <c r="L104" s="189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</row>
    <row r="105" s="2" customFormat="1" ht="21.84" customHeight="1">
      <c r="A105" s="37"/>
      <c r="B105" s="38"/>
      <c r="C105" s="39"/>
      <c r="D105" s="39"/>
      <c r="E105" s="39"/>
      <c r="F105" s="39"/>
      <c r="G105" s="39"/>
      <c r="H105" s="39"/>
      <c r="I105" s="39"/>
      <c r="J105" s="39"/>
      <c r="K105" s="39"/>
      <c r="L105" s="62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</row>
    <row r="106" s="2" customFormat="1" ht="6.96" customHeight="1">
      <c r="A106" s="37"/>
      <c r="B106" s="65"/>
      <c r="C106" s="66"/>
      <c r="D106" s="66"/>
      <c r="E106" s="66"/>
      <c r="F106" s="66"/>
      <c r="G106" s="66"/>
      <c r="H106" s="66"/>
      <c r="I106" s="66"/>
      <c r="J106" s="66"/>
      <c r="K106" s="66"/>
      <c r="L106" s="62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</row>
    <row r="110" s="2" customFormat="1" ht="6.96" customHeight="1">
      <c r="A110" s="37"/>
      <c r="B110" s="67"/>
      <c r="C110" s="68"/>
      <c r="D110" s="68"/>
      <c r="E110" s="68"/>
      <c r="F110" s="68"/>
      <c r="G110" s="68"/>
      <c r="H110" s="68"/>
      <c r="I110" s="68"/>
      <c r="J110" s="68"/>
      <c r="K110" s="68"/>
      <c r="L110" s="62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</row>
    <row r="111" s="2" customFormat="1" ht="24.96" customHeight="1">
      <c r="A111" s="37"/>
      <c r="B111" s="38"/>
      <c r="C111" s="22" t="s">
        <v>142</v>
      </c>
      <c r="D111" s="39"/>
      <c r="E111" s="39"/>
      <c r="F111" s="39"/>
      <c r="G111" s="39"/>
      <c r="H111" s="39"/>
      <c r="I111" s="39"/>
      <c r="J111" s="39"/>
      <c r="K111" s="39"/>
      <c r="L111" s="62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</row>
    <row r="112" s="2" customFormat="1" ht="6.96" customHeight="1">
      <c r="A112" s="37"/>
      <c r="B112" s="38"/>
      <c r="C112" s="39"/>
      <c r="D112" s="39"/>
      <c r="E112" s="39"/>
      <c r="F112" s="39"/>
      <c r="G112" s="39"/>
      <c r="H112" s="39"/>
      <c r="I112" s="39"/>
      <c r="J112" s="39"/>
      <c r="K112" s="39"/>
      <c r="L112" s="62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</row>
    <row r="113" s="2" customFormat="1" ht="12" customHeight="1">
      <c r="A113" s="37"/>
      <c r="B113" s="38"/>
      <c r="C113" s="31" t="s">
        <v>17</v>
      </c>
      <c r="D113" s="39"/>
      <c r="E113" s="39"/>
      <c r="F113" s="39"/>
      <c r="G113" s="39"/>
      <c r="H113" s="39"/>
      <c r="I113" s="39"/>
      <c r="J113" s="39"/>
      <c r="K113" s="39"/>
      <c r="L113" s="62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</row>
    <row r="114" s="2" customFormat="1" ht="16.5" customHeight="1">
      <c r="A114" s="37"/>
      <c r="B114" s="38"/>
      <c r="C114" s="39"/>
      <c r="D114" s="39"/>
      <c r="E114" s="173" t="str">
        <f>E7</f>
        <v>Areál společnosti FORESTINA s.r.o. Horažďovice, Blatenská 587</v>
      </c>
      <c r="F114" s="31"/>
      <c r="G114" s="31"/>
      <c r="H114" s="31"/>
      <c r="I114" s="39"/>
      <c r="J114" s="39"/>
      <c r="K114" s="39"/>
      <c r="L114" s="62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</row>
    <row r="115" s="2" customFormat="1" ht="12" customHeight="1">
      <c r="A115" s="37"/>
      <c r="B115" s="38"/>
      <c r="C115" s="31" t="s">
        <v>109</v>
      </c>
      <c r="D115" s="39"/>
      <c r="E115" s="39"/>
      <c r="F115" s="39"/>
      <c r="G115" s="39"/>
      <c r="H115" s="39"/>
      <c r="I115" s="39"/>
      <c r="J115" s="39"/>
      <c r="K115" s="39"/>
      <c r="L115" s="62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</row>
    <row r="116" s="2" customFormat="1" ht="16.5" customHeight="1">
      <c r="A116" s="37"/>
      <c r="B116" s="38"/>
      <c r="C116" s="39"/>
      <c r="D116" s="39"/>
      <c r="E116" s="75" t="str">
        <f>E9</f>
        <v>035 - Venkovní úpravy - přístřešek VP3</v>
      </c>
      <c r="F116" s="39"/>
      <c r="G116" s="39"/>
      <c r="H116" s="39"/>
      <c r="I116" s="39"/>
      <c r="J116" s="39"/>
      <c r="K116" s="39"/>
      <c r="L116" s="62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</row>
    <row r="117" s="2" customFormat="1" ht="6.96" customHeight="1">
      <c r="A117" s="37"/>
      <c r="B117" s="38"/>
      <c r="C117" s="39"/>
      <c r="D117" s="39"/>
      <c r="E117" s="39"/>
      <c r="F117" s="39"/>
      <c r="G117" s="39"/>
      <c r="H117" s="39"/>
      <c r="I117" s="39"/>
      <c r="J117" s="39"/>
      <c r="K117" s="39"/>
      <c r="L117" s="62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</row>
    <row r="118" s="2" customFormat="1" ht="12" customHeight="1">
      <c r="A118" s="37"/>
      <c r="B118" s="38"/>
      <c r="C118" s="31" t="s">
        <v>21</v>
      </c>
      <c r="D118" s="39"/>
      <c r="E118" s="39"/>
      <c r="F118" s="26" t="str">
        <f>F12</f>
        <v>Horažďovice</v>
      </c>
      <c r="G118" s="39"/>
      <c r="H118" s="39"/>
      <c r="I118" s="31" t="s">
        <v>23</v>
      </c>
      <c r="J118" s="78" t="str">
        <f>IF(J12="","",J12)</f>
        <v>26. 11. 2025</v>
      </c>
      <c r="K118" s="39"/>
      <c r="L118" s="62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</row>
    <row r="119" s="2" customFormat="1" ht="6.96" customHeight="1">
      <c r="A119" s="37"/>
      <c r="B119" s="38"/>
      <c r="C119" s="39"/>
      <c r="D119" s="39"/>
      <c r="E119" s="39"/>
      <c r="F119" s="39"/>
      <c r="G119" s="39"/>
      <c r="H119" s="39"/>
      <c r="I119" s="39"/>
      <c r="J119" s="39"/>
      <c r="K119" s="39"/>
      <c r="L119" s="62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</row>
    <row r="120" s="2" customFormat="1" ht="25.65" customHeight="1">
      <c r="A120" s="37"/>
      <c r="B120" s="38"/>
      <c r="C120" s="31" t="s">
        <v>25</v>
      </c>
      <c r="D120" s="39"/>
      <c r="E120" s="39"/>
      <c r="F120" s="26" t="str">
        <f>E15</f>
        <v>FORESTINA s.r.o.</v>
      </c>
      <c r="G120" s="39"/>
      <c r="H120" s="39"/>
      <c r="I120" s="31" t="s">
        <v>31</v>
      </c>
      <c r="J120" s="35" t="str">
        <f>E21</f>
        <v>STA projektový ateliér, s.r.o.</v>
      </c>
      <c r="K120" s="39"/>
      <c r="L120" s="62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</row>
    <row r="121" s="2" customFormat="1" ht="15.15" customHeight="1">
      <c r="A121" s="37"/>
      <c r="B121" s="38"/>
      <c r="C121" s="31" t="s">
        <v>29</v>
      </c>
      <c r="D121" s="39"/>
      <c r="E121" s="39"/>
      <c r="F121" s="26" t="str">
        <f>IF(E18="","",E18)</f>
        <v>Vyplň údaj</v>
      </c>
      <c r="G121" s="39"/>
      <c r="H121" s="39"/>
      <c r="I121" s="31" t="s">
        <v>34</v>
      </c>
      <c r="J121" s="35" t="str">
        <f>E24</f>
        <v>Pavel Hrba</v>
      </c>
      <c r="K121" s="39"/>
      <c r="L121" s="62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</row>
    <row r="122" s="2" customFormat="1" ht="10.32" customHeight="1">
      <c r="A122" s="37"/>
      <c r="B122" s="38"/>
      <c r="C122" s="39"/>
      <c r="D122" s="39"/>
      <c r="E122" s="39"/>
      <c r="F122" s="39"/>
      <c r="G122" s="39"/>
      <c r="H122" s="39"/>
      <c r="I122" s="39"/>
      <c r="J122" s="39"/>
      <c r="K122" s="39"/>
      <c r="L122" s="62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</row>
    <row r="123" s="11" customFormat="1" ht="29.28" customHeight="1">
      <c r="A123" s="190"/>
      <c r="B123" s="191"/>
      <c r="C123" s="192" t="s">
        <v>143</v>
      </c>
      <c r="D123" s="193" t="s">
        <v>62</v>
      </c>
      <c r="E123" s="193" t="s">
        <v>58</v>
      </c>
      <c r="F123" s="193" t="s">
        <v>59</v>
      </c>
      <c r="G123" s="193" t="s">
        <v>144</v>
      </c>
      <c r="H123" s="193" t="s">
        <v>145</v>
      </c>
      <c r="I123" s="193" t="s">
        <v>146</v>
      </c>
      <c r="J123" s="194" t="s">
        <v>113</v>
      </c>
      <c r="K123" s="195" t="s">
        <v>147</v>
      </c>
      <c r="L123" s="196"/>
      <c r="M123" s="99" t="s">
        <v>1</v>
      </c>
      <c r="N123" s="100" t="s">
        <v>41</v>
      </c>
      <c r="O123" s="100" t="s">
        <v>148</v>
      </c>
      <c r="P123" s="100" t="s">
        <v>149</v>
      </c>
      <c r="Q123" s="100" t="s">
        <v>150</v>
      </c>
      <c r="R123" s="100" t="s">
        <v>151</v>
      </c>
      <c r="S123" s="100" t="s">
        <v>152</v>
      </c>
      <c r="T123" s="101" t="s">
        <v>153</v>
      </c>
      <c r="U123" s="190"/>
      <c r="V123" s="190"/>
      <c r="W123" s="190"/>
      <c r="X123" s="190"/>
      <c r="Y123" s="190"/>
      <c r="Z123" s="190"/>
      <c r="AA123" s="190"/>
      <c r="AB123" s="190"/>
      <c r="AC123" s="190"/>
      <c r="AD123" s="190"/>
      <c r="AE123" s="190"/>
    </row>
    <row r="124" s="2" customFormat="1" ht="22.8" customHeight="1">
      <c r="A124" s="37"/>
      <c r="B124" s="38"/>
      <c r="C124" s="106" t="s">
        <v>154</v>
      </c>
      <c r="D124" s="39"/>
      <c r="E124" s="39"/>
      <c r="F124" s="39"/>
      <c r="G124" s="39"/>
      <c r="H124" s="39"/>
      <c r="I124" s="39"/>
      <c r="J124" s="197">
        <f>BK124</f>
        <v>0</v>
      </c>
      <c r="K124" s="39"/>
      <c r="L124" s="43"/>
      <c r="M124" s="102"/>
      <c r="N124" s="198"/>
      <c r="O124" s="103"/>
      <c r="P124" s="199">
        <f>P125+P159</f>
        <v>0</v>
      </c>
      <c r="Q124" s="103"/>
      <c r="R124" s="199">
        <f>R125+R159</f>
        <v>33.363529980000003</v>
      </c>
      <c r="S124" s="103"/>
      <c r="T124" s="200">
        <f>T125+T159</f>
        <v>0</v>
      </c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T124" s="16" t="s">
        <v>76</v>
      </c>
      <c r="AU124" s="16" t="s">
        <v>115</v>
      </c>
      <c r="BK124" s="201">
        <f>BK125+BK159</f>
        <v>0</v>
      </c>
    </row>
    <row r="125" s="12" customFormat="1" ht="25.92" customHeight="1">
      <c r="A125" s="12"/>
      <c r="B125" s="202"/>
      <c r="C125" s="203"/>
      <c r="D125" s="204" t="s">
        <v>76</v>
      </c>
      <c r="E125" s="205" t="s">
        <v>155</v>
      </c>
      <c r="F125" s="205" t="s">
        <v>156</v>
      </c>
      <c r="G125" s="203"/>
      <c r="H125" s="203"/>
      <c r="I125" s="206"/>
      <c r="J125" s="207">
        <f>BK125</f>
        <v>0</v>
      </c>
      <c r="K125" s="203"/>
      <c r="L125" s="208"/>
      <c r="M125" s="209"/>
      <c r="N125" s="210"/>
      <c r="O125" s="210"/>
      <c r="P125" s="211">
        <f>P126+P146+P156+P157</f>
        <v>0</v>
      </c>
      <c r="Q125" s="210"/>
      <c r="R125" s="211">
        <f>R126+R146+R156+R157</f>
        <v>16.750003979999999</v>
      </c>
      <c r="S125" s="210"/>
      <c r="T125" s="212">
        <f>T126+T146+T156+T157</f>
        <v>0</v>
      </c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R125" s="213" t="s">
        <v>8</v>
      </c>
      <c r="AT125" s="214" t="s">
        <v>76</v>
      </c>
      <c r="AU125" s="214" t="s">
        <v>77</v>
      </c>
      <c r="AY125" s="213" t="s">
        <v>157</v>
      </c>
      <c r="BK125" s="215">
        <f>BK126+BK146+BK156+BK157</f>
        <v>0</v>
      </c>
    </row>
    <row r="126" s="12" customFormat="1" ht="22.8" customHeight="1">
      <c r="A126" s="12"/>
      <c r="B126" s="202"/>
      <c r="C126" s="203"/>
      <c r="D126" s="204" t="s">
        <v>76</v>
      </c>
      <c r="E126" s="216" t="s">
        <v>8</v>
      </c>
      <c r="F126" s="216" t="s">
        <v>158</v>
      </c>
      <c r="G126" s="203"/>
      <c r="H126" s="203"/>
      <c r="I126" s="206"/>
      <c r="J126" s="217">
        <f>BK126</f>
        <v>0</v>
      </c>
      <c r="K126" s="203"/>
      <c r="L126" s="208"/>
      <c r="M126" s="209"/>
      <c r="N126" s="210"/>
      <c r="O126" s="210"/>
      <c r="P126" s="211">
        <f>SUM(P127:P145)</f>
        <v>0</v>
      </c>
      <c r="Q126" s="210"/>
      <c r="R126" s="211">
        <f>SUM(R127:R145)</f>
        <v>0</v>
      </c>
      <c r="S126" s="210"/>
      <c r="T126" s="212">
        <f>SUM(T127:T145)</f>
        <v>0</v>
      </c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R126" s="213" t="s">
        <v>8</v>
      </c>
      <c r="AT126" s="214" t="s">
        <v>76</v>
      </c>
      <c r="AU126" s="214" t="s">
        <v>8</v>
      </c>
      <c r="AY126" s="213" t="s">
        <v>157</v>
      </c>
      <c r="BK126" s="215">
        <f>SUM(BK127:BK145)</f>
        <v>0</v>
      </c>
    </row>
    <row r="127" s="2" customFormat="1" ht="24.15" customHeight="1">
      <c r="A127" s="37"/>
      <c r="B127" s="38"/>
      <c r="C127" s="218" t="s">
        <v>8</v>
      </c>
      <c r="D127" s="218" t="s">
        <v>159</v>
      </c>
      <c r="E127" s="219" t="s">
        <v>2709</v>
      </c>
      <c r="F127" s="220" t="s">
        <v>2710</v>
      </c>
      <c r="G127" s="221" t="s">
        <v>162</v>
      </c>
      <c r="H127" s="222">
        <v>24.219000000000001</v>
      </c>
      <c r="I127" s="223"/>
      <c r="J127" s="224">
        <f>ROUND(I127*H127,0)</f>
        <v>0</v>
      </c>
      <c r="K127" s="225"/>
      <c r="L127" s="43"/>
      <c r="M127" s="226" t="s">
        <v>1</v>
      </c>
      <c r="N127" s="227" t="s">
        <v>42</v>
      </c>
      <c r="O127" s="90"/>
      <c r="P127" s="228">
        <f>O127*H127</f>
        <v>0</v>
      </c>
      <c r="Q127" s="228">
        <v>0</v>
      </c>
      <c r="R127" s="228">
        <f>Q127*H127</f>
        <v>0</v>
      </c>
      <c r="S127" s="228">
        <v>0</v>
      </c>
      <c r="T127" s="229">
        <f>S127*H127</f>
        <v>0</v>
      </c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R127" s="230" t="s">
        <v>163</v>
      </c>
      <c r="AT127" s="230" t="s">
        <v>159</v>
      </c>
      <c r="AU127" s="230" t="s">
        <v>86</v>
      </c>
      <c r="AY127" s="16" t="s">
        <v>157</v>
      </c>
      <c r="BE127" s="231">
        <f>IF(N127="základní",J127,0)</f>
        <v>0</v>
      </c>
      <c r="BF127" s="231">
        <f>IF(N127="snížená",J127,0)</f>
        <v>0</v>
      </c>
      <c r="BG127" s="231">
        <f>IF(N127="zákl. přenesená",J127,0)</f>
        <v>0</v>
      </c>
      <c r="BH127" s="231">
        <f>IF(N127="sníž. přenesená",J127,0)</f>
        <v>0</v>
      </c>
      <c r="BI127" s="231">
        <f>IF(N127="nulová",J127,0)</f>
        <v>0</v>
      </c>
      <c r="BJ127" s="16" t="s">
        <v>8</v>
      </c>
      <c r="BK127" s="231">
        <f>ROUND(I127*H127,0)</f>
        <v>0</v>
      </c>
      <c r="BL127" s="16" t="s">
        <v>163</v>
      </c>
      <c r="BM127" s="230" t="s">
        <v>2711</v>
      </c>
    </row>
    <row r="128" s="13" customFormat="1">
      <c r="A128" s="13"/>
      <c r="B128" s="232"/>
      <c r="C128" s="233"/>
      <c r="D128" s="234" t="s">
        <v>165</v>
      </c>
      <c r="E128" s="235" t="s">
        <v>1</v>
      </c>
      <c r="F128" s="236" t="s">
        <v>2712</v>
      </c>
      <c r="G128" s="233"/>
      <c r="H128" s="237">
        <v>24.219000000000001</v>
      </c>
      <c r="I128" s="238"/>
      <c r="J128" s="233"/>
      <c r="K128" s="233"/>
      <c r="L128" s="239"/>
      <c r="M128" s="240"/>
      <c r="N128" s="241"/>
      <c r="O128" s="241"/>
      <c r="P128" s="241"/>
      <c r="Q128" s="241"/>
      <c r="R128" s="241"/>
      <c r="S128" s="241"/>
      <c r="T128" s="242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T128" s="243" t="s">
        <v>165</v>
      </c>
      <c r="AU128" s="243" t="s">
        <v>86</v>
      </c>
      <c r="AV128" s="13" t="s">
        <v>86</v>
      </c>
      <c r="AW128" s="13" t="s">
        <v>32</v>
      </c>
      <c r="AX128" s="13" t="s">
        <v>77</v>
      </c>
      <c r="AY128" s="243" t="s">
        <v>157</v>
      </c>
    </row>
    <row r="129" s="2" customFormat="1" ht="37.8" customHeight="1">
      <c r="A129" s="37"/>
      <c r="B129" s="38"/>
      <c r="C129" s="218" t="s">
        <v>86</v>
      </c>
      <c r="D129" s="218" t="s">
        <v>159</v>
      </c>
      <c r="E129" s="219" t="s">
        <v>168</v>
      </c>
      <c r="F129" s="220" t="s">
        <v>169</v>
      </c>
      <c r="G129" s="221" t="s">
        <v>162</v>
      </c>
      <c r="H129" s="222">
        <v>43.194000000000003</v>
      </c>
      <c r="I129" s="223"/>
      <c r="J129" s="224">
        <f>ROUND(I129*H129,0)</f>
        <v>0</v>
      </c>
      <c r="K129" s="225"/>
      <c r="L129" s="43"/>
      <c r="M129" s="226" t="s">
        <v>1</v>
      </c>
      <c r="N129" s="227" t="s">
        <v>42</v>
      </c>
      <c r="O129" s="90"/>
      <c r="P129" s="228">
        <f>O129*H129</f>
        <v>0</v>
      </c>
      <c r="Q129" s="228">
        <v>0</v>
      </c>
      <c r="R129" s="228">
        <f>Q129*H129</f>
        <v>0</v>
      </c>
      <c r="S129" s="228">
        <v>0</v>
      </c>
      <c r="T129" s="229">
        <f>S129*H129</f>
        <v>0</v>
      </c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R129" s="230" t="s">
        <v>163</v>
      </c>
      <c r="AT129" s="230" t="s">
        <v>159</v>
      </c>
      <c r="AU129" s="230" t="s">
        <v>86</v>
      </c>
      <c r="AY129" s="16" t="s">
        <v>157</v>
      </c>
      <c r="BE129" s="231">
        <f>IF(N129="základní",J129,0)</f>
        <v>0</v>
      </c>
      <c r="BF129" s="231">
        <f>IF(N129="snížená",J129,0)</f>
        <v>0</v>
      </c>
      <c r="BG129" s="231">
        <f>IF(N129="zákl. přenesená",J129,0)</f>
        <v>0</v>
      </c>
      <c r="BH129" s="231">
        <f>IF(N129="sníž. přenesená",J129,0)</f>
        <v>0</v>
      </c>
      <c r="BI129" s="231">
        <f>IF(N129="nulová",J129,0)</f>
        <v>0</v>
      </c>
      <c r="BJ129" s="16" t="s">
        <v>8</v>
      </c>
      <c r="BK129" s="231">
        <f>ROUND(I129*H129,0)</f>
        <v>0</v>
      </c>
      <c r="BL129" s="16" t="s">
        <v>163</v>
      </c>
      <c r="BM129" s="230" t="s">
        <v>2713</v>
      </c>
    </row>
    <row r="130" s="13" customFormat="1">
      <c r="A130" s="13"/>
      <c r="B130" s="232"/>
      <c r="C130" s="233"/>
      <c r="D130" s="234" t="s">
        <v>165</v>
      </c>
      <c r="E130" s="235" t="s">
        <v>1</v>
      </c>
      <c r="F130" s="236" t="s">
        <v>2714</v>
      </c>
      <c r="G130" s="233"/>
      <c r="H130" s="237">
        <v>24.219000000000001</v>
      </c>
      <c r="I130" s="238"/>
      <c r="J130" s="233"/>
      <c r="K130" s="233"/>
      <c r="L130" s="239"/>
      <c r="M130" s="240"/>
      <c r="N130" s="241"/>
      <c r="O130" s="241"/>
      <c r="P130" s="241"/>
      <c r="Q130" s="241"/>
      <c r="R130" s="241"/>
      <c r="S130" s="241"/>
      <c r="T130" s="242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T130" s="243" t="s">
        <v>165</v>
      </c>
      <c r="AU130" s="243" t="s">
        <v>86</v>
      </c>
      <c r="AV130" s="13" t="s">
        <v>86</v>
      </c>
      <c r="AW130" s="13" t="s">
        <v>32</v>
      </c>
      <c r="AX130" s="13" t="s">
        <v>77</v>
      </c>
      <c r="AY130" s="243" t="s">
        <v>157</v>
      </c>
    </row>
    <row r="131" s="13" customFormat="1">
      <c r="A131" s="13"/>
      <c r="B131" s="232"/>
      <c r="C131" s="233"/>
      <c r="D131" s="234" t="s">
        <v>165</v>
      </c>
      <c r="E131" s="235" t="s">
        <v>1</v>
      </c>
      <c r="F131" s="236" t="s">
        <v>2715</v>
      </c>
      <c r="G131" s="233"/>
      <c r="H131" s="237">
        <v>18.975000000000001</v>
      </c>
      <c r="I131" s="238"/>
      <c r="J131" s="233"/>
      <c r="K131" s="233"/>
      <c r="L131" s="239"/>
      <c r="M131" s="240"/>
      <c r="N131" s="241"/>
      <c r="O131" s="241"/>
      <c r="P131" s="241"/>
      <c r="Q131" s="241"/>
      <c r="R131" s="241"/>
      <c r="S131" s="241"/>
      <c r="T131" s="242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T131" s="243" t="s">
        <v>165</v>
      </c>
      <c r="AU131" s="243" t="s">
        <v>86</v>
      </c>
      <c r="AV131" s="13" t="s">
        <v>86</v>
      </c>
      <c r="AW131" s="13" t="s">
        <v>32</v>
      </c>
      <c r="AX131" s="13" t="s">
        <v>77</v>
      </c>
      <c r="AY131" s="243" t="s">
        <v>157</v>
      </c>
    </row>
    <row r="132" s="2" customFormat="1" ht="37.8" customHeight="1">
      <c r="A132" s="37"/>
      <c r="B132" s="38"/>
      <c r="C132" s="218" t="s">
        <v>176</v>
      </c>
      <c r="D132" s="218" t="s">
        <v>159</v>
      </c>
      <c r="E132" s="219" t="s">
        <v>177</v>
      </c>
      <c r="F132" s="220" t="s">
        <v>178</v>
      </c>
      <c r="G132" s="221" t="s">
        <v>162</v>
      </c>
      <c r="H132" s="222">
        <v>6.1440000000000001</v>
      </c>
      <c r="I132" s="223"/>
      <c r="J132" s="224">
        <f>ROUND(I132*H132,0)</f>
        <v>0</v>
      </c>
      <c r="K132" s="225"/>
      <c r="L132" s="43"/>
      <c r="M132" s="226" t="s">
        <v>1</v>
      </c>
      <c r="N132" s="227" t="s">
        <v>42</v>
      </c>
      <c r="O132" s="90"/>
      <c r="P132" s="228">
        <f>O132*H132</f>
        <v>0</v>
      </c>
      <c r="Q132" s="228">
        <v>0</v>
      </c>
      <c r="R132" s="228">
        <f>Q132*H132</f>
        <v>0</v>
      </c>
      <c r="S132" s="228">
        <v>0</v>
      </c>
      <c r="T132" s="229">
        <f>S132*H132</f>
        <v>0</v>
      </c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R132" s="230" t="s">
        <v>163</v>
      </c>
      <c r="AT132" s="230" t="s">
        <v>159</v>
      </c>
      <c r="AU132" s="230" t="s">
        <v>86</v>
      </c>
      <c r="AY132" s="16" t="s">
        <v>157</v>
      </c>
      <c r="BE132" s="231">
        <f>IF(N132="základní",J132,0)</f>
        <v>0</v>
      </c>
      <c r="BF132" s="231">
        <f>IF(N132="snížená",J132,0)</f>
        <v>0</v>
      </c>
      <c r="BG132" s="231">
        <f>IF(N132="zákl. přenesená",J132,0)</f>
        <v>0</v>
      </c>
      <c r="BH132" s="231">
        <f>IF(N132="sníž. přenesená",J132,0)</f>
        <v>0</v>
      </c>
      <c r="BI132" s="231">
        <f>IF(N132="nulová",J132,0)</f>
        <v>0</v>
      </c>
      <c r="BJ132" s="16" t="s">
        <v>8</v>
      </c>
      <c r="BK132" s="231">
        <f>ROUND(I132*H132,0)</f>
        <v>0</v>
      </c>
      <c r="BL132" s="16" t="s">
        <v>163</v>
      </c>
      <c r="BM132" s="230" t="s">
        <v>2716</v>
      </c>
    </row>
    <row r="133" s="13" customFormat="1">
      <c r="A133" s="13"/>
      <c r="B133" s="232"/>
      <c r="C133" s="233"/>
      <c r="D133" s="234" t="s">
        <v>165</v>
      </c>
      <c r="E133" s="235" t="s">
        <v>1</v>
      </c>
      <c r="F133" s="236" t="s">
        <v>2717</v>
      </c>
      <c r="G133" s="233"/>
      <c r="H133" s="237">
        <v>6.1440000000000001</v>
      </c>
      <c r="I133" s="238"/>
      <c r="J133" s="233"/>
      <c r="K133" s="233"/>
      <c r="L133" s="239"/>
      <c r="M133" s="240"/>
      <c r="N133" s="241"/>
      <c r="O133" s="241"/>
      <c r="P133" s="241"/>
      <c r="Q133" s="241"/>
      <c r="R133" s="241"/>
      <c r="S133" s="241"/>
      <c r="T133" s="242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T133" s="243" t="s">
        <v>165</v>
      </c>
      <c r="AU133" s="243" t="s">
        <v>86</v>
      </c>
      <c r="AV133" s="13" t="s">
        <v>86</v>
      </c>
      <c r="AW133" s="13" t="s">
        <v>32</v>
      </c>
      <c r="AX133" s="13" t="s">
        <v>77</v>
      </c>
      <c r="AY133" s="243" t="s">
        <v>157</v>
      </c>
    </row>
    <row r="134" s="2" customFormat="1" ht="37.8" customHeight="1">
      <c r="A134" s="37"/>
      <c r="B134" s="38"/>
      <c r="C134" s="218" t="s">
        <v>163</v>
      </c>
      <c r="D134" s="218" t="s">
        <v>159</v>
      </c>
      <c r="E134" s="219" t="s">
        <v>181</v>
      </c>
      <c r="F134" s="220" t="s">
        <v>182</v>
      </c>
      <c r="G134" s="221" t="s">
        <v>162</v>
      </c>
      <c r="H134" s="222">
        <v>104.44799999999999</v>
      </c>
      <c r="I134" s="223"/>
      <c r="J134" s="224">
        <f>ROUND(I134*H134,0)</f>
        <v>0</v>
      </c>
      <c r="K134" s="225"/>
      <c r="L134" s="43"/>
      <c r="M134" s="226" t="s">
        <v>1</v>
      </c>
      <c r="N134" s="227" t="s">
        <v>42</v>
      </c>
      <c r="O134" s="90"/>
      <c r="P134" s="228">
        <f>O134*H134</f>
        <v>0</v>
      </c>
      <c r="Q134" s="228">
        <v>0</v>
      </c>
      <c r="R134" s="228">
        <f>Q134*H134</f>
        <v>0</v>
      </c>
      <c r="S134" s="228">
        <v>0</v>
      </c>
      <c r="T134" s="229">
        <f>S134*H134</f>
        <v>0</v>
      </c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R134" s="230" t="s">
        <v>163</v>
      </c>
      <c r="AT134" s="230" t="s">
        <v>159</v>
      </c>
      <c r="AU134" s="230" t="s">
        <v>86</v>
      </c>
      <c r="AY134" s="16" t="s">
        <v>157</v>
      </c>
      <c r="BE134" s="231">
        <f>IF(N134="základní",J134,0)</f>
        <v>0</v>
      </c>
      <c r="BF134" s="231">
        <f>IF(N134="snížená",J134,0)</f>
        <v>0</v>
      </c>
      <c r="BG134" s="231">
        <f>IF(N134="zákl. přenesená",J134,0)</f>
        <v>0</v>
      </c>
      <c r="BH134" s="231">
        <f>IF(N134="sníž. přenesená",J134,0)</f>
        <v>0</v>
      </c>
      <c r="BI134" s="231">
        <f>IF(N134="nulová",J134,0)</f>
        <v>0</v>
      </c>
      <c r="BJ134" s="16" t="s">
        <v>8</v>
      </c>
      <c r="BK134" s="231">
        <f>ROUND(I134*H134,0)</f>
        <v>0</v>
      </c>
      <c r="BL134" s="16" t="s">
        <v>163</v>
      </c>
      <c r="BM134" s="230" t="s">
        <v>2718</v>
      </c>
    </row>
    <row r="135" s="13" customFormat="1">
      <c r="A135" s="13"/>
      <c r="B135" s="232"/>
      <c r="C135" s="233"/>
      <c r="D135" s="234" t="s">
        <v>165</v>
      </c>
      <c r="E135" s="235" t="s">
        <v>1</v>
      </c>
      <c r="F135" s="236" t="s">
        <v>2719</v>
      </c>
      <c r="G135" s="233"/>
      <c r="H135" s="237">
        <v>104.44799999999999</v>
      </c>
      <c r="I135" s="238"/>
      <c r="J135" s="233"/>
      <c r="K135" s="233"/>
      <c r="L135" s="239"/>
      <c r="M135" s="240"/>
      <c r="N135" s="241"/>
      <c r="O135" s="241"/>
      <c r="P135" s="241"/>
      <c r="Q135" s="241"/>
      <c r="R135" s="241"/>
      <c r="S135" s="241"/>
      <c r="T135" s="242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T135" s="243" t="s">
        <v>165</v>
      </c>
      <c r="AU135" s="243" t="s">
        <v>86</v>
      </c>
      <c r="AV135" s="13" t="s">
        <v>86</v>
      </c>
      <c r="AW135" s="13" t="s">
        <v>32</v>
      </c>
      <c r="AX135" s="13" t="s">
        <v>77</v>
      </c>
      <c r="AY135" s="243" t="s">
        <v>157</v>
      </c>
    </row>
    <row r="136" s="2" customFormat="1" ht="24.15" customHeight="1">
      <c r="A136" s="37"/>
      <c r="B136" s="38"/>
      <c r="C136" s="218" t="s">
        <v>185</v>
      </c>
      <c r="D136" s="218" t="s">
        <v>159</v>
      </c>
      <c r="E136" s="219" t="s">
        <v>186</v>
      </c>
      <c r="F136" s="220" t="s">
        <v>187</v>
      </c>
      <c r="G136" s="221" t="s">
        <v>162</v>
      </c>
      <c r="H136" s="222">
        <v>25.119</v>
      </c>
      <c r="I136" s="223"/>
      <c r="J136" s="224">
        <f>ROUND(I136*H136,0)</f>
        <v>0</v>
      </c>
      <c r="K136" s="225"/>
      <c r="L136" s="43"/>
      <c r="M136" s="226" t="s">
        <v>1</v>
      </c>
      <c r="N136" s="227" t="s">
        <v>42</v>
      </c>
      <c r="O136" s="90"/>
      <c r="P136" s="228">
        <f>O136*H136</f>
        <v>0</v>
      </c>
      <c r="Q136" s="228">
        <v>0</v>
      </c>
      <c r="R136" s="228">
        <f>Q136*H136</f>
        <v>0</v>
      </c>
      <c r="S136" s="228">
        <v>0</v>
      </c>
      <c r="T136" s="229">
        <f>S136*H136</f>
        <v>0</v>
      </c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R136" s="230" t="s">
        <v>163</v>
      </c>
      <c r="AT136" s="230" t="s">
        <v>159</v>
      </c>
      <c r="AU136" s="230" t="s">
        <v>86</v>
      </c>
      <c r="AY136" s="16" t="s">
        <v>157</v>
      </c>
      <c r="BE136" s="231">
        <f>IF(N136="základní",J136,0)</f>
        <v>0</v>
      </c>
      <c r="BF136" s="231">
        <f>IF(N136="snížená",J136,0)</f>
        <v>0</v>
      </c>
      <c r="BG136" s="231">
        <f>IF(N136="zákl. přenesená",J136,0)</f>
        <v>0</v>
      </c>
      <c r="BH136" s="231">
        <f>IF(N136="sníž. přenesená",J136,0)</f>
        <v>0</v>
      </c>
      <c r="BI136" s="231">
        <f>IF(N136="nulová",J136,0)</f>
        <v>0</v>
      </c>
      <c r="BJ136" s="16" t="s">
        <v>8</v>
      </c>
      <c r="BK136" s="231">
        <f>ROUND(I136*H136,0)</f>
        <v>0</v>
      </c>
      <c r="BL136" s="16" t="s">
        <v>163</v>
      </c>
      <c r="BM136" s="230" t="s">
        <v>2720</v>
      </c>
    </row>
    <row r="137" s="13" customFormat="1">
      <c r="A137" s="13"/>
      <c r="B137" s="232"/>
      <c r="C137" s="233"/>
      <c r="D137" s="234" t="s">
        <v>165</v>
      </c>
      <c r="E137" s="235" t="s">
        <v>1</v>
      </c>
      <c r="F137" s="236" t="s">
        <v>2715</v>
      </c>
      <c r="G137" s="233"/>
      <c r="H137" s="237">
        <v>18.975000000000001</v>
      </c>
      <c r="I137" s="238"/>
      <c r="J137" s="233"/>
      <c r="K137" s="233"/>
      <c r="L137" s="239"/>
      <c r="M137" s="240"/>
      <c r="N137" s="241"/>
      <c r="O137" s="241"/>
      <c r="P137" s="241"/>
      <c r="Q137" s="241"/>
      <c r="R137" s="241"/>
      <c r="S137" s="241"/>
      <c r="T137" s="242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T137" s="243" t="s">
        <v>165</v>
      </c>
      <c r="AU137" s="243" t="s">
        <v>86</v>
      </c>
      <c r="AV137" s="13" t="s">
        <v>86</v>
      </c>
      <c r="AW137" s="13" t="s">
        <v>32</v>
      </c>
      <c r="AX137" s="13" t="s">
        <v>77</v>
      </c>
      <c r="AY137" s="243" t="s">
        <v>157</v>
      </c>
    </row>
    <row r="138" s="13" customFormat="1">
      <c r="A138" s="13"/>
      <c r="B138" s="232"/>
      <c r="C138" s="233"/>
      <c r="D138" s="234" t="s">
        <v>165</v>
      </c>
      <c r="E138" s="235" t="s">
        <v>1</v>
      </c>
      <c r="F138" s="236" t="s">
        <v>2717</v>
      </c>
      <c r="G138" s="233"/>
      <c r="H138" s="237">
        <v>6.1440000000000001</v>
      </c>
      <c r="I138" s="238"/>
      <c r="J138" s="233"/>
      <c r="K138" s="233"/>
      <c r="L138" s="239"/>
      <c r="M138" s="240"/>
      <c r="N138" s="241"/>
      <c r="O138" s="241"/>
      <c r="P138" s="241"/>
      <c r="Q138" s="241"/>
      <c r="R138" s="241"/>
      <c r="S138" s="241"/>
      <c r="T138" s="242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T138" s="243" t="s">
        <v>165</v>
      </c>
      <c r="AU138" s="243" t="s">
        <v>86</v>
      </c>
      <c r="AV138" s="13" t="s">
        <v>86</v>
      </c>
      <c r="AW138" s="13" t="s">
        <v>32</v>
      </c>
      <c r="AX138" s="13" t="s">
        <v>77</v>
      </c>
      <c r="AY138" s="243" t="s">
        <v>157</v>
      </c>
    </row>
    <row r="139" s="2" customFormat="1" ht="33" customHeight="1">
      <c r="A139" s="37"/>
      <c r="B139" s="38"/>
      <c r="C139" s="218" t="s">
        <v>190</v>
      </c>
      <c r="D139" s="218" t="s">
        <v>159</v>
      </c>
      <c r="E139" s="219" t="s">
        <v>191</v>
      </c>
      <c r="F139" s="220" t="s">
        <v>192</v>
      </c>
      <c r="G139" s="221" t="s">
        <v>193</v>
      </c>
      <c r="H139" s="222">
        <v>10.752000000000001</v>
      </c>
      <c r="I139" s="223"/>
      <c r="J139" s="224">
        <f>ROUND(I139*H139,0)</f>
        <v>0</v>
      </c>
      <c r="K139" s="225"/>
      <c r="L139" s="43"/>
      <c r="M139" s="226" t="s">
        <v>1</v>
      </c>
      <c r="N139" s="227" t="s">
        <v>42</v>
      </c>
      <c r="O139" s="90"/>
      <c r="P139" s="228">
        <f>O139*H139</f>
        <v>0</v>
      </c>
      <c r="Q139" s="228">
        <v>0</v>
      </c>
      <c r="R139" s="228">
        <f>Q139*H139</f>
        <v>0</v>
      </c>
      <c r="S139" s="228">
        <v>0</v>
      </c>
      <c r="T139" s="229">
        <f>S139*H139</f>
        <v>0</v>
      </c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R139" s="230" t="s">
        <v>163</v>
      </c>
      <c r="AT139" s="230" t="s">
        <v>159</v>
      </c>
      <c r="AU139" s="230" t="s">
        <v>86</v>
      </c>
      <c r="AY139" s="16" t="s">
        <v>157</v>
      </c>
      <c r="BE139" s="231">
        <f>IF(N139="základní",J139,0)</f>
        <v>0</v>
      </c>
      <c r="BF139" s="231">
        <f>IF(N139="snížená",J139,0)</f>
        <v>0</v>
      </c>
      <c r="BG139" s="231">
        <f>IF(N139="zákl. přenesená",J139,0)</f>
        <v>0</v>
      </c>
      <c r="BH139" s="231">
        <f>IF(N139="sníž. přenesená",J139,0)</f>
        <v>0</v>
      </c>
      <c r="BI139" s="231">
        <f>IF(N139="nulová",J139,0)</f>
        <v>0</v>
      </c>
      <c r="BJ139" s="16" t="s">
        <v>8</v>
      </c>
      <c r="BK139" s="231">
        <f>ROUND(I139*H139,0)</f>
        <v>0</v>
      </c>
      <c r="BL139" s="16" t="s">
        <v>163</v>
      </c>
      <c r="BM139" s="230" t="s">
        <v>2721</v>
      </c>
    </row>
    <row r="140" s="13" customFormat="1">
      <c r="A140" s="13"/>
      <c r="B140" s="232"/>
      <c r="C140" s="233"/>
      <c r="D140" s="234" t="s">
        <v>165</v>
      </c>
      <c r="E140" s="235" t="s">
        <v>1</v>
      </c>
      <c r="F140" s="236" t="s">
        <v>2722</v>
      </c>
      <c r="G140" s="233"/>
      <c r="H140" s="237">
        <v>10.752000000000001</v>
      </c>
      <c r="I140" s="238"/>
      <c r="J140" s="233"/>
      <c r="K140" s="233"/>
      <c r="L140" s="239"/>
      <c r="M140" s="240"/>
      <c r="N140" s="241"/>
      <c r="O140" s="241"/>
      <c r="P140" s="241"/>
      <c r="Q140" s="241"/>
      <c r="R140" s="241"/>
      <c r="S140" s="241"/>
      <c r="T140" s="242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T140" s="243" t="s">
        <v>165</v>
      </c>
      <c r="AU140" s="243" t="s">
        <v>86</v>
      </c>
      <c r="AV140" s="13" t="s">
        <v>86</v>
      </c>
      <c r="AW140" s="13" t="s">
        <v>32</v>
      </c>
      <c r="AX140" s="13" t="s">
        <v>77</v>
      </c>
      <c r="AY140" s="243" t="s">
        <v>157</v>
      </c>
    </row>
    <row r="141" s="2" customFormat="1" ht="16.5" customHeight="1">
      <c r="A141" s="37"/>
      <c r="B141" s="38"/>
      <c r="C141" s="218" t="s">
        <v>196</v>
      </c>
      <c r="D141" s="218" t="s">
        <v>159</v>
      </c>
      <c r="E141" s="219" t="s">
        <v>197</v>
      </c>
      <c r="F141" s="220" t="s">
        <v>198</v>
      </c>
      <c r="G141" s="221" t="s">
        <v>162</v>
      </c>
      <c r="H141" s="222">
        <v>30.363</v>
      </c>
      <c r="I141" s="223"/>
      <c r="J141" s="224">
        <f>ROUND(I141*H141,0)</f>
        <v>0</v>
      </c>
      <c r="K141" s="225"/>
      <c r="L141" s="43"/>
      <c r="M141" s="226" t="s">
        <v>1</v>
      </c>
      <c r="N141" s="227" t="s">
        <v>42</v>
      </c>
      <c r="O141" s="90"/>
      <c r="P141" s="228">
        <f>O141*H141</f>
        <v>0</v>
      </c>
      <c r="Q141" s="228">
        <v>0</v>
      </c>
      <c r="R141" s="228">
        <f>Q141*H141</f>
        <v>0</v>
      </c>
      <c r="S141" s="228">
        <v>0</v>
      </c>
      <c r="T141" s="229">
        <f>S141*H141</f>
        <v>0</v>
      </c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R141" s="230" t="s">
        <v>163</v>
      </c>
      <c r="AT141" s="230" t="s">
        <v>159</v>
      </c>
      <c r="AU141" s="230" t="s">
        <v>86</v>
      </c>
      <c r="AY141" s="16" t="s">
        <v>157</v>
      </c>
      <c r="BE141" s="231">
        <f>IF(N141="základní",J141,0)</f>
        <v>0</v>
      </c>
      <c r="BF141" s="231">
        <f>IF(N141="snížená",J141,0)</f>
        <v>0</v>
      </c>
      <c r="BG141" s="231">
        <f>IF(N141="zákl. přenesená",J141,0)</f>
        <v>0</v>
      </c>
      <c r="BH141" s="231">
        <f>IF(N141="sníž. přenesená",J141,0)</f>
        <v>0</v>
      </c>
      <c r="BI141" s="231">
        <f>IF(N141="nulová",J141,0)</f>
        <v>0</v>
      </c>
      <c r="BJ141" s="16" t="s">
        <v>8</v>
      </c>
      <c r="BK141" s="231">
        <f>ROUND(I141*H141,0)</f>
        <v>0</v>
      </c>
      <c r="BL141" s="16" t="s">
        <v>163</v>
      </c>
      <c r="BM141" s="230" t="s">
        <v>2723</v>
      </c>
    </row>
    <row r="142" s="13" customFormat="1">
      <c r="A142" s="13"/>
      <c r="B142" s="232"/>
      <c r="C142" s="233"/>
      <c r="D142" s="234" t="s">
        <v>165</v>
      </c>
      <c r="E142" s="235" t="s">
        <v>1</v>
      </c>
      <c r="F142" s="236" t="s">
        <v>2714</v>
      </c>
      <c r="G142" s="233"/>
      <c r="H142" s="237">
        <v>24.219000000000001</v>
      </c>
      <c r="I142" s="238"/>
      <c r="J142" s="233"/>
      <c r="K142" s="233"/>
      <c r="L142" s="239"/>
      <c r="M142" s="240"/>
      <c r="N142" s="241"/>
      <c r="O142" s="241"/>
      <c r="P142" s="241"/>
      <c r="Q142" s="241"/>
      <c r="R142" s="241"/>
      <c r="S142" s="241"/>
      <c r="T142" s="242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T142" s="243" t="s">
        <v>165</v>
      </c>
      <c r="AU142" s="243" t="s">
        <v>86</v>
      </c>
      <c r="AV142" s="13" t="s">
        <v>86</v>
      </c>
      <c r="AW142" s="13" t="s">
        <v>32</v>
      </c>
      <c r="AX142" s="13" t="s">
        <v>77</v>
      </c>
      <c r="AY142" s="243" t="s">
        <v>157</v>
      </c>
    </row>
    <row r="143" s="13" customFormat="1">
      <c r="A143" s="13"/>
      <c r="B143" s="232"/>
      <c r="C143" s="233"/>
      <c r="D143" s="234" t="s">
        <v>165</v>
      </c>
      <c r="E143" s="235" t="s">
        <v>1</v>
      </c>
      <c r="F143" s="236" t="s">
        <v>2717</v>
      </c>
      <c r="G143" s="233"/>
      <c r="H143" s="237">
        <v>6.1440000000000001</v>
      </c>
      <c r="I143" s="238"/>
      <c r="J143" s="233"/>
      <c r="K143" s="233"/>
      <c r="L143" s="239"/>
      <c r="M143" s="240"/>
      <c r="N143" s="241"/>
      <c r="O143" s="241"/>
      <c r="P143" s="241"/>
      <c r="Q143" s="241"/>
      <c r="R143" s="241"/>
      <c r="S143" s="241"/>
      <c r="T143" s="242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T143" s="243" t="s">
        <v>165</v>
      </c>
      <c r="AU143" s="243" t="s">
        <v>86</v>
      </c>
      <c r="AV143" s="13" t="s">
        <v>86</v>
      </c>
      <c r="AW143" s="13" t="s">
        <v>32</v>
      </c>
      <c r="AX143" s="13" t="s">
        <v>77</v>
      </c>
      <c r="AY143" s="243" t="s">
        <v>157</v>
      </c>
    </row>
    <row r="144" s="2" customFormat="1" ht="24.15" customHeight="1">
      <c r="A144" s="37"/>
      <c r="B144" s="38"/>
      <c r="C144" s="218" t="s">
        <v>200</v>
      </c>
      <c r="D144" s="218" t="s">
        <v>159</v>
      </c>
      <c r="E144" s="219" t="s">
        <v>201</v>
      </c>
      <c r="F144" s="220" t="s">
        <v>202</v>
      </c>
      <c r="G144" s="221" t="s">
        <v>162</v>
      </c>
      <c r="H144" s="222">
        <v>18.975000000000001</v>
      </c>
      <c r="I144" s="223"/>
      <c r="J144" s="224">
        <f>ROUND(I144*H144,0)</f>
        <v>0</v>
      </c>
      <c r="K144" s="225"/>
      <c r="L144" s="43"/>
      <c r="M144" s="226" t="s">
        <v>1</v>
      </c>
      <c r="N144" s="227" t="s">
        <v>42</v>
      </c>
      <c r="O144" s="90"/>
      <c r="P144" s="228">
        <f>O144*H144</f>
        <v>0</v>
      </c>
      <c r="Q144" s="228">
        <v>0</v>
      </c>
      <c r="R144" s="228">
        <f>Q144*H144</f>
        <v>0</v>
      </c>
      <c r="S144" s="228">
        <v>0</v>
      </c>
      <c r="T144" s="229">
        <f>S144*H144</f>
        <v>0</v>
      </c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R144" s="230" t="s">
        <v>163</v>
      </c>
      <c r="AT144" s="230" t="s">
        <v>159</v>
      </c>
      <c r="AU144" s="230" t="s">
        <v>86</v>
      </c>
      <c r="AY144" s="16" t="s">
        <v>157</v>
      </c>
      <c r="BE144" s="231">
        <f>IF(N144="základní",J144,0)</f>
        <v>0</v>
      </c>
      <c r="BF144" s="231">
        <f>IF(N144="snížená",J144,0)</f>
        <v>0</v>
      </c>
      <c r="BG144" s="231">
        <f>IF(N144="zákl. přenesená",J144,0)</f>
        <v>0</v>
      </c>
      <c r="BH144" s="231">
        <f>IF(N144="sníž. přenesená",J144,0)</f>
        <v>0</v>
      </c>
      <c r="BI144" s="231">
        <f>IF(N144="nulová",J144,0)</f>
        <v>0</v>
      </c>
      <c r="BJ144" s="16" t="s">
        <v>8</v>
      </c>
      <c r="BK144" s="231">
        <f>ROUND(I144*H144,0)</f>
        <v>0</v>
      </c>
      <c r="BL144" s="16" t="s">
        <v>163</v>
      </c>
      <c r="BM144" s="230" t="s">
        <v>2724</v>
      </c>
    </row>
    <row r="145" s="13" customFormat="1">
      <c r="A145" s="13"/>
      <c r="B145" s="232"/>
      <c r="C145" s="233"/>
      <c r="D145" s="234" t="s">
        <v>165</v>
      </c>
      <c r="E145" s="235" t="s">
        <v>1</v>
      </c>
      <c r="F145" s="236" t="s">
        <v>2725</v>
      </c>
      <c r="G145" s="233"/>
      <c r="H145" s="237">
        <v>18.975000000000001</v>
      </c>
      <c r="I145" s="238"/>
      <c r="J145" s="233"/>
      <c r="K145" s="233"/>
      <c r="L145" s="239"/>
      <c r="M145" s="240"/>
      <c r="N145" s="241"/>
      <c r="O145" s="241"/>
      <c r="P145" s="241"/>
      <c r="Q145" s="241"/>
      <c r="R145" s="241"/>
      <c r="S145" s="241"/>
      <c r="T145" s="242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T145" s="243" t="s">
        <v>165</v>
      </c>
      <c r="AU145" s="243" t="s">
        <v>86</v>
      </c>
      <c r="AV145" s="13" t="s">
        <v>86</v>
      </c>
      <c r="AW145" s="13" t="s">
        <v>32</v>
      </c>
      <c r="AX145" s="13" t="s">
        <v>77</v>
      </c>
      <c r="AY145" s="243" t="s">
        <v>157</v>
      </c>
    </row>
    <row r="146" s="12" customFormat="1" ht="22.8" customHeight="1">
      <c r="A146" s="12"/>
      <c r="B146" s="202"/>
      <c r="C146" s="203"/>
      <c r="D146" s="204" t="s">
        <v>76</v>
      </c>
      <c r="E146" s="216" t="s">
        <v>86</v>
      </c>
      <c r="F146" s="216" t="s">
        <v>212</v>
      </c>
      <c r="G146" s="203"/>
      <c r="H146" s="203"/>
      <c r="I146" s="206"/>
      <c r="J146" s="217">
        <f>BK146</f>
        <v>0</v>
      </c>
      <c r="K146" s="203"/>
      <c r="L146" s="208"/>
      <c r="M146" s="209"/>
      <c r="N146" s="210"/>
      <c r="O146" s="210"/>
      <c r="P146" s="211">
        <f>SUM(P147:P155)</f>
        <v>0</v>
      </c>
      <c r="Q146" s="210"/>
      <c r="R146" s="211">
        <f>SUM(R147:R155)</f>
        <v>16.750003979999999</v>
      </c>
      <c r="S146" s="210"/>
      <c r="T146" s="212">
        <f>SUM(T147:T155)</f>
        <v>0</v>
      </c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R146" s="213" t="s">
        <v>8</v>
      </c>
      <c r="AT146" s="214" t="s">
        <v>76</v>
      </c>
      <c r="AU146" s="214" t="s">
        <v>8</v>
      </c>
      <c r="AY146" s="213" t="s">
        <v>157</v>
      </c>
      <c r="BK146" s="215">
        <f>SUM(BK147:BK155)</f>
        <v>0</v>
      </c>
    </row>
    <row r="147" s="2" customFormat="1" ht="24.15" customHeight="1">
      <c r="A147" s="37"/>
      <c r="B147" s="38"/>
      <c r="C147" s="218" t="s">
        <v>206</v>
      </c>
      <c r="D147" s="218" t="s">
        <v>159</v>
      </c>
      <c r="E147" s="219" t="s">
        <v>2662</v>
      </c>
      <c r="F147" s="220" t="s">
        <v>2663</v>
      </c>
      <c r="G147" s="221" t="s">
        <v>162</v>
      </c>
      <c r="H147" s="222">
        <v>1.472</v>
      </c>
      <c r="I147" s="223"/>
      <c r="J147" s="224">
        <f>ROUND(I147*H147,0)</f>
        <v>0</v>
      </c>
      <c r="K147" s="225"/>
      <c r="L147" s="43"/>
      <c r="M147" s="226" t="s">
        <v>1</v>
      </c>
      <c r="N147" s="227" t="s">
        <v>42</v>
      </c>
      <c r="O147" s="90"/>
      <c r="P147" s="228">
        <f>O147*H147</f>
        <v>0</v>
      </c>
      <c r="Q147" s="228">
        <v>2.1600000000000001</v>
      </c>
      <c r="R147" s="228">
        <f>Q147*H147</f>
        <v>3.1795200000000001</v>
      </c>
      <c r="S147" s="228">
        <v>0</v>
      </c>
      <c r="T147" s="229">
        <f>S147*H147</f>
        <v>0</v>
      </c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R147" s="230" t="s">
        <v>163</v>
      </c>
      <c r="AT147" s="230" t="s">
        <v>159</v>
      </c>
      <c r="AU147" s="230" t="s">
        <v>86</v>
      </c>
      <c r="AY147" s="16" t="s">
        <v>157</v>
      </c>
      <c r="BE147" s="231">
        <f>IF(N147="základní",J147,0)</f>
        <v>0</v>
      </c>
      <c r="BF147" s="231">
        <f>IF(N147="snížená",J147,0)</f>
        <v>0</v>
      </c>
      <c r="BG147" s="231">
        <f>IF(N147="zákl. přenesená",J147,0)</f>
        <v>0</v>
      </c>
      <c r="BH147" s="231">
        <f>IF(N147="sníž. přenesená",J147,0)</f>
        <v>0</v>
      </c>
      <c r="BI147" s="231">
        <f>IF(N147="nulová",J147,0)</f>
        <v>0</v>
      </c>
      <c r="BJ147" s="16" t="s">
        <v>8</v>
      </c>
      <c r="BK147" s="231">
        <f>ROUND(I147*H147,0)</f>
        <v>0</v>
      </c>
      <c r="BL147" s="16" t="s">
        <v>163</v>
      </c>
      <c r="BM147" s="230" t="s">
        <v>2726</v>
      </c>
    </row>
    <row r="148" s="13" customFormat="1">
      <c r="A148" s="13"/>
      <c r="B148" s="232"/>
      <c r="C148" s="233"/>
      <c r="D148" s="234" t="s">
        <v>165</v>
      </c>
      <c r="E148" s="235" t="s">
        <v>1</v>
      </c>
      <c r="F148" s="236" t="s">
        <v>2727</v>
      </c>
      <c r="G148" s="233"/>
      <c r="H148" s="237">
        <v>1.472</v>
      </c>
      <c r="I148" s="238"/>
      <c r="J148" s="233"/>
      <c r="K148" s="233"/>
      <c r="L148" s="239"/>
      <c r="M148" s="240"/>
      <c r="N148" s="241"/>
      <c r="O148" s="241"/>
      <c r="P148" s="241"/>
      <c r="Q148" s="241"/>
      <c r="R148" s="241"/>
      <c r="S148" s="241"/>
      <c r="T148" s="242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T148" s="243" t="s">
        <v>165</v>
      </c>
      <c r="AU148" s="243" t="s">
        <v>86</v>
      </c>
      <c r="AV148" s="13" t="s">
        <v>86</v>
      </c>
      <c r="AW148" s="13" t="s">
        <v>32</v>
      </c>
      <c r="AX148" s="13" t="s">
        <v>77</v>
      </c>
      <c r="AY148" s="243" t="s">
        <v>157</v>
      </c>
    </row>
    <row r="149" s="2" customFormat="1" ht="24.15" customHeight="1">
      <c r="A149" s="37"/>
      <c r="B149" s="38"/>
      <c r="C149" s="218" t="s">
        <v>213</v>
      </c>
      <c r="D149" s="218" t="s">
        <v>159</v>
      </c>
      <c r="E149" s="219" t="s">
        <v>2728</v>
      </c>
      <c r="F149" s="220" t="s">
        <v>2729</v>
      </c>
      <c r="G149" s="221" t="s">
        <v>162</v>
      </c>
      <c r="H149" s="222">
        <v>5.2439999999999998</v>
      </c>
      <c r="I149" s="223"/>
      <c r="J149" s="224">
        <f>ROUND(I149*H149,0)</f>
        <v>0</v>
      </c>
      <c r="K149" s="225"/>
      <c r="L149" s="43"/>
      <c r="M149" s="226" t="s">
        <v>1</v>
      </c>
      <c r="N149" s="227" t="s">
        <v>42</v>
      </c>
      <c r="O149" s="90"/>
      <c r="P149" s="228">
        <f>O149*H149</f>
        <v>0</v>
      </c>
      <c r="Q149" s="228">
        <v>2.5018699999999998</v>
      </c>
      <c r="R149" s="228">
        <f>Q149*H149</f>
        <v>13.119806279999999</v>
      </c>
      <c r="S149" s="228">
        <v>0</v>
      </c>
      <c r="T149" s="229">
        <f>S149*H149</f>
        <v>0</v>
      </c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R149" s="230" t="s">
        <v>163</v>
      </c>
      <c r="AT149" s="230" t="s">
        <v>159</v>
      </c>
      <c r="AU149" s="230" t="s">
        <v>86</v>
      </c>
      <c r="AY149" s="16" t="s">
        <v>157</v>
      </c>
      <c r="BE149" s="231">
        <f>IF(N149="základní",J149,0)</f>
        <v>0</v>
      </c>
      <c r="BF149" s="231">
        <f>IF(N149="snížená",J149,0)</f>
        <v>0</v>
      </c>
      <c r="BG149" s="231">
        <f>IF(N149="zákl. přenesená",J149,0)</f>
        <v>0</v>
      </c>
      <c r="BH149" s="231">
        <f>IF(N149="sníž. přenesená",J149,0)</f>
        <v>0</v>
      </c>
      <c r="BI149" s="231">
        <f>IF(N149="nulová",J149,0)</f>
        <v>0</v>
      </c>
      <c r="BJ149" s="16" t="s">
        <v>8</v>
      </c>
      <c r="BK149" s="231">
        <f>ROUND(I149*H149,0)</f>
        <v>0</v>
      </c>
      <c r="BL149" s="16" t="s">
        <v>163</v>
      </c>
      <c r="BM149" s="230" t="s">
        <v>2730</v>
      </c>
    </row>
    <row r="150" s="13" customFormat="1">
      <c r="A150" s="13"/>
      <c r="B150" s="232"/>
      <c r="C150" s="233"/>
      <c r="D150" s="234" t="s">
        <v>165</v>
      </c>
      <c r="E150" s="235" t="s">
        <v>1</v>
      </c>
      <c r="F150" s="236" t="s">
        <v>2731</v>
      </c>
      <c r="G150" s="233"/>
      <c r="H150" s="237">
        <v>5.2439999999999998</v>
      </c>
      <c r="I150" s="238"/>
      <c r="J150" s="233"/>
      <c r="K150" s="233"/>
      <c r="L150" s="239"/>
      <c r="M150" s="240"/>
      <c r="N150" s="241"/>
      <c r="O150" s="241"/>
      <c r="P150" s="241"/>
      <c r="Q150" s="241"/>
      <c r="R150" s="241"/>
      <c r="S150" s="241"/>
      <c r="T150" s="242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T150" s="243" t="s">
        <v>165</v>
      </c>
      <c r="AU150" s="243" t="s">
        <v>86</v>
      </c>
      <c r="AV150" s="13" t="s">
        <v>86</v>
      </c>
      <c r="AW150" s="13" t="s">
        <v>32</v>
      </c>
      <c r="AX150" s="13" t="s">
        <v>77</v>
      </c>
      <c r="AY150" s="243" t="s">
        <v>157</v>
      </c>
    </row>
    <row r="151" s="2" customFormat="1" ht="16.5" customHeight="1">
      <c r="A151" s="37"/>
      <c r="B151" s="38"/>
      <c r="C151" s="218" t="s">
        <v>219</v>
      </c>
      <c r="D151" s="218" t="s">
        <v>159</v>
      </c>
      <c r="E151" s="219" t="s">
        <v>1723</v>
      </c>
      <c r="F151" s="220" t="s">
        <v>1724</v>
      </c>
      <c r="G151" s="221" t="s">
        <v>209</v>
      </c>
      <c r="H151" s="222">
        <v>44.159999999999997</v>
      </c>
      <c r="I151" s="223"/>
      <c r="J151" s="224">
        <f>ROUND(I151*H151,0)</f>
        <v>0</v>
      </c>
      <c r="K151" s="225"/>
      <c r="L151" s="43"/>
      <c r="M151" s="226" t="s">
        <v>1</v>
      </c>
      <c r="N151" s="227" t="s">
        <v>42</v>
      </c>
      <c r="O151" s="90"/>
      <c r="P151" s="228">
        <f>O151*H151</f>
        <v>0</v>
      </c>
      <c r="Q151" s="228">
        <v>0.00264</v>
      </c>
      <c r="R151" s="228">
        <f>Q151*H151</f>
        <v>0.11658239999999999</v>
      </c>
      <c r="S151" s="228">
        <v>0</v>
      </c>
      <c r="T151" s="229">
        <f>S151*H151</f>
        <v>0</v>
      </c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R151" s="230" t="s">
        <v>163</v>
      </c>
      <c r="AT151" s="230" t="s">
        <v>159</v>
      </c>
      <c r="AU151" s="230" t="s">
        <v>86</v>
      </c>
      <c r="AY151" s="16" t="s">
        <v>157</v>
      </c>
      <c r="BE151" s="231">
        <f>IF(N151="základní",J151,0)</f>
        <v>0</v>
      </c>
      <c r="BF151" s="231">
        <f>IF(N151="snížená",J151,0)</f>
        <v>0</v>
      </c>
      <c r="BG151" s="231">
        <f>IF(N151="zákl. přenesená",J151,0)</f>
        <v>0</v>
      </c>
      <c r="BH151" s="231">
        <f>IF(N151="sníž. přenesená",J151,0)</f>
        <v>0</v>
      </c>
      <c r="BI151" s="231">
        <f>IF(N151="nulová",J151,0)</f>
        <v>0</v>
      </c>
      <c r="BJ151" s="16" t="s">
        <v>8</v>
      </c>
      <c r="BK151" s="231">
        <f>ROUND(I151*H151,0)</f>
        <v>0</v>
      </c>
      <c r="BL151" s="16" t="s">
        <v>163</v>
      </c>
      <c r="BM151" s="230" t="s">
        <v>2732</v>
      </c>
    </row>
    <row r="152" s="13" customFormat="1">
      <c r="A152" s="13"/>
      <c r="B152" s="232"/>
      <c r="C152" s="233"/>
      <c r="D152" s="234" t="s">
        <v>165</v>
      </c>
      <c r="E152" s="235" t="s">
        <v>1</v>
      </c>
      <c r="F152" s="236" t="s">
        <v>2733</v>
      </c>
      <c r="G152" s="233"/>
      <c r="H152" s="237">
        <v>44.159999999999997</v>
      </c>
      <c r="I152" s="238"/>
      <c r="J152" s="233"/>
      <c r="K152" s="233"/>
      <c r="L152" s="239"/>
      <c r="M152" s="240"/>
      <c r="N152" s="241"/>
      <c r="O152" s="241"/>
      <c r="P152" s="241"/>
      <c r="Q152" s="241"/>
      <c r="R152" s="241"/>
      <c r="S152" s="241"/>
      <c r="T152" s="24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T152" s="243" t="s">
        <v>165</v>
      </c>
      <c r="AU152" s="243" t="s">
        <v>86</v>
      </c>
      <c r="AV152" s="13" t="s">
        <v>86</v>
      </c>
      <c r="AW152" s="13" t="s">
        <v>32</v>
      </c>
      <c r="AX152" s="13" t="s">
        <v>77</v>
      </c>
      <c r="AY152" s="243" t="s">
        <v>157</v>
      </c>
    </row>
    <row r="153" s="2" customFormat="1" ht="16.5" customHeight="1">
      <c r="A153" s="37"/>
      <c r="B153" s="38"/>
      <c r="C153" s="218" t="s">
        <v>9</v>
      </c>
      <c r="D153" s="218" t="s">
        <v>159</v>
      </c>
      <c r="E153" s="219" t="s">
        <v>1728</v>
      </c>
      <c r="F153" s="220" t="s">
        <v>1729</v>
      </c>
      <c r="G153" s="221" t="s">
        <v>209</v>
      </c>
      <c r="H153" s="222">
        <v>44.159999999999997</v>
      </c>
      <c r="I153" s="223"/>
      <c r="J153" s="224">
        <f>ROUND(I153*H153,0)</f>
        <v>0</v>
      </c>
      <c r="K153" s="225"/>
      <c r="L153" s="43"/>
      <c r="M153" s="226" t="s">
        <v>1</v>
      </c>
      <c r="N153" s="227" t="s">
        <v>42</v>
      </c>
      <c r="O153" s="90"/>
      <c r="P153" s="228">
        <f>O153*H153</f>
        <v>0</v>
      </c>
      <c r="Q153" s="228">
        <v>0</v>
      </c>
      <c r="R153" s="228">
        <f>Q153*H153</f>
        <v>0</v>
      </c>
      <c r="S153" s="228">
        <v>0</v>
      </c>
      <c r="T153" s="229">
        <f>S153*H153</f>
        <v>0</v>
      </c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R153" s="230" t="s">
        <v>163</v>
      </c>
      <c r="AT153" s="230" t="s">
        <v>159</v>
      </c>
      <c r="AU153" s="230" t="s">
        <v>86</v>
      </c>
      <c r="AY153" s="16" t="s">
        <v>157</v>
      </c>
      <c r="BE153" s="231">
        <f>IF(N153="základní",J153,0)</f>
        <v>0</v>
      </c>
      <c r="BF153" s="231">
        <f>IF(N153="snížená",J153,0)</f>
        <v>0</v>
      </c>
      <c r="BG153" s="231">
        <f>IF(N153="zákl. přenesená",J153,0)</f>
        <v>0</v>
      </c>
      <c r="BH153" s="231">
        <f>IF(N153="sníž. přenesená",J153,0)</f>
        <v>0</v>
      </c>
      <c r="BI153" s="231">
        <f>IF(N153="nulová",J153,0)</f>
        <v>0</v>
      </c>
      <c r="BJ153" s="16" t="s">
        <v>8</v>
      </c>
      <c r="BK153" s="231">
        <f>ROUND(I153*H153,0)</f>
        <v>0</v>
      </c>
      <c r="BL153" s="16" t="s">
        <v>163</v>
      </c>
      <c r="BM153" s="230" t="s">
        <v>2734</v>
      </c>
    </row>
    <row r="154" s="2" customFormat="1" ht="21.75" customHeight="1">
      <c r="A154" s="37"/>
      <c r="B154" s="38"/>
      <c r="C154" s="218" t="s">
        <v>228</v>
      </c>
      <c r="D154" s="218" t="s">
        <v>159</v>
      </c>
      <c r="E154" s="219" t="s">
        <v>1731</v>
      </c>
      <c r="F154" s="220" t="s">
        <v>1732</v>
      </c>
      <c r="G154" s="221" t="s">
        <v>193</v>
      </c>
      <c r="H154" s="222">
        <v>0.315</v>
      </c>
      <c r="I154" s="223"/>
      <c r="J154" s="224">
        <f>ROUND(I154*H154,0)</f>
        <v>0</v>
      </c>
      <c r="K154" s="225"/>
      <c r="L154" s="43"/>
      <c r="M154" s="226" t="s">
        <v>1</v>
      </c>
      <c r="N154" s="227" t="s">
        <v>42</v>
      </c>
      <c r="O154" s="90"/>
      <c r="P154" s="228">
        <f>O154*H154</f>
        <v>0</v>
      </c>
      <c r="Q154" s="228">
        <v>1.0606199999999999</v>
      </c>
      <c r="R154" s="228">
        <f>Q154*H154</f>
        <v>0.33409529999999998</v>
      </c>
      <c r="S154" s="228">
        <v>0</v>
      </c>
      <c r="T154" s="229">
        <f>S154*H154</f>
        <v>0</v>
      </c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R154" s="230" t="s">
        <v>163</v>
      </c>
      <c r="AT154" s="230" t="s">
        <v>159</v>
      </c>
      <c r="AU154" s="230" t="s">
        <v>86</v>
      </c>
      <c r="AY154" s="16" t="s">
        <v>157</v>
      </c>
      <c r="BE154" s="231">
        <f>IF(N154="základní",J154,0)</f>
        <v>0</v>
      </c>
      <c r="BF154" s="231">
        <f>IF(N154="snížená",J154,0)</f>
        <v>0</v>
      </c>
      <c r="BG154" s="231">
        <f>IF(N154="zákl. přenesená",J154,0)</f>
        <v>0</v>
      </c>
      <c r="BH154" s="231">
        <f>IF(N154="sníž. přenesená",J154,0)</f>
        <v>0</v>
      </c>
      <c r="BI154" s="231">
        <f>IF(N154="nulová",J154,0)</f>
        <v>0</v>
      </c>
      <c r="BJ154" s="16" t="s">
        <v>8</v>
      </c>
      <c r="BK154" s="231">
        <f>ROUND(I154*H154,0)</f>
        <v>0</v>
      </c>
      <c r="BL154" s="16" t="s">
        <v>163</v>
      </c>
      <c r="BM154" s="230" t="s">
        <v>2735</v>
      </c>
    </row>
    <row r="155" s="13" customFormat="1">
      <c r="A155" s="13"/>
      <c r="B155" s="232"/>
      <c r="C155" s="233"/>
      <c r="D155" s="234" t="s">
        <v>165</v>
      </c>
      <c r="E155" s="235" t="s">
        <v>1</v>
      </c>
      <c r="F155" s="236" t="s">
        <v>2736</v>
      </c>
      <c r="G155" s="233"/>
      <c r="H155" s="237">
        <v>0.315</v>
      </c>
      <c r="I155" s="238"/>
      <c r="J155" s="233"/>
      <c r="K155" s="233"/>
      <c r="L155" s="239"/>
      <c r="M155" s="240"/>
      <c r="N155" s="241"/>
      <c r="O155" s="241"/>
      <c r="P155" s="241"/>
      <c r="Q155" s="241"/>
      <c r="R155" s="241"/>
      <c r="S155" s="241"/>
      <c r="T155" s="24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T155" s="243" t="s">
        <v>165</v>
      </c>
      <c r="AU155" s="243" t="s">
        <v>86</v>
      </c>
      <c r="AV155" s="13" t="s">
        <v>86</v>
      </c>
      <c r="AW155" s="13" t="s">
        <v>32</v>
      </c>
      <c r="AX155" s="13" t="s">
        <v>77</v>
      </c>
      <c r="AY155" s="243" t="s">
        <v>157</v>
      </c>
    </row>
    <row r="156" s="12" customFormat="1" ht="22.8" customHeight="1">
      <c r="A156" s="12"/>
      <c r="B156" s="202"/>
      <c r="C156" s="203"/>
      <c r="D156" s="204" t="s">
        <v>76</v>
      </c>
      <c r="E156" s="216" t="s">
        <v>176</v>
      </c>
      <c r="F156" s="216" t="s">
        <v>287</v>
      </c>
      <c r="G156" s="203"/>
      <c r="H156" s="203"/>
      <c r="I156" s="206"/>
      <c r="J156" s="217">
        <f>BK156</f>
        <v>0</v>
      </c>
      <c r="K156" s="203"/>
      <c r="L156" s="208"/>
      <c r="M156" s="209"/>
      <c r="N156" s="210"/>
      <c r="O156" s="210"/>
      <c r="P156" s="211">
        <v>0</v>
      </c>
      <c r="Q156" s="210"/>
      <c r="R156" s="211">
        <v>0</v>
      </c>
      <c r="S156" s="210"/>
      <c r="T156" s="212">
        <v>0</v>
      </c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R156" s="213" t="s">
        <v>8</v>
      </c>
      <c r="AT156" s="214" t="s">
        <v>76</v>
      </c>
      <c r="AU156" s="214" t="s">
        <v>8</v>
      </c>
      <c r="AY156" s="213" t="s">
        <v>157</v>
      </c>
      <c r="BK156" s="215">
        <v>0</v>
      </c>
    </row>
    <row r="157" s="12" customFormat="1" ht="22.8" customHeight="1">
      <c r="A157" s="12"/>
      <c r="B157" s="202"/>
      <c r="C157" s="203"/>
      <c r="D157" s="204" t="s">
        <v>76</v>
      </c>
      <c r="E157" s="216" t="s">
        <v>630</v>
      </c>
      <c r="F157" s="216" t="s">
        <v>631</v>
      </c>
      <c r="G157" s="203"/>
      <c r="H157" s="203"/>
      <c r="I157" s="206"/>
      <c r="J157" s="217">
        <f>BK157</f>
        <v>0</v>
      </c>
      <c r="K157" s="203"/>
      <c r="L157" s="208"/>
      <c r="M157" s="209"/>
      <c r="N157" s="210"/>
      <c r="O157" s="210"/>
      <c r="P157" s="211">
        <f>P158</f>
        <v>0</v>
      </c>
      <c r="Q157" s="210"/>
      <c r="R157" s="211">
        <f>R158</f>
        <v>0</v>
      </c>
      <c r="S157" s="210"/>
      <c r="T157" s="212">
        <f>T158</f>
        <v>0</v>
      </c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R157" s="213" t="s">
        <v>8</v>
      </c>
      <c r="AT157" s="214" t="s">
        <v>76</v>
      </c>
      <c r="AU157" s="214" t="s">
        <v>8</v>
      </c>
      <c r="AY157" s="213" t="s">
        <v>157</v>
      </c>
      <c r="BK157" s="215">
        <f>BK158</f>
        <v>0</v>
      </c>
    </row>
    <row r="158" s="2" customFormat="1" ht="24.15" customHeight="1">
      <c r="A158" s="37"/>
      <c r="B158" s="38"/>
      <c r="C158" s="218" t="s">
        <v>235</v>
      </c>
      <c r="D158" s="218" t="s">
        <v>159</v>
      </c>
      <c r="E158" s="219" t="s">
        <v>2675</v>
      </c>
      <c r="F158" s="220" t="s">
        <v>2676</v>
      </c>
      <c r="G158" s="221" t="s">
        <v>193</v>
      </c>
      <c r="H158" s="222">
        <v>16.75</v>
      </c>
      <c r="I158" s="223"/>
      <c r="J158" s="224">
        <f>ROUND(I158*H158,0)</f>
        <v>0</v>
      </c>
      <c r="K158" s="225"/>
      <c r="L158" s="43"/>
      <c r="M158" s="226" t="s">
        <v>1</v>
      </c>
      <c r="N158" s="227" t="s">
        <v>42</v>
      </c>
      <c r="O158" s="90"/>
      <c r="P158" s="228">
        <f>O158*H158</f>
        <v>0</v>
      </c>
      <c r="Q158" s="228">
        <v>0</v>
      </c>
      <c r="R158" s="228">
        <f>Q158*H158</f>
        <v>0</v>
      </c>
      <c r="S158" s="228">
        <v>0</v>
      </c>
      <c r="T158" s="229">
        <f>S158*H158</f>
        <v>0</v>
      </c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R158" s="230" t="s">
        <v>163</v>
      </c>
      <c r="AT158" s="230" t="s">
        <v>159</v>
      </c>
      <c r="AU158" s="230" t="s">
        <v>86</v>
      </c>
      <c r="AY158" s="16" t="s">
        <v>157</v>
      </c>
      <c r="BE158" s="231">
        <f>IF(N158="základní",J158,0)</f>
        <v>0</v>
      </c>
      <c r="BF158" s="231">
        <f>IF(N158="snížená",J158,0)</f>
        <v>0</v>
      </c>
      <c r="BG158" s="231">
        <f>IF(N158="zákl. přenesená",J158,0)</f>
        <v>0</v>
      </c>
      <c r="BH158" s="231">
        <f>IF(N158="sníž. přenesená",J158,0)</f>
        <v>0</v>
      </c>
      <c r="BI158" s="231">
        <f>IF(N158="nulová",J158,0)</f>
        <v>0</v>
      </c>
      <c r="BJ158" s="16" t="s">
        <v>8</v>
      </c>
      <c r="BK158" s="231">
        <f>ROUND(I158*H158,0)</f>
        <v>0</v>
      </c>
      <c r="BL158" s="16" t="s">
        <v>163</v>
      </c>
      <c r="BM158" s="230" t="s">
        <v>2737</v>
      </c>
    </row>
    <row r="159" s="12" customFormat="1" ht="25.92" customHeight="1">
      <c r="A159" s="12"/>
      <c r="B159" s="202"/>
      <c r="C159" s="203"/>
      <c r="D159" s="204" t="s">
        <v>76</v>
      </c>
      <c r="E159" s="205" t="s">
        <v>636</v>
      </c>
      <c r="F159" s="205" t="s">
        <v>636</v>
      </c>
      <c r="G159" s="203"/>
      <c r="H159" s="203"/>
      <c r="I159" s="206"/>
      <c r="J159" s="207">
        <f>BK159</f>
        <v>0</v>
      </c>
      <c r="K159" s="203"/>
      <c r="L159" s="208"/>
      <c r="M159" s="209"/>
      <c r="N159" s="210"/>
      <c r="O159" s="210"/>
      <c r="P159" s="211">
        <f>P160+P167</f>
        <v>0</v>
      </c>
      <c r="Q159" s="210"/>
      <c r="R159" s="211">
        <f>R160+R167</f>
        <v>16.613526000000004</v>
      </c>
      <c r="S159" s="210"/>
      <c r="T159" s="212">
        <f>T160+T167</f>
        <v>0</v>
      </c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R159" s="213" t="s">
        <v>86</v>
      </c>
      <c r="AT159" s="214" t="s">
        <v>76</v>
      </c>
      <c r="AU159" s="214" t="s">
        <v>77</v>
      </c>
      <c r="AY159" s="213" t="s">
        <v>157</v>
      </c>
      <c r="BK159" s="215">
        <f>BK160+BK167</f>
        <v>0</v>
      </c>
    </row>
    <row r="160" s="12" customFormat="1" ht="22.8" customHeight="1">
      <c r="A160" s="12"/>
      <c r="B160" s="202"/>
      <c r="C160" s="203"/>
      <c r="D160" s="204" t="s">
        <v>76</v>
      </c>
      <c r="E160" s="216" t="s">
        <v>1193</v>
      </c>
      <c r="F160" s="216" t="s">
        <v>1194</v>
      </c>
      <c r="G160" s="203"/>
      <c r="H160" s="203"/>
      <c r="I160" s="206"/>
      <c r="J160" s="217">
        <f>BK160</f>
        <v>0</v>
      </c>
      <c r="K160" s="203"/>
      <c r="L160" s="208"/>
      <c r="M160" s="209"/>
      <c r="N160" s="210"/>
      <c r="O160" s="210"/>
      <c r="P160" s="211">
        <f>SUM(P161:P166)</f>
        <v>0</v>
      </c>
      <c r="Q160" s="210"/>
      <c r="R160" s="211">
        <f>SUM(R161:R166)</f>
        <v>0.24651099999999998</v>
      </c>
      <c r="S160" s="210"/>
      <c r="T160" s="212">
        <f>SUM(T161:T166)</f>
        <v>0</v>
      </c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R160" s="213" t="s">
        <v>86</v>
      </c>
      <c r="AT160" s="214" t="s">
        <v>76</v>
      </c>
      <c r="AU160" s="214" t="s">
        <v>8</v>
      </c>
      <c r="AY160" s="213" t="s">
        <v>157</v>
      </c>
      <c r="BK160" s="215">
        <f>SUM(BK161:BK166)</f>
        <v>0</v>
      </c>
    </row>
    <row r="161" s="2" customFormat="1" ht="24.15" customHeight="1">
      <c r="A161" s="37"/>
      <c r="B161" s="38"/>
      <c r="C161" s="218" t="s">
        <v>241</v>
      </c>
      <c r="D161" s="218" t="s">
        <v>159</v>
      </c>
      <c r="E161" s="219" t="s">
        <v>2122</v>
      </c>
      <c r="F161" s="220" t="s">
        <v>2123</v>
      </c>
      <c r="G161" s="221" t="s">
        <v>216</v>
      </c>
      <c r="H161" s="222">
        <v>124.7</v>
      </c>
      <c r="I161" s="223"/>
      <c r="J161" s="224">
        <f>ROUND(I161*H161,0)</f>
        <v>0</v>
      </c>
      <c r="K161" s="225"/>
      <c r="L161" s="43"/>
      <c r="M161" s="226" t="s">
        <v>1</v>
      </c>
      <c r="N161" s="227" t="s">
        <v>42</v>
      </c>
      <c r="O161" s="90"/>
      <c r="P161" s="228">
        <f>O161*H161</f>
        <v>0</v>
      </c>
      <c r="Q161" s="228">
        <v>0.0016299999999999999</v>
      </c>
      <c r="R161" s="228">
        <f>Q161*H161</f>
        <v>0.203261</v>
      </c>
      <c r="S161" s="228">
        <v>0</v>
      </c>
      <c r="T161" s="229">
        <f>S161*H161</f>
        <v>0</v>
      </c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R161" s="230" t="s">
        <v>246</v>
      </c>
      <c r="AT161" s="230" t="s">
        <v>159</v>
      </c>
      <c r="AU161" s="230" t="s">
        <v>86</v>
      </c>
      <c r="AY161" s="16" t="s">
        <v>157</v>
      </c>
      <c r="BE161" s="231">
        <f>IF(N161="základní",J161,0)</f>
        <v>0</v>
      </c>
      <c r="BF161" s="231">
        <f>IF(N161="snížená",J161,0)</f>
        <v>0</v>
      </c>
      <c r="BG161" s="231">
        <f>IF(N161="zákl. přenesená",J161,0)</f>
        <v>0</v>
      </c>
      <c r="BH161" s="231">
        <f>IF(N161="sníž. přenesená",J161,0)</f>
        <v>0</v>
      </c>
      <c r="BI161" s="231">
        <f>IF(N161="nulová",J161,0)</f>
        <v>0</v>
      </c>
      <c r="BJ161" s="16" t="s">
        <v>8</v>
      </c>
      <c r="BK161" s="231">
        <f>ROUND(I161*H161,0)</f>
        <v>0</v>
      </c>
      <c r="BL161" s="16" t="s">
        <v>246</v>
      </c>
      <c r="BM161" s="230" t="s">
        <v>2738</v>
      </c>
    </row>
    <row r="162" s="13" customFormat="1">
      <c r="A162" s="13"/>
      <c r="B162" s="232"/>
      <c r="C162" s="233"/>
      <c r="D162" s="234" t="s">
        <v>165</v>
      </c>
      <c r="E162" s="235" t="s">
        <v>1</v>
      </c>
      <c r="F162" s="236" t="s">
        <v>2739</v>
      </c>
      <c r="G162" s="233"/>
      <c r="H162" s="237">
        <v>124.7</v>
      </c>
      <c r="I162" s="238"/>
      <c r="J162" s="233"/>
      <c r="K162" s="233"/>
      <c r="L162" s="239"/>
      <c r="M162" s="240"/>
      <c r="N162" s="241"/>
      <c r="O162" s="241"/>
      <c r="P162" s="241"/>
      <c r="Q162" s="241"/>
      <c r="R162" s="241"/>
      <c r="S162" s="241"/>
      <c r="T162" s="24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T162" s="243" t="s">
        <v>165</v>
      </c>
      <c r="AU162" s="243" t="s">
        <v>86</v>
      </c>
      <c r="AV162" s="13" t="s">
        <v>86</v>
      </c>
      <c r="AW162" s="13" t="s">
        <v>32</v>
      </c>
      <c r="AX162" s="13" t="s">
        <v>77</v>
      </c>
      <c r="AY162" s="243" t="s">
        <v>157</v>
      </c>
    </row>
    <row r="163" s="2" customFormat="1" ht="24.15" customHeight="1">
      <c r="A163" s="37"/>
      <c r="B163" s="38"/>
      <c r="C163" s="218" t="s">
        <v>246</v>
      </c>
      <c r="D163" s="218" t="s">
        <v>159</v>
      </c>
      <c r="E163" s="219" t="s">
        <v>2126</v>
      </c>
      <c r="F163" s="220" t="s">
        <v>2127</v>
      </c>
      <c r="G163" s="221" t="s">
        <v>565</v>
      </c>
      <c r="H163" s="222">
        <v>5</v>
      </c>
      <c r="I163" s="223"/>
      <c r="J163" s="224">
        <f>ROUND(I163*H163,0)</f>
        <v>0</v>
      </c>
      <c r="K163" s="225"/>
      <c r="L163" s="43"/>
      <c r="M163" s="226" t="s">
        <v>1</v>
      </c>
      <c r="N163" s="227" t="s">
        <v>42</v>
      </c>
      <c r="O163" s="90"/>
      <c r="P163" s="228">
        <f>O163*H163</f>
        <v>0</v>
      </c>
      <c r="Q163" s="228">
        <v>0.00025000000000000001</v>
      </c>
      <c r="R163" s="228">
        <f>Q163*H163</f>
        <v>0.00125</v>
      </c>
      <c r="S163" s="228">
        <v>0</v>
      </c>
      <c r="T163" s="229">
        <f>S163*H163</f>
        <v>0</v>
      </c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R163" s="230" t="s">
        <v>246</v>
      </c>
      <c r="AT163" s="230" t="s">
        <v>159</v>
      </c>
      <c r="AU163" s="230" t="s">
        <v>86</v>
      </c>
      <c r="AY163" s="16" t="s">
        <v>157</v>
      </c>
      <c r="BE163" s="231">
        <f>IF(N163="základní",J163,0)</f>
        <v>0</v>
      </c>
      <c r="BF163" s="231">
        <f>IF(N163="snížená",J163,0)</f>
        <v>0</v>
      </c>
      <c r="BG163" s="231">
        <f>IF(N163="zákl. přenesená",J163,0)</f>
        <v>0</v>
      </c>
      <c r="BH163" s="231">
        <f>IF(N163="sníž. přenesená",J163,0)</f>
        <v>0</v>
      </c>
      <c r="BI163" s="231">
        <f>IF(N163="nulová",J163,0)</f>
        <v>0</v>
      </c>
      <c r="BJ163" s="16" t="s">
        <v>8</v>
      </c>
      <c r="BK163" s="231">
        <f>ROUND(I163*H163,0)</f>
        <v>0</v>
      </c>
      <c r="BL163" s="16" t="s">
        <v>246</v>
      </c>
      <c r="BM163" s="230" t="s">
        <v>2740</v>
      </c>
    </row>
    <row r="164" s="2" customFormat="1" ht="24.15" customHeight="1">
      <c r="A164" s="37"/>
      <c r="B164" s="38"/>
      <c r="C164" s="218" t="s">
        <v>251</v>
      </c>
      <c r="D164" s="218" t="s">
        <v>159</v>
      </c>
      <c r="E164" s="219" t="s">
        <v>2129</v>
      </c>
      <c r="F164" s="220" t="s">
        <v>2130</v>
      </c>
      <c r="G164" s="221" t="s">
        <v>216</v>
      </c>
      <c r="H164" s="222">
        <v>20</v>
      </c>
      <c r="I164" s="223"/>
      <c r="J164" s="224">
        <f>ROUND(I164*H164,0)</f>
        <v>0</v>
      </c>
      <c r="K164" s="225"/>
      <c r="L164" s="43"/>
      <c r="M164" s="226" t="s">
        <v>1</v>
      </c>
      <c r="N164" s="227" t="s">
        <v>42</v>
      </c>
      <c r="O164" s="90"/>
      <c r="P164" s="228">
        <f>O164*H164</f>
        <v>0</v>
      </c>
      <c r="Q164" s="228">
        <v>0.0020999999999999999</v>
      </c>
      <c r="R164" s="228">
        <f>Q164*H164</f>
        <v>0.041999999999999996</v>
      </c>
      <c r="S164" s="228">
        <v>0</v>
      </c>
      <c r="T164" s="229">
        <f>S164*H164</f>
        <v>0</v>
      </c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R164" s="230" t="s">
        <v>246</v>
      </c>
      <c r="AT164" s="230" t="s">
        <v>159</v>
      </c>
      <c r="AU164" s="230" t="s">
        <v>86</v>
      </c>
      <c r="AY164" s="16" t="s">
        <v>157</v>
      </c>
      <c r="BE164" s="231">
        <f>IF(N164="základní",J164,0)</f>
        <v>0</v>
      </c>
      <c r="BF164" s="231">
        <f>IF(N164="snížená",J164,0)</f>
        <v>0</v>
      </c>
      <c r="BG164" s="231">
        <f>IF(N164="zákl. přenesená",J164,0)</f>
        <v>0</v>
      </c>
      <c r="BH164" s="231">
        <f>IF(N164="sníž. přenesená",J164,0)</f>
        <v>0</v>
      </c>
      <c r="BI164" s="231">
        <f>IF(N164="nulová",J164,0)</f>
        <v>0</v>
      </c>
      <c r="BJ164" s="16" t="s">
        <v>8</v>
      </c>
      <c r="BK164" s="231">
        <f>ROUND(I164*H164,0)</f>
        <v>0</v>
      </c>
      <c r="BL164" s="16" t="s">
        <v>246</v>
      </c>
      <c r="BM164" s="230" t="s">
        <v>2741</v>
      </c>
    </row>
    <row r="165" s="13" customFormat="1">
      <c r="A165" s="13"/>
      <c r="B165" s="232"/>
      <c r="C165" s="233"/>
      <c r="D165" s="234" t="s">
        <v>165</v>
      </c>
      <c r="E165" s="235" t="s">
        <v>1</v>
      </c>
      <c r="F165" s="236" t="s">
        <v>2742</v>
      </c>
      <c r="G165" s="233"/>
      <c r="H165" s="237">
        <v>20</v>
      </c>
      <c r="I165" s="238"/>
      <c r="J165" s="233"/>
      <c r="K165" s="233"/>
      <c r="L165" s="239"/>
      <c r="M165" s="240"/>
      <c r="N165" s="241"/>
      <c r="O165" s="241"/>
      <c r="P165" s="241"/>
      <c r="Q165" s="241"/>
      <c r="R165" s="241"/>
      <c r="S165" s="241"/>
      <c r="T165" s="24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T165" s="243" t="s">
        <v>165</v>
      </c>
      <c r="AU165" s="243" t="s">
        <v>86</v>
      </c>
      <c r="AV165" s="13" t="s">
        <v>86</v>
      </c>
      <c r="AW165" s="13" t="s">
        <v>32</v>
      </c>
      <c r="AX165" s="13" t="s">
        <v>77</v>
      </c>
      <c r="AY165" s="243" t="s">
        <v>157</v>
      </c>
    </row>
    <row r="166" s="2" customFormat="1" ht="24.15" customHeight="1">
      <c r="A166" s="37"/>
      <c r="B166" s="38"/>
      <c r="C166" s="218" t="s">
        <v>256</v>
      </c>
      <c r="D166" s="218" t="s">
        <v>159</v>
      </c>
      <c r="E166" s="219" t="s">
        <v>2133</v>
      </c>
      <c r="F166" s="220" t="s">
        <v>2134</v>
      </c>
      <c r="G166" s="221" t="s">
        <v>193</v>
      </c>
      <c r="H166" s="222">
        <v>0.247</v>
      </c>
      <c r="I166" s="223"/>
      <c r="J166" s="224">
        <f>ROUND(I166*H166,0)</f>
        <v>0</v>
      </c>
      <c r="K166" s="225"/>
      <c r="L166" s="43"/>
      <c r="M166" s="226" t="s">
        <v>1</v>
      </c>
      <c r="N166" s="227" t="s">
        <v>42</v>
      </c>
      <c r="O166" s="90"/>
      <c r="P166" s="228">
        <f>O166*H166</f>
        <v>0</v>
      </c>
      <c r="Q166" s="228">
        <v>0</v>
      </c>
      <c r="R166" s="228">
        <f>Q166*H166</f>
        <v>0</v>
      </c>
      <c r="S166" s="228">
        <v>0</v>
      </c>
      <c r="T166" s="229">
        <f>S166*H166</f>
        <v>0</v>
      </c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R166" s="230" t="s">
        <v>246</v>
      </c>
      <c r="AT166" s="230" t="s">
        <v>159</v>
      </c>
      <c r="AU166" s="230" t="s">
        <v>86</v>
      </c>
      <c r="AY166" s="16" t="s">
        <v>157</v>
      </c>
      <c r="BE166" s="231">
        <f>IF(N166="základní",J166,0)</f>
        <v>0</v>
      </c>
      <c r="BF166" s="231">
        <f>IF(N166="snížená",J166,0)</f>
        <v>0</v>
      </c>
      <c r="BG166" s="231">
        <f>IF(N166="zákl. přenesená",J166,0)</f>
        <v>0</v>
      </c>
      <c r="BH166" s="231">
        <f>IF(N166="sníž. přenesená",J166,0)</f>
        <v>0</v>
      </c>
      <c r="BI166" s="231">
        <f>IF(N166="nulová",J166,0)</f>
        <v>0</v>
      </c>
      <c r="BJ166" s="16" t="s">
        <v>8</v>
      </c>
      <c r="BK166" s="231">
        <f>ROUND(I166*H166,0)</f>
        <v>0</v>
      </c>
      <c r="BL166" s="16" t="s">
        <v>246</v>
      </c>
      <c r="BM166" s="230" t="s">
        <v>2743</v>
      </c>
    </row>
    <row r="167" s="12" customFormat="1" ht="22.8" customHeight="1">
      <c r="A167" s="12"/>
      <c r="B167" s="202"/>
      <c r="C167" s="203"/>
      <c r="D167" s="204" t="s">
        <v>76</v>
      </c>
      <c r="E167" s="216" t="s">
        <v>1312</v>
      </c>
      <c r="F167" s="216" t="s">
        <v>1313</v>
      </c>
      <c r="G167" s="203"/>
      <c r="H167" s="203"/>
      <c r="I167" s="206"/>
      <c r="J167" s="217">
        <f>BK167</f>
        <v>0</v>
      </c>
      <c r="K167" s="203"/>
      <c r="L167" s="208"/>
      <c r="M167" s="209"/>
      <c r="N167" s="210"/>
      <c r="O167" s="210"/>
      <c r="P167" s="211">
        <f>SUM(P168:P179)</f>
        <v>0</v>
      </c>
      <c r="Q167" s="210"/>
      <c r="R167" s="211">
        <f>SUM(R168:R179)</f>
        <v>16.367015000000002</v>
      </c>
      <c r="S167" s="210"/>
      <c r="T167" s="212">
        <f>SUM(T168:T179)</f>
        <v>0</v>
      </c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R167" s="213" t="s">
        <v>86</v>
      </c>
      <c r="AT167" s="214" t="s">
        <v>76</v>
      </c>
      <c r="AU167" s="214" t="s">
        <v>8</v>
      </c>
      <c r="AY167" s="213" t="s">
        <v>157</v>
      </c>
      <c r="BK167" s="215">
        <f>SUM(BK168:BK179)</f>
        <v>0</v>
      </c>
    </row>
    <row r="168" s="2" customFormat="1" ht="16.5" customHeight="1">
      <c r="A168" s="37"/>
      <c r="B168" s="38"/>
      <c r="C168" s="218" t="s">
        <v>260</v>
      </c>
      <c r="D168" s="218" t="s">
        <v>159</v>
      </c>
      <c r="E168" s="219" t="s">
        <v>2744</v>
      </c>
      <c r="F168" s="220" t="s">
        <v>2745</v>
      </c>
      <c r="G168" s="221" t="s">
        <v>209</v>
      </c>
      <c r="H168" s="222">
        <v>382.80000000000001</v>
      </c>
      <c r="I168" s="223"/>
      <c r="J168" s="224">
        <f>ROUND(I168*H168,0)</f>
        <v>0</v>
      </c>
      <c r="K168" s="225"/>
      <c r="L168" s="43"/>
      <c r="M168" s="226" t="s">
        <v>1</v>
      </c>
      <c r="N168" s="227" t="s">
        <v>42</v>
      </c>
      <c r="O168" s="90"/>
      <c r="P168" s="228">
        <f>O168*H168</f>
        <v>0</v>
      </c>
      <c r="Q168" s="228">
        <v>0.00010000000000000001</v>
      </c>
      <c r="R168" s="228">
        <f>Q168*H168</f>
        <v>0.038280000000000002</v>
      </c>
      <c r="S168" s="228">
        <v>0</v>
      </c>
      <c r="T168" s="229">
        <f>S168*H168</f>
        <v>0</v>
      </c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R168" s="230" t="s">
        <v>246</v>
      </c>
      <c r="AT168" s="230" t="s">
        <v>159</v>
      </c>
      <c r="AU168" s="230" t="s">
        <v>86</v>
      </c>
      <c r="AY168" s="16" t="s">
        <v>157</v>
      </c>
      <c r="BE168" s="231">
        <f>IF(N168="základní",J168,0)</f>
        <v>0</v>
      </c>
      <c r="BF168" s="231">
        <f>IF(N168="snížená",J168,0)</f>
        <v>0</v>
      </c>
      <c r="BG168" s="231">
        <f>IF(N168="zákl. přenesená",J168,0)</f>
        <v>0</v>
      </c>
      <c r="BH168" s="231">
        <f>IF(N168="sníž. přenesená",J168,0)</f>
        <v>0</v>
      </c>
      <c r="BI168" s="231">
        <f>IF(N168="nulová",J168,0)</f>
        <v>0</v>
      </c>
      <c r="BJ168" s="16" t="s">
        <v>8</v>
      </c>
      <c r="BK168" s="231">
        <f>ROUND(I168*H168,0)</f>
        <v>0</v>
      </c>
      <c r="BL168" s="16" t="s">
        <v>246</v>
      </c>
      <c r="BM168" s="230" t="s">
        <v>2746</v>
      </c>
    </row>
    <row r="169" s="13" customFormat="1">
      <c r="A169" s="13"/>
      <c r="B169" s="232"/>
      <c r="C169" s="233"/>
      <c r="D169" s="234" t="s">
        <v>165</v>
      </c>
      <c r="E169" s="235" t="s">
        <v>1</v>
      </c>
      <c r="F169" s="236" t="s">
        <v>2747</v>
      </c>
      <c r="G169" s="233"/>
      <c r="H169" s="237">
        <v>382.80000000000001</v>
      </c>
      <c r="I169" s="238"/>
      <c r="J169" s="233"/>
      <c r="K169" s="233"/>
      <c r="L169" s="239"/>
      <c r="M169" s="240"/>
      <c r="N169" s="241"/>
      <c r="O169" s="241"/>
      <c r="P169" s="241"/>
      <c r="Q169" s="241"/>
      <c r="R169" s="241"/>
      <c r="S169" s="241"/>
      <c r="T169" s="242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T169" s="243" t="s">
        <v>165</v>
      </c>
      <c r="AU169" s="243" t="s">
        <v>86</v>
      </c>
      <c r="AV169" s="13" t="s">
        <v>86</v>
      </c>
      <c r="AW169" s="13" t="s">
        <v>32</v>
      </c>
      <c r="AX169" s="13" t="s">
        <v>77</v>
      </c>
      <c r="AY169" s="243" t="s">
        <v>157</v>
      </c>
    </row>
    <row r="170" s="2" customFormat="1" ht="24.15" customHeight="1">
      <c r="A170" s="37"/>
      <c r="B170" s="38"/>
      <c r="C170" s="254" t="s">
        <v>265</v>
      </c>
      <c r="D170" s="254" t="s">
        <v>229</v>
      </c>
      <c r="E170" s="255" t="s">
        <v>2748</v>
      </c>
      <c r="F170" s="256" t="s">
        <v>2749</v>
      </c>
      <c r="G170" s="257" t="s">
        <v>209</v>
      </c>
      <c r="H170" s="258">
        <v>382.80000000000001</v>
      </c>
      <c r="I170" s="259"/>
      <c r="J170" s="260">
        <f>ROUND(I170*H170,0)</f>
        <v>0</v>
      </c>
      <c r="K170" s="261"/>
      <c r="L170" s="262"/>
      <c r="M170" s="263" t="s">
        <v>1</v>
      </c>
      <c r="N170" s="264" t="s">
        <v>42</v>
      </c>
      <c r="O170" s="90"/>
      <c r="P170" s="228">
        <f>O170*H170</f>
        <v>0</v>
      </c>
      <c r="Q170" s="228">
        <v>0</v>
      </c>
      <c r="R170" s="228">
        <f>Q170*H170</f>
        <v>0</v>
      </c>
      <c r="S170" s="228">
        <v>0</v>
      </c>
      <c r="T170" s="229">
        <f>S170*H170</f>
        <v>0</v>
      </c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R170" s="230" t="s">
        <v>200</v>
      </c>
      <c r="AT170" s="230" t="s">
        <v>229</v>
      </c>
      <c r="AU170" s="230" t="s">
        <v>86</v>
      </c>
      <c r="AY170" s="16" t="s">
        <v>157</v>
      </c>
      <c r="BE170" s="231">
        <f>IF(N170="základní",J170,0)</f>
        <v>0</v>
      </c>
      <c r="BF170" s="231">
        <f>IF(N170="snížená",J170,0)</f>
        <v>0</v>
      </c>
      <c r="BG170" s="231">
        <f>IF(N170="zákl. přenesená",J170,0)</f>
        <v>0</v>
      </c>
      <c r="BH170" s="231">
        <f>IF(N170="sníž. přenesená",J170,0)</f>
        <v>0</v>
      </c>
      <c r="BI170" s="231">
        <f>IF(N170="nulová",J170,0)</f>
        <v>0</v>
      </c>
      <c r="BJ170" s="16" t="s">
        <v>8</v>
      </c>
      <c r="BK170" s="231">
        <f>ROUND(I170*H170,0)</f>
        <v>0</v>
      </c>
      <c r="BL170" s="16" t="s">
        <v>163</v>
      </c>
      <c r="BM170" s="230" t="s">
        <v>2750</v>
      </c>
    </row>
    <row r="171" s="13" customFormat="1">
      <c r="A171" s="13"/>
      <c r="B171" s="232"/>
      <c r="C171" s="233"/>
      <c r="D171" s="234" t="s">
        <v>165</v>
      </c>
      <c r="E171" s="235" t="s">
        <v>1</v>
      </c>
      <c r="F171" s="236" t="s">
        <v>2751</v>
      </c>
      <c r="G171" s="233"/>
      <c r="H171" s="237">
        <v>382.80000000000001</v>
      </c>
      <c r="I171" s="238"/>
      <c r="J171" s="233"/>
      <c r="K171" s="233"/>
      <c r="L171" s="239"/>
      <c r="M171" s="240"/>
      <c r="N171" s="241"/>
      <c r="O171" s="241"/>
      <c r="P171" s="241"/>
      <c r="Q171" s="241"/>
      <c r="R171" s="241"/>
      <c r="S171" s="241"/>
      <c r="T171" s="242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T171" s="243" t="s">
        <v>165</v>
      </c>
      <c r="AU171" s="243" t="s">
        <v>86</v>
      </c>
      <c r="AV171" s="13" t="s">
        <v>86</v>
      </c>
      <c r="AW171" s="13" t="s">
        <v>32</v>
      </c>
      <c r="AX171" s="13" t="s">
        <v>77</v>
      </c>
      <c r="AY171" s="243" t="s">
        <v>157</v>
      </c>
    </row>
    <row r="172" s="2" customFormat="1" ht="16.5" customHeight="1">
      <c r="A172" s="37"/>
      <c r="B172" s="38"/>
      <c r="C172" s="218" t="s">
        <v>7</v>
      </c>
      <c r="D172" s="218" t="s">
        <v>159</v>
      </c>
      <c r="E172" s="219" t="s">
        <v>2136</v>
      </c>
      <c r="F172" s="220" t="s">
        <v>2137</v>
      </c>
      <c r="G172" s="221" t="s">
        <v>209</v>
      </c>
      <c r="H172" s="222">
        <v>370</v>
      </c>
      <c r="I172" s="223"/>
      <c r="J172" s="224">
        <f>ROUND(I172*H172,0)</f>
        <v>0</v>
      </c>
      <c r="K172" s="225"/>
      <c r="L172" s="43"/>
      <c r="M172" s="226" t="s">
        <v>1</v>
      </c>
      <c r="N172" s="227" t="s">
        <v>42</v>
      </c>
      <c r="O172" s="90"/>
      <c r="P172" s="228">
        <f>O172*H172</f>
        <v>0</v>
      </c>
      <c r="Q172" s="228">
        <v>1.0000000000000001E-05</v>
      </c>
      <c r="R172" s="228">
        <f>Q172*H172</f>
        <v>0.0037000000000000002</v>
      </c>
      <c r="S172" s="228">
        <v>0</v>
      </c>
      <c r="T172" s="229">
        <f>S172*H172</f>
        <v>0</v>
      </c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R172" s="230" t="s">
        <v>246</v>
      </c>
      <c r="AT172" s="230" t="s">
        <v>159</v>
      </c>
      <c r="AU172" s="230" t="s">
        <v>86</v>
      </c>
      <c r="AY172" s="16" t="s">
        <v>157</v>
      </c>
      <c r="BE172" s="231">
        <f>IF(N172="základní",J172,0)</f>
        <v>0</v>
      </c>
      <c r="BF172" s="231">
        <f>IF(N172="snížená",J172,0)</f>
        <v>0</v>
      </c>
      <c r="BG172" s="231">
        <f>IF(N172="zákl. přenesená",J172,0)</f>
        <v>0</v>
      </c>
      <c r="BH172" s="231">
        <f>IF(N172="sníž. přenesená",J172,0)</f>
        <v>0</v>
      </c>
      <c r="BI172" s="231">
        <f>IF(N172="nulová",J172,0)</f>
        <v>0</v>
      </c>
      <c r="BJ172" s="16" t="s">
        <v>8</v>
      </c>
      <c r="BK172" s="231">
        <f>ROUND(I172*H172,0)</f>
        <v>0</v>
      </c>
      <c r="BL172" s="16" t="s">
        <v>246</v>
      </c>
      <c r="BM172" s="230" t="s">
        <v>2752</v>
      </c>
    </row>
    <row r="173" s="13" customFormat="1">
      <c r="A173" s="13"/>
      <c r="B173" s="232"/>
      <c r="C173" s="233"/>
      <c r="D173" s="234" t="s">
        <v>165</v>
      </c>
      <c r="E173" s="235" t="s">
        <v>1</v>
      </c>
      <c r="F173" s="236" t="s">
        <v>2753</v>
      </c>
      <c r="G173" s="233"/>
      <c r="H173" s="237">
        <v>370</v>
      </c>
      <c r="I173" s="238"/>
      <c r="J173" s="233"/>
      <c r="K173" s="233"/>
      <c r="L173" s="239"/>
      <c r="M173" s="240"/>
      <c r="N173" s="241"/>
      <c r="O173" s="241"/>
      <c r="P173" s="241"/>
      <c r="Q173" s="241"/>
      <c r="R173" s="241"/>
      <c r="S173" s="241"/>
      <c r="T173" s="24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T173" s="243" t="s">
        <v>165</v>
      </c>
      <c r="AU173" s="243" t="s">
        <v>86</v>
      </c>
      <c r="AV173" s="13" t="s">
        <v>86</v>
      </c>
      <c r="AW173" s="13" t="s">
        <v>32</v>
      </c>
      <c r="AX173" s="13" t="s">
        <v>77</v>
      </c>
      <c r="AY173" s="243" t="s">
        <v>157</v>
      </c>
    </row>
    <row r="174" s="2" customFormat="1" ht="16.5" customHeight="1">
      <c r="A174" s="37"/>
      <c r="B174" s="38"/>
      <c r="C174" s="254" t="s">
        <v>278</v>
      </c>
      <c r="D174" s="254" t="s">
        <v>229</v>
      </c>
      <c r="E174" s="255" t="s">
        <v>2140</v>
      </c>
      <c r="F174" s="256" t="s">
        <v>2141</v>
      </c>
      <c r="G174" s="257" t="s">
        <v>209</v>
      </c>
      <c r="H174" s="258">
        <v>444</v>
      </c>
      <c r="I174" s="259"/>
      <c r="J174" s="260">
        <f>ROUND(I174*H174,0)</f>
        <v>0</v>
      </c>
      <c r="K174" s="261"/>
      <c r="L174" s="262"/>
      <c r="M174" s="263" t="s">
        <v>1</v>
      </c>
      <c r="N174" s="264" t="s">
        <v>42</v>
      </c>
      <c r="O174" s="90"/>
      <c r="P174" s="228">
        <f>O174*H174</f>
        <v>0</v>
      </c>
      <c r="Q174" s="228">
        <v>0.0091000000000000004</v>
      </c>
      <c r="R174" s="228">
        <f>Q174*H174</f>
        <v>4.0404</v>
      </c>
      <c r="S174" s="228">
        <v>0</v>
      </c>
      <c r="T174" s="229">
        <f>S174*H174</f>
        <v>0</v>
      </c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R174" s="230" t="s">
        <v>329</v>
      </c>
      <c r="AT174" s="230" t="s">
        <v>229</v>
      </c>
      <c r="AU174" s="230" t="s">
        <v>86</v>
      </c>
      <c r="AY174" s="16" t="s">
        <v>157</v>
      </c>
      <c r="BE174" s="231">
        <f>IF(N174="základní",J174,0)</f>
        <v>0</v>
      </c>
      <c r="BF174" s="231">
        <f>IF(N174="snížená",J174,0)</f>
        <v>0</v>
      </c>
      <c r="BG174" s="231">
        <f>IF(N174="zákl. přenesená",J174,0)</f>
        <v>0</v>
      </c>
      <c r="BH174" s="231">
        <f>IF(N174="sníž. přenesená",J174,0)</f>
        <v>0</v>
      </c>
      <c r="BI174" s="231">
        <f>IF(N174="nulová",J174,0)</f>
        <v>0</v>
      </c>
      <c r="BJ174" s="16" t="s">
        <v>8</v>
      </c>
      <c r="BK174" s="231">
        <f>ROUND(I174*H174,0)</f>
        <v>0</v>
      </c>
      <c r="BL174" s="16" t="s">
        <v>246</v>
      </c>
      <c r="BM174" s="230" t="s">
        <v>2754</v>
      </c>
    </row>
    <row r="175" s="13" customFormat="1">
      <c r="A175" s="13"/>
      <c r="B175" s="232"/>
      <c r="C175" s="233"/>
      <c r="D175" s="234" t="s">
        <v>165</v>
      </c>
      <c r="E175" s="235" t="s">
        <v>1</v>
      </c>
      <c r="F175" s="236" t="s">
        <v>2755</v>
      </c>
      <c r="G175" s="233"/>
      <c r="H175" s="237">
        <v>370</v>
      </c>
      <c r="I175" s="238"/>
      <c r="J175" s="233"/>
      <c r="K175" s="233"/>
      <c r="L175" s="239"/>
      <c r="M175" s="240"/>
      <c r="N175" s="241"/>
      <c r="O175" s="241"/>
      <c r="P175" s="241"/>
      <c r="Q175" s="241"/>
      <c r="R175" s="241"/>
      <c r="S175" s="241"/>
      <c r="T175" s="24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T175" s="243" t="s">
        <v>165</v>
      </c>
      <c r="AU175" s="243" t="s">
        <v>86</v>
      </c>
      <c r="AV175" s="13" t="s">
        <v>86</v>
      </c>
      <c r="AW175" s="13" t="s">
        <v>32</v>
      </c>
      <c r="AX175" s="13" t="s">
        <v>8</v>
      </c>
      <c r="AY175" s="243" t="s">
        <v>157</v>
      </c>
    </row>
    <row r="176" s="13" customFormat="1">
      <c r="A176" s="13"/>
      <c r="B176" s="232"/>
      <c r="C176" s="233"/>
      <c r="D176" s="234" t="s">
        <v>165</v>
      </c>
      <c r="E176" s="233"/>
      <c r="F176" s="236" t="s">
        <v>2756</v>
      </c>
      <c r="G176" s="233"/>
      <c r="H176" s="237">
        <v>444</v>
      </c>
      <c r="I176" s="238"/>
      <c r="J176" s="233"/>
      <c r="K176" s="233"/>
      <c r="L176" s="239"/>
      <c r="M176" s="240"/>
      <c r="N176" s="241"/>
      <c r="O176" s="241"/>
      <c r="P176" s="241"/>
      <c r="Q176" s="241"/>
      <c r="R176" s="241"/>
      <c r="S176" s="241"/>
      <c r="T176" s="242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T176" s="243" t="s">
        <v>165</v>
      </c>
      <c r="AU176" s="243" t="s">
        <v>86</v>
      </c>
      <c r="AV176" s="13" t="s">
        <v>86</v>
      </c>
      <c r="AW176" s="13" t="s">
        <v>4</v>
      </c>
      <c r="AX176" s="13" t="s">
        <v>8</v>
      </c>
      <c r="AY176" s="243" t="s">
        <v>157</v>
      </c>
    </row>
    <row r="177" s="2" customFormat="1" ht="24.15" customHeight="1">
      <c r="A177" s="37"/>
      <c r="B177" s="38"/>
      <c r="C177" s="218" t="s">
        <v>282</v>
      </c>
      <c r="D177" s="218" t="s">
        <v>159</v>
      </c>
      <c r="E177" s="219" t="s">
        <v>2757</v>
      </c>
      <c r="F177" s="220" t="s">
        <v>2758</v>
      </c>
      <c r="G177" s="221" t="s">
        <v>1407</v>
      </c>
      <c r="H177" s="222">
        <v>12284.635</v>
      </c>
      <c r="I177" s="223"/>
      <c r="J177" s="224">
        <f>ROUND(I177*H177,0)</f>
        <v>0</v>
      </c>
      <c r="K177" s="225"/>
      <c r="L177" s="43"/>
      <c r="M177" s="226" t="s">
        <v>1</v>
      </c>
      <c r="N177" s="227" t="s">
        <v>42</v>
      </c>
      <c r="O177" s="90"/>
      <c r="P177" s="228">
        <f>O177*H177</f>
        <v>0</v>
      </c>
      <c r="Q177" s="228">
        <v>0.001</v>
      </c>
      <c r="R177" s="228">
        <f>Q177*H177</f>
        <v>12.284635</v>
      </c>
      <c r="S177" s="228">
        <v>0</v>
      </c>
      <c r="T177" s="229">
        <f>S177*H177</f>
        <v>0</v>
      </c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R177" s="230" t="s">
        <v>246</v>
      </c>
      <c r="AT177" s="230" t="s">
        <v>159</v>
      </c>
      <c r="AU177" s="230" t="s">
        <v>86</v>
      </c>
      <c r="AY177" s="16" t="s">
        <v>157</v>
      </c>
      <c r="BE177" s="231">
        <f>IF(N177="základní",J177,0)</f>
        <v>0</v>
      </c>
      <c r="BF177" s="231">
        <f>IF(N177="snížená",J177,0)</f>
        <v>0</v>
      </c>
      <c r="BG177" s="231">
        <f>IF(N177="zákl. přenesená",J177,0)</f>
        <v>0</v>
      </c>
      <c r="BH177" s="231">
        <f>IF(N177="sníž. přenesená",J177,0)</f>
        <v>0</v>
      </c>
      <c r="BI177" s="231">
        <f>IF(N177="nulová",J177,0)</f>
        <v>0</v>
      </c>
      <c r="BJ177" s="16" t="s">
        <v>8</v>
      </c>
      <c r="BK177" s="231">
        <f>ROUND(I177*H177,0)</f>
        <v>0</v>
      </c>
      <c r="BL177" s="16" t="s">
        <v>246</v>
      </c>
      <c r="BM177" s="230" t="s">
        <v>2759</v>
      </c>
    </row>
    <row r="178" s="13" customFormat="1">
      <c r="A178" s="13"/>
      <c r="B178" s="232"/>
      <c r="C178" s="233"/>
      <c r="D178" s="234" t="s">
        <v>165</v>
      </c>
      <c r="E178" s="235" t="s">
        <v>1</v>
      </c>
      <c r="F178" s="236" t="s">
        <v>2760</v>
      </c>
      <c r="G178" s="233"/>
      <c r="H178" s="237">
        <v>12284.635</v>
      </c>
      <c r="I178" s="238"/>
      <c r="J178" s="233"/>
      <c r="K178" s="233"/>
      <c r="L178" s="239"/>
      <c r="M178" s="240"/>
      <c r="N178" s="241"/>
      <c r="O178" s="241"/>
      <c r="P178" s="241"/>
      <c r="Q178" s="241"/>
      <c r="R178" s="241"/>
      <c r="S178" s="241"/>
      <c r="T178" s="24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T178" s="243" t="s">
        <v>165</v>
      </c>
      <c r="AU178" s="243" t="s">
        <v>86</v>
      </c>
      <c r="AV178" s="13" t="s">
        <v>86</v>
      </c>
      <c r="AW178" s="13" t="s">
        <v>32</v>
      </c>
      <c r="AX178" s="13" t="s">
        <v>77</v>
      </c>
      <c r="AY178" s="243" t="s">
        <v>157</v>
      </c>
    </row>
    <row r="179" s="2" customFormat="1" ht="24.15" customHeight="1">
      <c r="A179" s="37"/>
      <c r="B179" s="38"/>
      <c r="C179" s="218" t="s">
        <v>288</v>
      </c>
      <c r="D179" s="218" t="s">
        <v>159</v>
      </c>
      <c r="E179" s="219" t="s">
        <v>2148</v>
      </c>
      <c r="F179" s="220" t="s">
        <v>2149</v>
      </c>
      <c r="G179" s="221" t="s">
        <v>193</v>
      </c>
      <c r="H179" s="222">
        <v>16.367000000000001</v>
      </c>
      <c r="I179" s="223"/>
      <c r="J179" s="224">
        <f>ROUND(I179*H179,0)</f>
        <v>0</v>
      </c>
      <c r="K179" s="225"/>
      <c r="L179" s="43"/>
      <c r="M179" s="266" t="s">
        <v>1</v>
      </c>
      <c r="N179" s="267" t="s">
        <v>42</v>
      </c>
      <c r="O179" s="268"/>
      <c r="P179" s="269">
        <f>O179*H179</f>
        <v>0</v>
      </c>
      <c r="Q179" s="269">
        <v>0</v>
      </c>
      <c r="R179" s="269">
        <f>Q179*H179</f>
        <v>0</v>
      </c>
      <c r="S179" s="269">
        <v>0</v>
      </c>
      <c r="T179" s="270">
        <f>S179*H179</f>
        <v>0</v>
      </c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R179" s="230" t="s">
        <v>246</v>
      </c>
      <c r="AT179" s="230" t="s">
        <v>159</v>
      </c>
      <c r="AU179" s="230" t="s">
        <v>86</v>
      </c>
      <c r="AY179" s="16" t="s">
        <v>157</v>
      </c>
      <c r="BE179" s="231">
        <f>IF(N179="základní",J179,0)</f>
        <v>0</v>
      </c>
      <c r="BF179" s="231">
        <f>IF(N179="snížená",J179,0)</f>
        <v>0</v>
      </c>
      <c r="BG179" s="231">
        <f>IF(N179="zákl. přenesená",J179,0)</f>
        <v>0</v>
      </c>
      <c r="BH179" s="231">
        <f>IF(N179="sníž. přenesená",J179,0)</f>
        <v>0</v>
      </c>
      <c r="BI179" s="231">
        <f>IF(N179="nulová",J179,0)</f>
        <v>0</v>
      </c>
      <c r="BJ179" s="16" t="s">
        <v>8</v>
      </c>
      <c r="BK179" s="231">
        <f>ROUND(I179*H179,0)</f>
        <v>0</v>
      </c>
      <c r="BL179" s="16" t="s">
        <v>246</v>
      </c>
      <c r="BM179" s="230" t="s">
        <v>2761</v>
      </c>
    </row>
    <row r="180" s="2" customFormat="1" ht="6.96" customHeight="1">
      <c r="A180" s="37"/>
      <c r="B180" s="65"/>
      <c r="C180" s="66"/>
      <c r="D180" s="66"/>
      <c r="E180" s="66"/>
      <c r="F180" s="66"/>
      <c r="G180" s="66"/>
      <c r="H180" s="66"/>
      <c r="I180" s="66"/>
      <c r="J180" s="66"/>
      <c r="K180" s="66"/>
      <c r="L180" s="43"/>
      <c r="M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</row>
  </sheetData>
  <sheetProtection sheet="1" autoFilter="0" formatColumns="0" formatRows="0" objects="1" scenarios="1" spinCount="100000" saltValue="IGpzI66JR9VPEcHX9fe5WRJJ7wuoA5ki01hvFLCnI4goe9ulCB/I6+W4vTqzhhjN5oWJ4MYKSYnmJ6+OiEkehA==" hashValue="qvLNHwDoqY0js/60NJDQKr9GFdAY+KTdFei57m/poncUKHmgQVxOI63quBPkiuAcyBRvXXv3Bnx2zcjnMzKwzQ==" algorithmName="SHA-512" password="F695"/>
  <autoFilter ref="C123:K179"/>
  <mergeCells count="9">
    <mergeCell ref="E7:H7"/>
    <mergeCell ref="E9:H9"/>
    <mergeCell ref="E18:H18"/>
    <mergeCell ref="E27:H27"/>
    <mergeCell ref="E85:H85"/>
    <mergeCell ref="E87:H87"/>
    <mergeCell ref="E114:H114"/>
    <mergeCell ref="E116:H116"/>
    <mergeCell ref="L2:V2"/>
  </mergeCell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50.83203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hidden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6" t="s">
        <v>104</v>
      </c>
    </row>
    <row r="3" s="1" customFormat="1" ht="6.96" customHeight="1">
      <c r="B3" s="135"/>
      <c r="C3" s="136"/>
      <c r="D3" s="136"/>
      <c r="E3" s="136"/>
      <c r="F3" s="136"/>
      <c r="G3" s="136"/>
      <c r="H3" s="136"/>
      <c r="I3" s="136"/>
      <c r="J3" s="136"/>
      <c r="K3" s="136"/>
      <c r="L3" s="19"/>
      <c r="AT3" s="16" t="s">
        <v>86</v>
      </c>
    </row>
    <row r="4" s="1" customFormat="1" ht="24.96" customHeight="1">
      <c r="B4" s="19"/>
      <c r="D4" s="137" t="s">
        <v>108</v>
      </c>
      <c r="L4" s="19"/>
      <c r="M4" s="138" t="s">
        <v>11</v>
      </c>
      <c r="AT4" s="16" t="s">
        <v>4</v>
      </c>
    </row>
    <row r="5" s="1" customFormat="1" ht="6.96" customHeight="1">
      <c r="B5" s="19"/>
      <c r="L5" s="19"/>
    </row>
    <row r="6" s="1" customFormat="1" ht="12" customHeight="1">
      <c r="B6" s="19"/>
      <c r="D6" s="139" t="s">
        <v>17</v>
      </c>
      <c r="L6" s="19"/>
    </row>
    <row r="7" s="1" customFormat="1" ht="16.5" customHeight="1">
      <c r="B7" s="19"/>
      <c r="E7" s="140" t="str">
        <f>'Rekapitulace stavby'!K6</f>
        <v>Areál společnosti FORESTINA s.r.o. Horažďovice, Blatenská 587</v>
      </c>
      <c r="F7" s="139"/>
      <c r="G7" s="139"/>
      <c r="H7" s="139"/>
      <c r="L7" s="19"/>
    </row>
    <row r="8" s="2" customFormat="1" ht="12" customHeight="1">
      <c r="A8" s="37"/>
      <c r="B8" s="43"/>
      <c r="C8" s="37"/>
      <c r="D8" s="139" t="s">
        <v>109</v>
      </c>
      <c r="E8" s="37"/>
      <c r="F8" s="37"/>
      <c r="G8" s="37"/>
      <c r="H8" s="37"/>
      <c r="I8" s="37"/>
      <c r="J8" s="37"/>
      <c r="K8" s="37"/>
      <c r="L8" s="62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</row>
    <row r="9" s="2" customFormat="1" ht="16.5" customHeight="1">
      <c r="A9" s="37"/>
      <c r="B9" s="43"/>
      <c r="C9" s="37"/>
      <c r="D9" s="37"/>
      <c r="E9" s="141" t="s">
        <v>2762</v>
      </c>
      <c r="F9" s="37"/>
      <c r="G9" s="37"/>
      <c r="H9" s="37"/>
      <c r="I9" s="37"/>
      <c r="J9" s="37"/>
      <c r="K9" s="37"/>
      <c r="L9" s="62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</row>
    <row r="10" s="2" customFormat="1">
      <c r="A10" s="37"/>
      <c r="B10" s="43"/>
      <c r="C10" s="37"/>
      <c r="D10" s="37"/>
      <c r="E10" s="37"/>
      <c r="F10" s="37"/>
      <c r="G10" s="37"/>
      <c r="H10" s="37"/>
      <c r="I10" s="37"/>
      <c r="J10" s="37"/>
      <c r="K10" s="37"/>
      <c r="L10" s="62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</row>
    <row r="11" s="2" customFormat="1" ht="12" customHeight="1">
      <c r="A11" s="37"/>
      <c r="B11" s="43"/>
      <c r="C11" s="37"/>
      <c r="D11" s="139" t="s">
        <v>19</v>
      </c>
      <c r="E11" s="37"/>
      <c r="F11" s="142" t="s">
        <v>1</v>
      </c>
      <c r="G11" s="37"/>
      <c r="H11" s="37"/>
      <c r="I11" s="139" t="s">
        <v>20</v>
      </c>
      <c r="J11" s="142" t="s">
        <v>1</v>
      </c>
      <c r="K11" s="37"/>
      <c r="L11" s="62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</row>
    <row r="12" s="2" customFormat="1" ht="12" customHeight="1">
      <c r="A12" s="37"/>
      <c r="B12" s="43"/>
      <c r="C12" s="37"/>
      <c r="D12" s="139" t="s">
        <v>21</v>
      </c>
      <c r="E12" s="37"/>
      <c r="F12" s="142" t="s">
        <v>22</v>
      </c>
      <c r="G12" s="37"/>
      <c r="H12" s="37"/>
      <c r="I12" s="139" t="s">
        <v>23</v>
      </c>
      <c r="J12" s="143" t="str">
        <f>'Rekapitulace stavby'!AN8</f>
        <v>26. 11. 2025</v>
      </c>
      <c r="K12" s="37"/>
      <c r="L12" s="62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</row>
    <row r="13" s="2" customFormat="1" ht="10.8" customHeight="1">
      <c r="A13" s="37"/>
      <c r="B13" s="43"/>
      <c r="C13" s="37"/>
      <c r="D13" s="37"/>
      <c r="E13" s="37"/>
      <c r="F13" s="37"/>
      <c r="G13" s="37"/>
      <c r="H13" s="37"/>
      <c r="I13" s="37"/>
      <c r="J13" s="37"/>
      <c r="K13" s="37"/>
      <c r="L13" s="62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</row>
    <row r="14" s="2" customFormat="1" ht="12" customHeight="1">
      <c r="A14" s="37"/>
      <c r="B14" s="43"/>
      <c r="C14" s="37"/>
      <c r="D14" s="139" t="s">
        <v>25</v>
      </c>
      <c r="E14" s="37"/>
      <c r="F14" s="37"/>
      <c r="G14" s="37"/>
      <c r="H14" s="37"/>
      <c r="I14" s="139" t="s">
        <v>26</v>
      </c>
      <c r="J14" s="142" t="s">
        <v>1</v>
      </c>
      <c r="K14" s="37"/>
      <c r="L14" s="62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</row>
    <row r="15" s="2" customFormat="1" ht="18" customHeight="1">
      <c r="A15" s="37"/>
      <c r="B15" s="43"/>
      <c r="C15" s="37"/>
      <c r="D15" s="37"/>
      <c r="E15" s="142" t="s">
        <v>27</v>
      </c>
      <c r="F15" s="37"/>
      <c r="G15" s="37"/>
      <c r="H15" s="37"/>
      <c r="I15" s="139" t="s">
        <v>28</v>
      </c>
      <c r="J15" s="142" t="s">
        <v>1</v>
      </c>
      <c r="K15" s="37"/>
      <c r="L15" s="62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</row>
    <row r="16" s="2" customFormat="1" ht="6.96" customHeight="1">
      <c r="A16" s="37"/>
      <c r="B16" s="43"/>
      <c r="C16" s="37"/>
      <c r="D16" s="37"/>
      <c r="E16" s="37"/>
      <c r="F16" s="37"/>
      <c r="G16" s="37"/>
      <c r="H16" s="37"/>
      <c r="I16" s="37"/>
      <c r="J16" s="37"/>
      <c r="K16" s="37"/>
      <c r="L16" s="62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</row>
    <row r="17" s="2" customFormat="1" ht="12" customHeight="1">
      <c r="A17" s="37"/>
      <c r="B17" s="43"/>
      <c r="C17" s="37"/>
      <c r="D17" s="139" t="s">
        <v>29</v>
      </c>
      <c r="E17" s="37"/>
      <c r="F17" s="37"/>
      <c r="G17" s="37"/>
      <c r="H17" s="37"/>
      <c r="I17" s="139" t="s">
        <v>26</v>
      </c>
      <c r="J17" s="32" t="str">
        <f>'Rekapitulace stavby'!AN13</f>
        <v>Vyplň údaj</v>
      </c>
      <c r="K17" s="37"/>
      <c r="L17" s="62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</row>
    <row r="18" s="2" customFormat="1" ht="18" customHeight="1">
      <c r="A18" s="37"/>
      <c r="B18" s="43"/>
      <c r="C18" s="37"/>
      <c r="D18" s="37"/>
      <c r="E18" s="32" t="str">
        <f>'Rekapitulace stavby'!E14</f>
        <v>Vyplň údaj</v>
      </c>
      <c r="F18" s="142"/>
      <c r="G18" s="142"/>
      <c r="H18" s="142"/>
      <c r="I18" s="139" t="s">
        <v>28</v>
      </c>
      <c r="J18" s="32" t="str">
        <f>'Rekapitulace stavby'!AN14</f>
        <v>Vyplň údaj</v>
      </c>
      <c r="K18" s="37"/>
      <c r="L18" s="62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</row>
    <row r="19" s="2" customFormat="1" ht="6.96" customHeight="1">
      <c r="A19" s="37"/>
      <c r="B19" s="43"/>
      <c r="C19" s="37"/>
      <c r="D19" s="37"/>
      <c r="E19" s="37"/>
      <c r="F19" s="37"/>
      <c r="G19" s="37"/>
      <c r="H19" s="37"/>
      <c r="I19" s="37"/>
      <c r="J19" s="37"/>
      <c r="K19" s="37"/>
      <c r="L19" s="62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</row>
    <row r="20" s="2" customFormat="1" ht="12" customHeight="1">
      <c r="A20" s="37"/>
      <c r="B20" s="43"/>
      <c r="C20" s="37"/>
      <c r="D20" s="139" t="s">
        <v>31</v>
      </c>
      <c r="E20" s="37"/>
      <c r="F20" s="37"/>
      <c r="G20" s="37"/>
      <c r="H20" s="37"/>
      <c r="I20" s="139" t="s">
        <v>26</v>
      </c>
      <c r="J20" s="142" t="s">
        <v>1</v>
      </c>
      <c r="K20" s="37"/>
      <c r="L20" s="62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</row>
    <row r="21" s="2" customFormat="1" ht="18" customHeight="1">
      <c r="A21" s="37"/>
      <c r="B21" s="43"/>
      <c r="C21" s="37"/>
      <c r="D21" s="37"/>
      <c r="E21" s="142" t="s">
        <v>33</v>
      </c>
      <c r="F21" s="37"/>
      <c r="G21" s="37"/>
      <c r="H21" s="37"/>
      <c r="I21" s="139" t="s">
        <v>28</v>
      </c>
      <c r="J21" s="142" t="s">
        <v>1</v>
      </c>
      <c r="K21" s="37"/>
      <c r="L21" s="62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</row>
    <row r="22" s="2" customFormat="1" ht="6.96" customHeight="1">
      <c r="A22" s="37"/>
      <c r="B22" s="43"/>
      <c r="C22" s="37"/>
      <c r="D22" s="37"/>
      <c r="E22" s="37"/>
      <c r="F22" s="37"/>
      <c r="G22" s="37"/>
      <c r="H22" s="37"/>
      <c r="I22" s="37"/>
      <c r="J22" s="37"/>
      <c r="K22" s="37"/>
      <c r="L22" s="62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</row>
    <row r="23" s="2" customFormat="1" ht="12" customHeight="1">
      <c r="A23" s="37"/>
      <c r="B23" s="43"/>
      <c r="C23" s="37"/>
      <c r="D23" s="139" t="s">
        <v>34</v>
      </c>
      <c r="E23" s="37"/>
      <c r="F23" s="37"/>
      <c r="G23" s="37"/>
      <c r="H23" s="37"/>
      <c r="I23" s="139" t="s">
        <v>26</v>
      </c>
      <c r="J23" s="142" t="s">
        <v>1</v>
      </c>
      <c r="K23" s="37"/>
      <c r="L23" s="62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</row>
    <row r="24" s="2" customFormat="1" ht="18" customHeight="1">
      <c r="A24" s="37"/>
      <c r="B24" s="43"/>
      <c r="C24" s="37"/>
      <c r="D24" s="37"/>
      <c r="E24" s="142" t="s">
        <v>35</v>
      </c>
      <c r="F24" s="37"/>
      <c r="G24" s="37"/>
      <c r="H24" s="37"/>
      <c r="I24" s="139" t="s">
        <v>28</v>
      </c>
      <c r="J24" s="142" t="s">
        <v>1</v>
      </c>
      <c r="K24" s="37"/>
      <c r="L24" s="62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</row>
    <row r="25" s="2" customFormat="1" ht="6.96" customHeight="1">
      <c r="A25" s="37"/>
      <c r="B25" s="43"/>
      <c r="C25" s="37"/>
      <c r="D25" s="37"/>
      <c r="E25" s="37"/>
      <c r="F25" s="37"/>
      <c r="G25" s="37"/>
      <c r="H25" s="37"/>
      <c r="I25" s="37"/>
      <c r="J25" s="37"/>
      <c r="K25" s="37"/>
      <c r="L25" s="62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</row>
    <row r="26" s="2" customFormat="1" ht="12" customHeight="1">
      <c r="A26" s="37"/>
      <c r="B26" s="43"/>
      <c r="C26" s="37"/>
      <c r="D26" s="139" t="s">
        <v>36</v>
      </c>
      <c r="E26" s="37"/>
      <c r="F26" s="37"/>
      <c r="G26" s="37"/>
      <c r="H26" s="37"/>
      <c r="I26" s="37"/>
      <c r="J26" s="37"/>
      <c r="K26" s="37"/>
      <c r="L26" s="62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</row>
    <row r="27" s="8" customFormat="1" ht="16.5" customHeight="1">
      <c r="A27" s="144"/>
      <c r="B27" s="145"/>
      <c r="C27" s="144"/>
      <c r="D27" s="144"/>
      <c r="E27" s="146" t="s">
        <v>1</v>
      </c>
      <c r="F27" s="146"/>
      <c r="G27" s="146"/>
      <c r="H27" s="146"/>
      <c r="I27" s="144"/>
      <c r="J27" s="144"/>
      <c r="K27" s="144"/>
      <c r="L27" s="147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</row>
    <row r="28" s="2" customFormat="1" ht="6.96" customHeight="1">
      <c r="A28" s="37"/>
      <c r="B28" s="43"/>
      <c r="C28" s="37"/>
      <c r="D28" s="37"/>
      <c r="E28" s="37"/>
      <c r="F28" s="37"/>
      <c r="G28" s="37"/>
      <c r="H28" s="37"/>
      <c r="I28" s="37"/>
      <c r="J28" s="37"/>
      <c r="K28" s="37"/>
      <c r="L28" s="62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</row>
    <row r="29" s="2" customFormat="1" ht="6.96" customHeight="1">
      <c r="A29" s="37"/>
      <c r="B29" s="43"/>
      <c r="C29" s="37"/>
      <c r="D29" s="148"/>
      <c r="E29" s="148"/>
      <c r="F29" s="148"/>
      <c r="G29" s="148"/>
      <c r="H29" s="148"/>
      <c r="I29" s="148"/>
      <c r="J29" s="148"/>
      <c r="K29" s="148"/>
      <c r="L29" s="62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</row>
    <row r="30" s="2" customFormat="1" ht="25.44" customHeight="1">
      <c r="A30" s="37"/>
      <c r="B30" s="43"/>
      <c r="C30" s="37"/>
      <c r="D30" s="149" t="s">
        <v>37</v>
      </c>
      <c r="E30" s="37"/>
      <c r="F30" s="37"/>
      <c r="G30" s="37"/>
      <c r="H30" s="37"/>
      <c r="I30" s="37"/>
      <c r="J30" s="150">
        <f>ROUND(J118, 0)</f>
        <v>0</v>
      </c>
      <c r="K30" s="37"/>
      <c r="L30" s="62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</row>
    <row r="31" s="2" customFormat="1" ht="6.96" customHeight="1">
      <c r="A31" s="37"/>
      <c r="B31" s="43"/>
      <c r="C31" s="37"/>
      <c r="D31" s="148"/>
      <c r="E31" s="148"/>
      <c r="F31" s="148"/>
      <c r="G31" s="148"/>
      <c r="H31" s="148"/>
      <c r="I31" s="148"/>
      <c r="J31" s="148"/>
      <c r="K31" s="148"/>
      <c r="L31" s="62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</row>
    <row r="32" s="2" customFormat="1" ht="14.4" customHeight="1">
      <c r="A32" s="37"/>
      <c r="B32" s="43"/>
      <c r="C32" s="37"/>
      <c r="D32" s="37"/>
      <c r="E32" s="37"/>
      <c r="F32" s="151" t="s">
        <v>39</v>
      </c>
      <c r="G32" s="37"/>
      <c r="H32" s="37"/>
      <c r="I32" s="151" t="s">
        <v>38</v>
      </c>
      <c r="J32" s="151" t="s">
        <v>40</v>
      </c>
      <c r="K32" s="37"/>
      <c r="L32" s="62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</row>
    <row r="33" s="2" customFormat="1" ht="14.4" customHeight="1">
      <c r="A33" s="37"/>
      <c r="B33" s="43"/>
      <c r="C33" s="37"/>
      <c r="D33" s="152" t="s">
        <v>41</v>
      </c>
      <c r="E33" s="139" t="s">
        <v>42</v>
      </c>
      <c r="F33" s="153">
        <f>ROUND((SUM(BE118:BE126)),  0)</f>
        <v>0</v>
      </c>
      <c r="G33" s="37"/>
      <c r="H33" s="37"/>
      <c r="I33" s="154">
        <v>0.20999999999999999</v>
      </c>
      <c r="J33" s="153">
        <f>ROUND(((SUM(BE118:BE126))*I33),  0)</f>
        <v>0</v>
      </c>
      <c r="K33" s="37"/>
      <c r="L33" s="62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</row>
    <row r="34" s="2" customFormat="1" ht="14.4" customHeight="1">
      <c r="A34" s="37"/>
      <c r="B34" s="43"/>
      <c r="C34" s="37"/>
      <c r="D34" s="37"/>
      <c r="E34" s="139" t="s">
        <v>43</v>
      </c>
      <c r="F34" s="153">
        <f>ROUND((SUM(BF118:BF126)),  0)</f>
        <v>0</v>
      </c>
      <c r="G34" s="37"/>
      <c r="H34" s="37"/>
      <c r="I34" s="154">
        <v>0.12</v>
      </c>
      <c r="J34" s="153">
        <f>ROUND(((SUM(BF118:BF126))*I34),  0)</f>
        <v>0</v>
      </c>
      <c r="K34" s="37"/>
      <c r="L34" s="62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</row>
    <row r="35" hidden="1" s="2" customFormat="1" ht="14.4" customHeight="1">
      <c r="A35" s="37"/>
      <c r="B35" s="43"/>
      <c r="C35" s="37"/>
      <c r="D35" s="37"/>
      <c r="E35" s="139" t="s">
        <v>44</v>
      </c>
      <c r="F35" s="153">
        <f>ROUND((SUM(BG118:BG126)),  0)</f>
        <v>0</v>
      </c>
      <c r="G35" s="37"/>
      <c r="H35" s="37"/>
      <c r="I35" s="154">
        <v>0.20999999999999999</v>
      </c>
      <c r="J35" s="153">
        <f>0</f>
        <v>0</v>
      </c>
      <c r="K35" s="37"/>
      <c r="L35" s="62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</row>
    <row r="36" hidden="1" s="2" customFormat="1" ht="14.4" customHeight="1">
      <c r="A36" s="37"/>
      <c r="B36" s="43"/>
      <c r="C36" s="37"/>
      <c r="D36" s="37"/>
      <c r="E36" s="139" t="s">
        <v>45</v>
      </c>
      <c r="F36" s="153">
        <f>ROUND((SUM(BH118:BH126)),  0)</f>
        <v>0</v>
      </c>
      <c r="G36" s="37"/>
      <c r="H36" s="37"/>
      <c r="I36" s="154">
        <v>0.12</v>
      </c>
      <c r="J36" s="153">
        <f>0</f>
        <v>0</v>
      </c>
      <c r="K36" s="37"/>
      <c r="L36" s="62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</row>
    <row r="37" hidden="1" s="2" customFormat="1" ht="14.4" customHeight="1">
      <c r="A37" s="37"/>
      <c r="B37" s="43"/>
      <c r="C37" s="37"/>
      <c r="D37" s="37"/>
      <c r="E37" s="139" t="s">
        <v>46</v>
      </c>
      <c r="F37" s="153">
        <f>ROUND((SUM(BI118:BI126)),  0)</f>
        <v>0</v>
      </c>
      <c r="G37" s="37"/>
      <c r="H37" s="37"/>
      <c r="I37" s="154">
        <v>0</v>
      </c>
      <c r="J37" s="153">
        <f>0</f>
        <v>0</v>
      </c>
      <c r="K37" s="37"/>
      <c r="L37" s="62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</row>
    <row r="38" s="2" customFormat="1" ht="6.96" customHeight="1">
      <c r="A38" s="37"/>
      <c r="B38" s="43"/>
      <c r="C38" s="37"/>
      <c r="D38" s="37"/>
      <c r="E38" s="37"/>
      <c r="F38" s="37"/>
      <c r="G38" s="37"/>
      <c r="H38" s="37"/>
      <c r="I38" s="37"/>
      <c r="J38" s="37"/>
      <c r="K38" s="37"/>
      <c r="L38" s="62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</row>
    <row r="39" s="2" customFormat="1" ht="25.44" customHeight="1">
      <c r="A39" s="37"/>
      <c r="B39" s="43"/>
      <c r="C39" s="155"/>
      <c r="D39" s="156" t="s">
        <v>47</v>
      </c>
      <c r="E39" s="157"/>
      <c r="F39" s="157"/>
      <c r="G39" s="158" t="s">
        <v>48</v>
      </c>
      <c r="H39" s="159" t="s">
        <v>49</v>
      </c>
      <c r="I39" s="157"/>
      <c r="J39" s="160">
        <f>SUM(J30:J37)</f>
        <v>0</v>
      </c>
      <c r="K39" s="161"/>
      <c r="L39" s="62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</row>
    <row r="40" s="2" customFormat="1" ht="14.4" customHeight="1">
      <c r="A40" s="37"/>
      <c r="B40" s="43"/>
      <c r="C40" s="37"/>
      <c r="D40" s="37"/>
      <c r="E40" s="37"/>
      <c r="F40" s="37"/>
      <c r="G40" s="37"/>
      <c r="H40" s="37"/>
      <c r="I40" s="37"/>
      <c r="J40" s="37"/>
      <c r="K40" s="37"/>
      <c r="L40" s="62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</row>
    <row r="41" s="1" customFormat="1" ht="14.4" customHeight="1">
      <c r="B41" s="19"/>
      <c r="L41" s="19"/>
    </row>
    <row r="42" s="1" customFormat="1" ht="14.4" customHeight="1">
      <c r="B42" s="19"/>
      <c r="L42" s="19"/>
    </row>
    <row r="43" s="1" customFormat="1" ht="14.4" customHeight="1">
      <c r="B43" s="19"/>
      <c r="L43" s="19"/>
    </row>
    <row r="44" s="1" customFormat="1" ht="14.4" customHeight="1">
      <c r="B44" s="19"/>
      <c r="L44" s="19"/>
    </row>
    <row r="45" s="1" customFormat="1" ht="14.4" customHeight="1">
      <c r="B45" s="19"/>
      <c r="L45" s="19"/>
    </row>
    <row r="46" s="1" customFormat="1" ht="14.4" customHeight="1">
      <c r="B46" s="19"/>
      <c r="L46" s="19"/>
    </row>
    <row r="47" s="1" customFormat="1" ht="14.4" customHeight="1">
      <c r="B47" s="19"/>
      <c r="L47" s="19"/>
    </row>
    <row r="48" s="1" customFormat="1" ht="14.4" customHeight="1">
      <c r="B48" s="19"/>
      <c r="L48" s="19"/>
    </row>
    <row r="49" s="1" customFormat="1" ht="14.4" customHeight="1">
      <c r="B49" s="19"/>
      <c r="L49" s="19"/>
    </row>
    <row r="50" s="2" customFormat="1" ht="14.4" customHeight="1">
      <c r="B50" s="62"/>
      <c r="D50" s="162" t="s">
        <v>50</v>
      </c>
      <c r="E50" s="163"/>
      <c r="F50" s="163"/>
      <c r="G50" s="162" t="s">
        <v>51</v>
      </c>
      <c r="H50" s="163"/>
      <c r="I50" s="163"/>
      <c r="J50" s="163"/>
      <c r="K50" s="163"/>
      <c r="L50" s="62"/>
    </row>
    <row r="51">
      <c r="B51" s="19"/>
      <c r="L51" s="19"/>
    </row>
    <row r="52">
      <c r="B52" s="19"/>
      <c r="L52" s="19"/>
    </row>
    <row r="53">
      <c r="B53" s="19"/>
      <c r="L53" s="19"/>
    </row>
    <row r="54">
      <c r="B54" s="19"/>
      <c r="L54" s="19"/>
    </row>
    <row r="55">
      <c r="B55" s="19"/>
      <c r="L55" s="19"/>
    </row>
    <row r="56">
      <c r="B56" s="19"/>
      <c r="L56" s="19"/>
    </row>
    <row r="57">
      <c r="B57" s="19"/>
      <c r="L57" s="19"/>
    </row>
    <row r="58">
      <c r="B58" s="19"/>
      <c r="L58" s="19"/>
    </row>
    <row r="59">
      <c r="B59" s="19"/>
      <c r="L59" s="19"/>
    </row>
    <row r="60">
      <c r="B60" s="19"/>
      <c r="L60" s="19"/>
    </row>
    <row r="61" s="2" customFormat="1">
      <c r="A61" s="37"/>
      <c r="B61" s="43"/>
      <c r="C61" s="37"/>
      <c r="D61" s="164" t="s">
        <v>52</v>
      </c>
      <c r="E61" s="165"/>
      <c r="F61" s="166" t="s">
        <v>53</v>
      </c>
      <c r="G61" s="164" t="s">
        <v>52</v>
      </c>
      <c r="H61" s="165"/>
      <c r="I61" s="165"/>
      <c r="J61" s="167" t="s">
        <v>53</v>
      </c>
      <c r="K61" s="165"/>
      <c r="L61" s="62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</row>
    <row r="62">
      <c r="B62" s="19"/>
      <c r="L62" s="19"/>
    </row>
    <row r="63">
      <c r="B63" s="19"/>
      <c r="L63" s="19"/>
    </row>
    <row r="64">
      <c r="B64" s="19"/>
      <c r="L64" s="19"/>
    </row>
    <row r="65" s="2" customFormat="1">
      <c r="A65" s="37"/>
      <c r="B65" s="43"/>
      <c r="C65" s="37"/>
      <c r="D65" s="162" t="s">
        <v>54</v>
      </c>
      <c r="E65" s="168"/>
      <c r="F65" s="168"/>
      <c r="G65" s="162" t="s">
        <v>55</v>
      </c>
      <c r="H65" s="168"/>
      <c r="I65" s="168"/>
      <c r="J65" s="168"/>
      <c r="K65" s="168"/>
      <c r="L65" s="62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</row>
    <row r="66">
      <c r="B66" s="19"/>
      <c r="L66" s="19"/>
    </row>
    <row r="67">
      <c r="B67" s="19"/>
      <c r="L67" s="19"/>
    </row>
    <row r="68">
      <c r="B68" s="19"/>
      <c r="L68" s="19"/>
    </row>
    <row r="69">
      <c r="B69" s="19"/>
      <c r="L69" s="19"/>
    </row>
    <row r="70">
      <c r="B70" s="19"/>
      <c r="L70" s="19"/>
    </row>
    <row r="71">
      <c r="B71" s="19"/>
      <c r="L71" s="19"/>
    </row>
    <row r="72">
      <c r="B72" s="19"/>
      <c r="L72" s="19"/>
    </row>
    <row r="73">
      <c r="B73" s="19"/>
      <c r="L73" s="19"/>
    </row>
    <row r="74">
      <c r="B74" s="19"/>
      <c r="L74" s="19"/>
    </row>
    <row r="75">
      <c r="B75" s="19"/>
      <c r="L75" s="19"/>
    </row>
    <row r="76" s="2" customFormat="1">
      <c r="A76" s="37"/>
      <c r="B76" s="43"/>
      <c r="C76" s="37"/>
      <c r="D76" s="164" t="s">
        <v>52</v>
      </c>
      <c r="E76" s="165"/>
      <c r="F76" s="166" t="s">
        <v>53</v>
      </c>
      <c r="G76" s="164" t="s">
        <v>52</v>
      </c>
      <c r="H76" s="165"/>
      <c r="I76" s="165"/>
      <c r="J76" s="167" t="s">
        <v>53</v>
      </c>
      <c r="K76" s="165"/>
      <c r="L76" s="62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</row>
    <row r="77" s="2" customFormat="1" ht="14.4" customHeight="1">
      <c r="A77" s="37"/>
      <c r="B77" s="169"/>
      <c r="C77" s="170"/>
      <c r="D77" s="170"/>
      <c r="E77" s="170"/>
      <c r="F77" s="170"/>
      <c r="G77" s="170"/>
      <c r="H77" s="170"/>
      <c r="I77" s="170"/>
      <c r="J77" s="170"/>
      <c r="K77" s="170"/>
      <c r="L77" s="62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</row>
    <row r="81" s="2" customFormat="1" ht="6.96" customHeight="1">
      <c r="A81" s="37"/>
      <c r="B81" s="171"/>
      <c r="C81" s="172"/>
      <c r="D81" s="172"/>
      <c r="E81" s="172"/>
      <c r="F81" s="172"/>
      <c r="G81" s="172"/>
      <c r="H81" s="172"/>
      <c r="I81" s="172"/>
      <c r="J81" s="172"/>
      <c r="K81" s="172"/>
      <c r="L81" s="62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</row>
    <row r="82" s="2" customFormat="1" ht="24.96" customHeight="1">
      <c r="A82" s="37"/>
      <c r="B82" s="38"/>
      <c r="C82" s="22" t="s">
        <v>111</v>
      </c>
      <c r="D82" s="39"/>
      <c r="E82" s="39"/>
      <c r="F82" s="39"/>
      <c r="G82" s="39"/>
      <c r="H82" s="39"/>
      <c r="I82" s="39"/>
      <c r="J82" s="39"/>
      <c r="K82" s="39"/>
      <c r="L82" s="62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</row>
    <row r="83" s="2" customFormat="1" ht="6.96" customHeight="1">
      <c r="A83" s="37"/>
      <c r="B83" s="38"/>
      <c r="C83" s="39"/>
      <c r="D83" s="39"/>
      <c r="E83" s="39"/>
      <c r="F83" s="39"/>
      <c r="G83" s="39"/>
      <c r="H83" s="39"/>
      <c r="I83" s="39"/>
      <c r="J83" s="39"/>
      <c r="K83" s="39"/>
      <c r="L83" s="62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</row>
    <row r="84" s="2" customFormat="1" ht="12" customHeight="1">
      <c r="A84" s="37"/>
      <c r="B84" s="38"/>
      <c r="C84" s="31" t="s">
        <v>17</v>
      </c>
      <c r="D84" s="39"/>
      <c r="E84" s="39"/>
      <c r="F84" s="39"/>
      <c r="G84" s="39"/>
      <c r="H84" s="39"/>
      <c r="I84" s="39"/>
      <c r="J84" s="39"/>
      <c r="K84" s="39"/>
      <c r="L84" s="62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</row>
    <row r="85" s="2" customFormat="1" ht="16.5" customHeight="1">
      <c r="A85" s="37"/>
      <c r="B85" s="38"/>
      <c r="C85" s="39"/>
      <c r="D85" s="39"/>
      <c r="E85" s="173" t="str">
        <f>E7</f>
        <v>Areál společnosti FORESTINA s.r.o. Horažďovice, Blatenská 587</v>
      </c>
      <c r="F85" s="31"/>
      <c r="G85" s="31"/>
      <c r="H85" s="31"/>
      <c r="I85" s="39"/>
      <c r="J85" s="39"/>
      <c r="K85" s="39"/>
      <c r="L85" s="62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</row>
    <row r="86" s="2" customFormat="1" ht="12" customHeight="1">
      <c r="A86" s="37"/>
      <c r="B86" s="38"/>
      <c r="C86" s="31" t="s">
        <v>109</v>
      </c>
      <c r="D86" s="39"/>
      <c r="E86" s="39"/>
      <c r="F86" s="39"/>
      <c r="G86" s="39"/>
      <c r="H86" s="39"/>
      <c r="I86" s="39"/>
      <c r="J86" s="39"/>
      <c r="K86" s="39"/>
      <c r="L86" s="62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</row>
    <row r="87" s="2" customFormat="1" ht="16.5" customHeight="1">
      <c r="A87" s="37"/>
      <c r="B87" s="38"/>
      <c r="C87" s="39"/>
      <c r="D87" s="39"/>
      <c r="E87" s="75" t="str">
        <f>E9</f>
        <v>080 - Technické zařízení budov</v>
      </c>
      <c r="F87" s="39"/>
      <c r="G87" s="39"/>
      <c r="H87" s="39"/>
      <c r="I87" s="39"/>
      <c r="J87" s="39"/>
      <c r="K87" s="39"/>
      <c r="L87" s="62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</row>
    <row r="88" s="2" customFormat="1" ht="6.96" customHeight="1">
      <c r="A88" s="37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62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</row>
    <row r="89" s="2" customFormat="1" ht="12" customHeight="1">
      <c r="A89" s="37"/>
      <c r="B89" s="38"/>
      <c r="C89" s="31" t="s">
        <v>21</v>
      </c>
      <c r="D89" s="39"/>
      <c r="E89" s="39"/>
      <c r="F89" s="26" t="str">
        <f>F12</f>
        <v>Horažďovice</v>
      </c>
      <c r="G89" s="39"/>
      <c r="H89" s="39"/>
      <c r="I89" s="31" t="s">
        <v>23</v>
      </c>
      <c r="J89" s="78" t="str">
        <f>IF(J12="","",J12)</f>
        <v>26. 11. 2025</v>
      </c>
      <c r="K89" s="39"/>
      <c r="L89" s="62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</row>
    <row r="90" s="2" customFormat="1" ht="6.96" customHeight="1">
      <c r="A90" s="37"/>
      <c r="B90" s="38"/>
      <c r="C90" s="39"/>
      <c r="D90" s="39"/>
      <c r="E90" s="39"/>
      <c r="F90" s="39"/>
      <c r="G90" s="39"/>
      <c r="H90" s="39"/>
      <c r="I90" s="39"/>
      <c r="J90" s="39"/>
      <c r="K90" s="39"/>
      <c r="L90" s="62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</row>
    <row r="91" s="2" customFormat="1" ht="25.65" customHeight="1">
      <c r="A91" s="37"/>
      <c r="B91" s="38"/>
      <c r="C91" s="31" t="s">
        <v>25</v>
      </c>
      <c r="D91" s="39"/>
      <c r="E91" s="39"/>
      <c r="F91" s="26" t="str">
        <f>E15</f>
        <v>FORESTINA s.r.o.</v>
      </c>
      <c r="G91" s="39"/>
      <c r="H91" s="39"/>
      <c r="I91" s="31" t="s">
        <v>31</v>
      </c>
      <c r="J91" s="35" t="str">
        <f>E21</f>
        <v>STA projektový ateliér, s.r.o.</v>
      </c>
      <c r="K91" s="39"/>
      <c r="L91" s="62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</row>
    <row r="92" s="2" customFormat="1" ht="15.15" customHeight="1">
      <c r="A92" s="37"/>
      <c r="B92" s="38"/>
      <c r="C92" s="31" t="s">
        <v>29</v>
      </c>
      <c r="D92" s="39"/>
      <c r="E92" s="39"/>
      <c r="F92" s="26" t="str">
        <f>IF(E18="","",E18)</f>
        <v>Vyplň údaj</v>
      </c>
      <c r="G92" s="39"/>
      <c r="H92" s="39"/>
      <c r="I92" s="31" t="s">
        <v>34</v>
      </c>
      <c r="J92" s="35" t="str">
        <f>E24</f>
        <v>Pavel Hrba</v>
      </c>
      <c r="K92" s="39"/>
      <c r="L92" s="62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</row>
    <row r="93" s="2" customFormat="1" ht="10.32" customHeight="1">
      <c r="A93" s="37"/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62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</row>
    <row r="94" s="2" customFormat="1" ht="29.28" customHeight="1">
      <c r="A94" s="37"/>
      <c r="B94" s="38"/>
      <c r="C94" s="174" t="s">
        <v>112</v>
      </c>
      <c r="D94" s="175"/>
      <c r="E94" s="175"/>
      <c r="F94" s="175"/>
      <c r="G94" s="175"/>
      <c r="H94" s="175"/>
      <c r="I94" s="175"/>
      <c r="J94" s="176" t="s">
        <v>113</v>
      </c>
      <c r="K94" s="175"/>
      <c r="L94" s="62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</row>
    <row r="95" s="2" customFormat="1" ht="10.32" customHeight="1">
      <c r="A95" s="37"/>
      <c r="B95" s="38"/>
      <c r="C95" s="39"/>
      <c r="D95" s="39"/>
      <c r="E95" s="39"/>
      <c r="F95" s="39"/>
      <c r="G95" s="39"/>
      <c r="H95" s="39"/>
      <c r="I95" s="39"/>
      <c r="J95" s="39"/>
      <c r="K95" s="39"/>
      <c r="L95" s="62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</row>
    <row r="96" s="2" customFormat="1" ht="22.8" customHeight="1">
      <c r="A96" s="37"/>
      <c r="B96" s="38"/>
      <c r="C96" s="177" t="s">
        <v>114</v>
      </c>
      <c r="D96" s="39"/>
      <c r="E96" s="39"/>
      <c r="F96" s="39"/>
      <c r="G96" s="39"/>
      <c r="H96" s="39"/>
      <c r="I96" s="39"/>
      <c r="J96" s="109">
        <f>J118</f>
        <v>0</v>
      </c>
      <c r="K96" s="39"/>
      <c r="L96" s="62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U96" s="16" t="s">
        <v>115</v>
      </c>
    </row>
    <row r="97" s="9" customFormat="1" ht="24.96" customHeight="1">
      <c r="A97" s="9"/>
      <c r="B97" s="178"/>
      <c r="C97" s="179"/>
      <c r="D97" s="180" t="s">
        <v>2121</v>
      </c>
      <c r="E97" s="181"/>
      <c r="F97" s="181"/>
      <c r="G97" s="181"/>
      <c r="H97" s="181"/>
      <c r="I97" s="181"/>
      <c r="J97" s="182">
        <f>J119</f>
        <v>0</v>
      </c>
      <c r="K97" s="179"/>
      <c r="L97" s="183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="10" customFormat="1" ht="19.92" customHeight="1">
      <c r="A98" s="10"/>
      <c r="B98" s="184"/>
      <c r="C98" s="185"/>
      <c r="D98" s="186" t="s">
        <v>2763</v>
      </c>
      <c r="E98" s="187"/>
      <c r="F98" s="187"/>
      <c r="G98" s="187"/>
      <c r="H98" s="187"/>
      <c r="I98" s="187"/>
      <c r="J98" s="188">
        <f>J120</f>
        <v>0</v>
      </c>
      <c r="K98" s="185"/>
      <c r="L98" s="189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="2" customFormat="1" ht="21.84" customHeight="1">
      <c r="A99" s="37"/>
      <c r="B99" s="38"/>
      <c r="C99" s="39"/>
      <c r="D99" s="39"/>
      <c r="E99" s="39"/>
      <c r="F99" s="39"/>
      <c r="G99" s="39"/>
      <c r="H99" s="39"/>
      <c r="I99" s="39"/>
      <c r="J99" s="39"/>
      <c r="K99" s="39"/>
      <c r="L99" s="62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</row>
    <row r="100" s="2" customFormat="1" ht="6.96" customHeight="1">
      <c r="A100" s="37"/>
      <c r="B100" s="65"/>
      <c r="C100" s="66"/>
      <c r="D100" s="66"/>
      <c r="E100" s="66"/>
      <c r="F100" s="66"/>
      <c r="G100" s="66"/>
      <c r="H100" s="66"/>
      <c r="I100" s="66"/>
      <c r="J100" s="66"/>
      <c r="K100" s="66"/>
      <c r="L100" s="62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</row>
    <row r="104" s="2" customFormat="1" ht="6.96" customHeight="1">
      <c r="A104" s="37"/>
      <c r="B104" s="67"/>
      <c r="C104" s="68"/>
      <c r="D104" s="68"/>
      <c r="E104" s="68"/>
      <c r="F104" s="68"/>
      <c r="G104" s="68"/>
      <c r="H104" s="68"/>
      <c r="I104" s="68"/>
      <c r="J104" s="68"/>
      <c r="K104" s="68"/>
      <c r="L104" s="62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</row>
    <row r="105" s="2" customFormat="1" ht="24.96" customHeight="1">
      <c r="A105" s="37"/>
      <c r="B105" s="38"/>
      <c r="C105" s="22" t="s">
        <v>142</v>
      </c>
      <c r="D105" s="39"/>
      <c r="E105" s="39"/>
      <c r="F105" s="39"/>
      <c r="G105" s="39"/>
      <c r="H105" s="39"/>
      <c r="I105" s="39"/>
      <c r="J105" s="39"/>
      <c r="K105" s="39"/>
      <c r="L105" s="62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</row>
    <row r="106" s="2" customFormat="1" ht="6.96" customHeight="1">
      <c r="A106" s="37"/>
      <c r="B106" s="38"/>
      <c r="C106" s="39"/>
      <c r="D106" s="39"/>
      <c r="E106" s="39"/>
      <c r="F106" s="39"/>
      <c r="G106" s="39"/>
      <c r="H106" s="39"/>
      <c r="I106" s="39"/>
      <c r="J106" s="39"/>
      <c r="K106" s="39"/>
      <c r="L106" s="62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</row>
    <row r="107" s="2" customFormat="1" ht="12" customHeight="1">
      <c r="A107" s="37"/>
      <c r="B107" s="38"/>
      <c r="C107" s="31" t="s">
        <v>17</v>
      </c>
      <c r="D107" s="39"/>
      <c r="E107" s="39"/>
      <c r="F107" s="39"/>
      <c r="G107" s="39"/>
      <c r="H107" s="39"/>
      <c r="I107" s="39"/>
      <c r="J107" s="39"/>
      <c r="K107" s="39"/>
      <c r="L107" s="62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</row>
    <row r="108" s="2" customFormat="1" ht="16.5" customHeight="1">
      <c r="A108" s="37"/>
      <c r="B108" s="38"/>
      <c r="C108" s="39"/>
      <c r="D108" s="39"/>
      <c r="E108" s="173" t="str">
        <f>E7</f>
        <v>Areál společnosti FORESTINA s.r.o. Horažďovice, Blatenská 587</v>
      </c>
      <c r="F108" s="31"/>
      <c r="G108" s="31"/>
      <c r="H108" s="31"/>
      <c r="I108" s="39"/>
      <c r="J108" s="39"/>
      <c r="K108" s="39"/>
      <c r="L108" s="62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</row>
    <row r="109" s="2" customFormat="1" ht="12" customHeight="1">
      <c r="A109" s="37"/>
      <c r="B109" s="38"/>
      <c r="C109" s="31" t="s">
        <v>109</v>
      </c>
      <c r="D109" s="39"/>
      <c r="E109" s="39"/>
      <c r="F109" s="39"/>
      <c r="G109" s="39"/>
      <c r="H109" s="39"/>
      <c r="I109" s="39"/>
      <c r="J109" s="39"/>
      <c r="K109" s="39"/>
      <c r="L109" s="62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</row>
    <row r="110" s="2" customFormat="1" ht="16.5" customHeight="1">
      <c r="A110" s="37"/>
      <c r="B110" s="38"/>
      <c r="C110" s="39"/>
      <c r="D110" s="39"/>
      <c r="E110" s="75" t="str">
        <f>E9</f>
        <v>080 - Technické zařízení budov</v>
      </c>
      <c r="F110" s="39"/>
      <c r="G110" s="39"/>
      <c r="H110" s="39"/>
      <c r="I110" s="39"/>
      <c r="J110" s="39"/>
      <c r="K110" s="39"/>
      <c r="L110" s="62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</row>
    <row r="111" s="2" customFormat="1" ht="6.96" customHeight="1">
      <c r="A111" s="37"/>
      <c r="B111" s="38"/>
      <c r="C111" s="39"/>
      <c r="D111" s="39"/>
      <c r="E111" s="39"/>
      <c r="F111" s="39"/>
      <c r="G111" s="39"/>
      <c r="H111" s="39"/>
      <c r="I111" s="39"/>
      <c r="J111" s="39"/>
      <c r="K111" s="39"/>
      <c r="L111" s="62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</row>
    <row r="112" s="2" customFormat="1" ht="12" customHeight="1">
      <c r="A112" s="37"/>
      <c r="B112" s="38"/>
      <c r="C112" s="31" t="s">
        <v>21</v>
      </c>
      <c r="D112" s="39"/>
      <c r="E112" s="39"/>
      <c r="F112" s="26" t="str">
        <f>F12</f>
        <v>Horažďovice</v>
      </c>
      <c r="G112" s="39"/>
      <c r="H112" s="39"/>
      <c r="I112" s="31" t="s">
        <v>23</v>
      </c>
      <c r="J112" s="78" t="str">
        <f>IF(J12="","",J12)</f>
        <v>26. 11. 2025</v>
      </c>
      <c r="K112" s="39"/>
      <c r="L112" s="62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</row>
    <row r="113" s="2" customFormat="1" ht="6.96" customHeight="1">
      <c r="A113" s="37"/>
      <c r="B113" s="38"/>
      <c r="C113" s="39"/>
      <c r="D113" s="39"/>
      <c r="E113" s="39"/>
      <c r="F113" s="39"/>
      <c r="G113" s="39"/>
      <c r="H113" s="39"/>
      <c r="I113" s="39"/>
      <c r="J113" s="39"/>
      <c r="K113" s="39"/>
      <c r="L113" s="62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</row>
    <row r="114" s="2" customFormat="1" ht="25.65" customHeight="1">
      <c r="A114" s="37"/>
      <c r="B114" s="38"/>
      <c r="C114" s="31" t="s">
        <v>25</v>
      </c>
      <c r="D114" s="39"/>
      <c r="E114" s="39"/>
      <c r="F114" s="26" t="str">
        <f>E15</f>
        <v>FORESTINA s.r.o.</v>
      </c>
      <c r="G114" s="39"/>
      <c r="H114" s="39"/>
      <c r="I114" s="31" t="s">
        <v>31</v>
      </c>
      <c r="J114" s="35" t="str">
        <f>E21</f>
        <v>STA projektový ateliér, s.r.o.</v>
      </c>
      <c r="K114" s="39"/>
      <c r="L114" s="62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</row>
    <row r="115" s="2" customFormat="1" ht="15.15" customHeight="1">
      <c r="A115" s="37"/>
      <c r="B115" s="38"/>
      <c r="C115" s="31" t="s">
        <v>29</v>
      </c>
      <c r="D115" s="39"/>
      <c r="E115" s="39"/>
      <c r="F115" s="26" t="str">
        <f>IF(E18="","",E18)</f>
        <v>Vyplň údaj</v>
      </c>
      <c r="G115" s="39"/>
      <c r="H115" s="39"/>
      <c r="I115" s="31" t="s">
        <v>34</v>
      </c>
      <c r="J115" s="35" t="str">
        <f>E24</f>
        <v>Pavel Hrba</v>
      </c>
      <c r="K115" s="39"/>
      <c r="L115" s="62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</row>
    <row r="116" s="2" customFormat="1" ht="10.32" customHeight="1">
      <c r="A116" s="37"/>
      <c r="B116" s="38"/>
      <c r="C116" s="39"/>
      <c r="D116" s="39"/>
      <c r="E116" s="39"/>
      <c r="F116" s="39"/>
      <c r="G116" s="39"/>
      <c r="H116" s="39"/>
      <c r="I116" s="39"/>
      <c r="J116" s="39"/>
      <c r="K116" s="39"/>
      <c r="L116" s="62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</row>
    <row r="117" s="11" customFormat="1" ht="29.28" customHeight="1">
      <c r="A117" s="190"/>
      <c r="B117" s="191"/>
      <c r="C117" s="192" t="s">
        <v>143</v>
      </c>
      <c r="D117" s="193" t="s">
        <v>62</v>
      </c>
      <c r="E117" s="193" t="s">
        <v>58</v>
      </c>
      <c r="F117" s="193" t="s">
        <v>59</v>
      </c>
      <c r="G117" s="193" t="s">
        <v>144</v>
      </c>
      <c r="H117" s="193" t="s">
        <v>145</v>
      </c>
      <c r="I117" s="193" t="s">
        <v>146</v>
      </c>
      <c r="J117" s="194" t="s">
        <v>113</v>
      </c>
      <c r="K117" s="195" t="s">
        <v>147</v>
      </c>
      <c r="L117" s="196"/>
      <c r="M117" s="99" t="s">
        <v>1</v>
      </c>
      <c r="N117" s="100" t="s">
        <v>41</v>
      </c>
      <c r="O117" s="100" t="s">
        <v>148</v>
      </c>
      <c r="P117" s="100" t="s">
        <v>149</v>
      </c>
      <c r="Q117" s="100" t="s">
        <v>150</v>
      </c>
      <c r="R117" s="100" t="s">
        <v>151</v>
      </c>
      <c r="S117" s="100" t="s">
        <v>152</v>
      </c>
      <c r="T117" s="101" t="s">
        <v>153</v>
      </c>
      <c r="U117" s="190"/>
      <c r="V117" s="190"/>
      <c r="W117" s="190"/>
      <c r="X117" s="190"/>
      <c r="Y117" s="190"/>
      <c r="Z117" s="190"/>
      <c r="AA117" s="190"/>
      <c r="AB117" s="190"/>
      <c r="AC117" s="190"/>
      <c r="AD117" s="190"/>
      <c r="AE117" s="190"/>
    </row>
    <row r="118" s="2" customFormat="1" ht="22.8" customHeight="1">
      <c r="A118" s="37"/>
      <c r="B118" s="38"/>
      <c r="C118" s="106" t="s">
        <v>154</v>
      </c>
      <c r="D118" s="39"/>
      <c r="E118" s="39"/>
      <c r="F118" s="39"/>
      <c r="G118" s="39"/>
      <c r="H118" s="39"/>
      <c r="I118" s="39"/>
      <c r="J118" s="197">
        <f>BK118</f>
        <v>0</v>
      </c>
      <c r="K118" s="39"/>
      <c r="L118" s="43"/>
      <c r="M118" s="102"/>
      <c r="N118" s="198"/>
      <c r="O118" s="103"/>
      <c r="P118" s="199">
        <f>P119</f>
        <v>0</v>
      </c>
      <c r="Q118" s="103"/>
      <c r="R118" s="199">
        <f>R119</f>
        <v>0</v>
      </c>
      <c r="S118" s="103"/>
      <c r="T118" s="200">
        <f>T119</f>
        <v>0</v>
      </c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T118" s="16" t="s">
        <v>76</v>
      </c>
      <c r="AU118" s="16" t="s">
        <v>115</v>
      </c>
      <c r="BK118" s="201">
        <f>BK119</f>
        <v>0</v>
      </c>
    </row>
    <row r="119" s="12" customFormat="1" ht="25.92" customHeight="1">
      <c r="A119" s="12"/>
      <c r="B119" s="202"/>
      <c r="C119" s="203"/>
      <c r="D119" s="204" t="s">
        <v>76</v>
      </c>
      <c r="E119" s="205" t="s">
        <v>636</v>
      </c>
      <c r="F119" s="205" t="s">
        <v>636</v>
      </c>
      <c r="G119" s="203"/>
      <c r="H119" s="203"/>
      <c r="I119" s="206"/>
      <c r="J119" s="207">
        <f>BK119</f>
        <v>0</v>
      </c>
      <c r="K119" s="203"/>
      <c r="L119" s="208"/>
      <c r="M119" s="209"/>
      <c r="N119" s="210"/>
      <c r="O119" s="210"/>
      <c r="P119" s="211">
        <f>P120</f>
        <v>0</v>
      </c>
      <c r="Q119" s="210"/>
      <c r="R119" s="211">
        <f>R120</f>
        <v>0</v>
      </c>
      <c r="S119" s="210"/>
      <c r="T119" s="212">
        <f>T120</f>
        <v>0</v>
      </c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R119" s="213" t="s">
        <v>86</v>
      </c>
      <c r="AT119" s="214" t="s">
        <v>76</v>
      </c>
      <c r="AU119" s="214" t="s">
        <v>77</v>
      </c>
      <c r="AY119" s="213" t="s">
        <v>157</v>
      </c>
      <c r="BK119" s="215">
        <f>BK120</f>
        <v>0</v>
      </c>
    </row>
    <row r="120" s="12" customFormat="1" ht="22.8" customHeight="1">
      <c r="A120" s="12"/>
      <c r="B120" s="202"/>
      <c r="C120" s="203"/>
      <c r="D120" s="204" t="s">
        <v>76</v>
      </c>
      <c r="E120" s="216" t="s">
        <v>2764</v>
      </c>
      <c r="F120" s="216" t="s">
        <v>103</v>
      </c>
      <c r="G120" s="203"/>
      <c r="H120" s="203"/>
      <c r="I120" s="206"/>
      <c r="J120" s="217">
        <f>BK120</f>
        <v>0</v>
      </c>
      <c r="K120" s="203"/>
      <c r="L120" s="208"/>
      <c r="M120" s="209"/>
      <c r="N120" s="210"/>
      <c r="O120" s="210"/>
      <c r="P120" s="211">
        <f>SUM(P121:P126)</f>
        <v>0</v>
      </c>
      <c r="Q120" s="210"/>
      <c r="R120" s="211">
        <f>SUM(R121:R126)</f>
        <v>0</v>
      </c>
      <c r="S120" s="210"/>
      <c r="T120" s="212">
        <f>SUM(T121:T126)</f>
        <v>0</v>
      </c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R120" s="213" t="s">
        <v>86</v>
      </c>
      <c r="AT120" s="214" t="s">
        <v>76</v>
      </c>
      <c r="AU120" s="214" t="s">
        <v>8</v>
      </c>
      <c r="AY120" s="213" t="s">
        <v>157</v>
      </c>
      <c r="BK120" s="215">
        <f>SUM(BK121:BK126)</f>
        <v>0</v>
      </c>
    </row>
    <row r="121" s="2" customFormat="1" ht="16.5" customHeight="1">
      <c r="A121" s="37"/>
      <c r="B121" s="38"/>
      <c r="C121" s="218" t="s">
        <v>8</v>
      </c>
      <c r="D121" s="218" t="s">
        <v>159</v>
      </c>
      <c r="E121" s="219" t="s">
        <v>2765</v>
      </c>
      <c r="F121" s="220" t="s">
        <v>2766</v>
      </c>
      <c r="G121" s="221" t="s">
        <v>407</v>
      </c>
      <c r="H121" s="222">
        <v>1</v>
      </c>
      <c r="I121" s="223"/>
      <c r="J121" s="224">
        <f>ROUND(I121*H121,0)</f>
        <v>0</v>
      </c>
      <c r="K121" s="225"/>
      <c r="L121" s="43"/>
      <c r="M121" s="226" t="s">
        <v>1</v>
      </c>
      <c r="N121" s="227" t="s">
        <v>42</v>
      </c>
      <c r="O121" s="90"/>
      <c r="P121" s="228">
        <f>O121*H121</f>
        <v>0</v>
      </c>
      <c r="Q121" s="228">
        <v>0</v>
      </c>
      <c r="R121" s="228">
        <f>Q121*H121</f>
        <v>0</v>
      </c>
      <c r="S121" s="228">
        <v>0</v>
      </c>
      <c r="T121" s="229">
        <f>S121*H121</f>
        <v>0</v>
      </c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R121" s="230" t="s">
        <v>246</v>
      </c>
      <c r="AT121" s="230" t="s">
        <v>159</v>
      </c>
      <c r="AU121" s="230" t="s">
        <v>86</v>
      </c>
      <c r="AY121" s="16" t="s">
        <v>157</v>
      </c>
      <c r="BE121" s="231">
        <f>IF(N121="základní",J121,0)</f>
        <v>0</v>
      </c>
      <c r="BF121" s="231">
        <f>IF(N121="snížená",J121,0)</f>
        <v>0</v>
      </c>
      <c r="BG121" s="231">
        <f>IF(N121="zákl. přenesená",J121,0)</f>
        <v>0</v>
      </c>
      <c r="BH121" s="231">
        <f>IF(N121="sníž. přenesená",J121,0)</f>
        <v>0</v>
      </c>
      <c r="BI121" s="231">
        <f>IF(N121="nulová",J121,0)</f>
        <v>0</v>
      </c>
      <c r="BJ121" s="16" t="s">
        <v>8</v>
      </c>
      <c r="BK121" s="231">
        <f>ROUND(I121*H121,0)</f>
        <v>0</v>
      </c>
      <c r="BL121" s="16" t="s">
        <v>246</v>
      </c>
      <c r="BM121" s="230" t="s">
        <v>2767</v>
      </c>
    </row>
    <row r="122" s="2" customFormat="1" ht="16.5" customHeight="1">
      <c r="A122" s="37"/>
      <c r="B122" s="38"/>
      <c r="C122" s="218" t="s">
        <v>86</v>
      </c>
      <c r="D122" s="218" t="s">
        <v>159</v>
      </c>
      <c r="E122" s="219" t="s">
        <v>2768</v>
      </c>
      <c r="F122" s="220" t="s">
        <v>2769</v>
      </c>
      <c r="G122" s="221" t="s">
        <v>407</v>
      </c>
      <c r="H122" s="222">
        <v>1</v>
      </c>
      <c r="I122" s="223"/>
      <c r="J122" s="224">
        <f>ROUND(I122*H122,0)</f>
        <v>0</v>
      </c>
      <c r="K122" s="225"/>
      <c r="L122" s="43"/>
      <c r="M122" s="226" t="s">
        <v>1</v>
      </c>
      <c r="N122" s="227" t="s">
        <v>42</v>
      </c>
      <c r="O122" s="90"/>
      <c r="P122" s="228">
        <f>O122*H122</f>
        <v>0</v>
      </c>
      <c r="Q122" s="228">
        <v>0</v>
      </c>
      <c r="R122" s="228">
        <f>Q122*H122</f>
        <v>0</v>
      </c>
      <c r="S122" s="228">
        <v>0</v>
      </c>
      <c r="T122" s="229">
        <f>S122*H122</f>
        <v>0</v>
      </c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R122" s="230" t="s">
        <v>246</v>
      </c>
      <c r="AT122" s="230" t="s">
        <v>159</v>
      </c>
      <c r="AU122" s="230" t="s">
        <v>86</v>
      </c>
      <c r="AY122" s="16" t="s">
        <v>157</v>
      </c>
      <c r="BE122" s="231">
        <f>IF(N122="základní",J122,0)</f>
        <v>0</v>
      </c>
      <c r="BF122" s="231">
        <f>IF(N122="snížená",J122,0)</f>
        <v>0</v>
      </c>
      <c r="BG122" s="231">
        <f>IF(N122="zákl. přenesená",J122,0)</f>
        <v>0</v>
      </c>
      <c r="BH122" s="231">
        <f>IF(N122="sníž. přenesená",J122,0)</f>
        <v>0</v>
      </c>
      <c r="BI122" s="231">
        <f>IF(N122="nulová",J122,0)</f>
        <v>0</v>
      </c>
      <c r="BJ122" s="16" t="s">
        <v>8</v>
      </c>
      <c r="BK122" s="231">
        <f>ROUND(I122*H122,0)</f>
        <v>0</v>
      </c>
      <c r="BL122" s="16" t="s">
        <v>246</v>
      </c>
      <c r="BM122" s="230" t="s">
        <v>2770</v>
      </c>
    </row>
    <row r="123" s="2" customFormat="1" ht="16.5" customHeight="1">
      <c r="A123" s="37"/>
      <c r="B123" s="38"/>
      <c r="C123" s="218" t="s">
        <v>176</v>
      </c>
      <c r="D123" s="218" t="s">
        <v>159</v>
      </c>
      <c r="E123" s="219" t="s">
        <v>2771</v>
      </c>
      <c r="F123" s="220" t="s">
        <v>2772</v>
      </c>
      <c r="G123" s="221" t="s">
        <v>407</v>
      </c>
      <c r="H123" s="222">
        <v>1</v>
      </c>
      <c r="I123" s="223"/>
      <c r="J123" s="224">
        <f>ROUND(I123*H123,0)</f>
        <v>0</v>
      </c>
      <c r="K123" s="225"/>
      <c r="L123" s="43"/>
      <c r="M123" s="226" t="s">
        <v>1</v>
      </c>
      <c r="N123" s="227" t="s">
        <v>42</v>
      </c>
      <c r="O123" s="90"/>
      <c r="P123" s="228">
        <f>O123*H123</f>
        <v>0</v>
      </c>
      <c r="Q123" s="228">
        <v>0</v>
      </c>
      <c r="R123" s="228">
        <f>Q123*H123</f>
        <v>0</v>
      </c>
      <c r="S123" s="228">
        <v>0</v>
      </c>
      <c r="T123" s="229">
        <f>S123*H123</f>
        <v>0</v>
      </c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R123" s="230" t="s">
        <v>246</v>
      </c>
      <c r="AT123" s="230" t="s">
        <v>159</v>
      </c>
      <c r="AU123" s="230" t="s">
        <v>86</v>
      </c>
      <c r="AY123" s="16" t="s">
        <v>157</v>
      </c>
      <c r="BE123" s="231">
        <f>IF(N123="základní",J123,0)</f>
        <v>0</v>
      </c>
      <c r="BF123" s="231">
        <f>IF(N123="snížená",J123,0)</f>
        <v>0</v>
      </c>
      <c r="BG123" s="231">
        <f>IF(N123="zákl. přenesená",J123,0)</f>
        <v>0</v>
      </c>
      <c r="BH123" s="231">
        <f>IF(N123="sníž. přenesená",J123,0)</f>
        <v>0</v>
      </c>
      <c r="BI123" s="231">
        <f>IF(N123="nulová",J123,0)</f>
        <v>0</v>
      </c>
      <c r="BJ123" s="16" t="s">
        <v>8</v>
      </c>
      <c r="BK123" s="231">
        <f>ROUND(I123*H123,0)</f>
        <v>0</v>
      </c>
      <c r="BL123" s="16" t="s">
        <v>246</v>
      </c>
      <c r="BM123" s="230" t="s">
        <v>2773</v>
      </c>
    </row>
    <row r="124" s="2" customFormat="1" ht="21.75" customHeight="1">
      <c r="A124" s="37"/>
      <c r="B124" s="38"/>
      <c r="C124" s="218" t="s">
        <v>163</v>
      </c>
      <c r="D124" s="218" t="s">
        <v>159</v>
      </c>
      <c r="E124" s="219" t="s">
        <v>2774</v>
      </c>
      <c r="F124" s="220" t="s">
        <v>2775</v>
      </c>
      <c r="G124" s="221" t="s">
        <v>407</v>
      </c>
      <c r="H124" s="222">
        <v>1</v>
      </c>
      <c r="I124" s="223"/>
      <c r="J124" s="224">
        <f>ROUND(I124*H124,0)</f>
        <v>0</v>
      </c>
      <c r="K124" s="225"/>
      <c r="L124" s="43"/>
      <c r="M124" s="226" t="s">
        <v>1</v>
      </c>
      <c r="N124" s="227" t="s">
        <v>42</v>
      </c>
      <c r="O124" s="90"/>
      <c r="P124" s="228">
        <f>O124*H124</f>
        <v>0</v>
      </c>
      <c r="Q124" s="228">
        <v>0</v>
      </c>
      <c r="R124" s="228">
        <f>Q124*H124</f>
        <v>0</v>
      </c>
      <c r="S124" s="228">
        <v>0</v>
      </c>
      <c r="T124" s="229">
        <f>S124*H124</f>
        <v>0</v>
      </c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R124" s="230" t="s">
        <v>246</v>
      </c>
      <c r="AT124" s="230" t="s">
        <v>159</v>
      </c>
      <c r="AU124" s="230" t="s">
        <v>86</v>
      </c>
      <c r="AY124" s="16" t="s">
        <v>157</v>
      </c>
      <c r="BE124" s="231">
        <f>IF(N124="základní",J124,0)</f>
        <v>0</v>
      </c>
      <c r="BF124" s="231">
        <f>IF(N124="snížená",J124,0)</f>
        <v>0</v>
      </c>
      <c r="BG124" s="231">
        <f>IF(N124="zákl. přenesená",J124,0)</f>
        <v>0</v>
      </c>
      <c r="BH124" s="231">
        <f>IF(N124="sníž. přenesená",J124,0)</f>
        <v>0</v>
      </c>
      <c r="BI124" s="231">
        <f>IF(N124="nulová",J124,0)</f>
        <v>0</v>
      </c>
      <c r="BJ124" s="16" t="s">
        <v>8</v>
      </c>
      <c r="BK124" s="231">
        <f>ROUND(I124*H124,0)</f>
        <v>0</v>
      </c>
      <c r="BL124" s="16" t="s">
        <v>246</v>
      </c>
      <c r="BM124" s="230" t="s">
        <v>2776</v>
      </c>
    </row>
    <row r="125" s="2" customFormat="1" ht="16.5" customHeight="1">
      <c r="A125" s="37"/>
      <c r="B125" s="38"/>
      <c r="C125" s="218" t="s">
        <v>185</v>
      </c>
      <c r="D125" s="218" t="s">
        <v>159</v>
      </c>
      <c r="E125" s="219" t="s">
        <v>2777</v>
      </c>
      <c r="F125" s="220" t="s">
        <v>2778</v>
      </c>
      <c r="G125" s="221" t="s">
        <v>407</v>
      </c>
      <c r="H125" s="222">
        <v>1</v>
      </c>
      <c r="I125" s="223"/>
      <c r="J125" s="224">
        <f>ROUND(I125*H125,0)</f>
        <v>0</v>
      </c>
      <c r="K125" s="225"/>
      <c r="L125" s="43"/>
      <c r="M125" s="226" t="s">
        <v>1</v>
      </c>
      <c r="N125" s="227" t="s">
        <v>42</v>
      </c>
      <c r="O125" s="90"/>
      <c r="P125" s="228">
        <f>O125*H125</f>
        <v>0</v>
      </c>
      <c r="Q125" s="228">
        <v>0</v>
      </c>
      <c r="R125" s="228">
        <f>Q125*H125</f>
        <v>0</v>
      </c>
      <c r="S125" s="228">
        <v>0</v>
      </c>
      <c r="T125" s="229">
        <f>S125*H125</f>
        <v>0</v>
      </c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R125" s="230" t="s">
        <v>246</v>
      </c>
      <c r="AT125" s="230" t="s">
        <v>159</v>
      </c>
      <c r="AU125" s="230" t="s">
        <v>86</v>
      </c>
      <c r="AY125" s="16" t="s">
        <v>157</v>
      </c>
      <c r="BE125" s="231">
        <f>IF(N125="základní",J125,0)</f>
        <v>0</v>
      </c>
      <c r="BF125" s="231">
        <f>IF(N125="snížená",J125,0)</f>
        <v>0</v>
      </c>
      <c r="BG125" s="231">
        <f>IF(N125="zákl. přenesená",J125,0)</f>
        <v>0</v>
      </c>
      <c r="BH125" s="231">
        <f>IF(N125="sníž. přenesená",J125,0)</f>
        <v>0</v>
      </c>
      <c r="BI125" s="231">
        <f>IF(N125="nulová",J125,0)</f>
        <v>0</v>
      </c>
      <c r="BJ125" s="16" t="s">
        <v>8</v>
      </c>
      <c r="BK125" s="231">
        <f>ROUND(I125*H125,0)</f>
        <v>0</v>
      </c>
      <c r="BL125" s="16" t="s">
        <v>246</v>
      </c>
      <c r="BM125" s="230" t="s">
        <v>2779</v>
      </c>
    </row>
    <row r="126" s="2" customFormat="1" ht="16.5" customHeight="1">
      <c r="A126" s="37"/>
      <c r="B126" s="38"/>
      <c r="C126" s="218" t="s">
        <v>190</v>
      </c>
      <c r="D126" s="218" t="s">
        <v>159</v>
      </c>
      <c r="E126" s="219" t="s">
        <v>2780</v>
      </c>
      <c r="F126" s="220" t="s">
        <v>2781</v>
      </c>
      <c r="G126" s="221" t="s">
        <v>407</v>
      </c>
      <c r="H126" s="222">
        <v>1</v>
      </c>
      <c r="I126" s="223"/>
      <c r="J126" s="224">
        <f>ROUND(I126*H126,0)</f>
        <v>0</v>
      </c>
      <c r="K126" s="225"/>
      <c r="L126" s="43"/>
      <c r="M126" s="266" t="s">
        <v>1</v>
      </c>
      <c r="N126" s="267" t="s">
        <v>42</v>
      </c>
      <c r="O126" s="268"/>
      <c r="P126" s="269">
        <f>O126*H126</f>
        <v>0</v>
      </c>
      <c r="Q126" s="269">
        <v>0</v>
      </c>
      <c r="R126" s="269">
        <f>Q126*H126</f>
        <v>0</v>
      </c>
      <c r="S126" s="269">
        <v>0</v>
      </c>
      <c r="T126" s="270">
        <f>S126*H126</f>
        <v>0</v>
      </c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R126" s="230" t="s">
        <v>246</v>
      </c>
      <c r="AT126" s="230" t="s">
        <v>159</v>
      </c>
      <c r="AU126" s="230" t="s">
        <v>86</v>
      </c>
      <c r="AY126" s="16" t="s">
        <v>157</v>
      </c>
      <c r="BE126" s="231">
        <f>IF(N126="základní",J126,0)</f>
        <v>0</v>
      </c>
      <c r="BF126" s="231">
        <f>IF(N126="snížená",J126,0)</f>
        <v>0</v>
      </c>
      <c r="BG126" s="231">
        <f>IF(N126="zákl. přenesená",J126,0)</f>
        <v>0</v>
      </c>
      <c r="BH126" s="231">
        <f>IF(N126="sníž. přenesená",J126,0)</f>
        <v>0</v>
      </c>
      <c r="BI126" s="231">
        <f>IF(N126="nulová",J126,0)</f>
        <v>0</v>
      </c>
      <c r="BJ126" s="16" t="s">
        <v>8</v>
      </c>
      <c r="BK126" s="231">
        <f>ROUND(I126*H126,0)</f>
        <v>0</v>
      </c>
      <c r="BL126" s="16" t="s">
        <v>246</v>
      </c>
      <c r="BM126" s="230" t="s">
        <v>2782</v>
      </c>
    </row>
    <row r="127" s="2" customFormat="1" ht="6.96" customHeight="1">
      <c r="A127" s="37"/>
      <c r="B127" s="65"/>
      <c r="C127" s="66"/>
      <c r="D127" s="66"/>
      <c r="E127" s="66"/>
      <c r="F127" s="66"/>
      <c r="G127" s="66"/>
      <c r="H127" s="66"/>
      <c r="I127" s="66"/>
      <c r="J127" s="66"/>
      <c r="K127" s="66"/>
      <c r="L127" s="43"/>
      <c r="M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</row>
  </sheetData>
  <sheetProtection sheet="1" autoFilter="0" formatColumns="0" formatRows="0" objects="1" scenarios="1" spinCount="100000" saltValue="rs1ALf+6GgNx/GjzY4ExIisl+WHw+yj+pSUXSuzCMPkL1RnS5vL/ebwV0YCqIkN2vc2b9RP66X1swGPD0YnOJw==" hashValue="JI+9oaU4RWxctuuxFh47hYB7/hBN3T5rjntZswY2/N1IEJ2Vrp3IeyULWW9RkMfwjZGzblCapgwtVs9Rgbra4g==" algorithmName="SHA-512" password="F695"/>
  <autoFilter ref="C117:K126"/>
  <mergeCells count="9">
    <mergeCell ref="E7:H7"/>
    <mergeCell ref="E9:H9"/>
    <mergeCell ref="E18:H18"/>
    <mergeCell ref="E27:H27"/>
    <mergeCell ref="E85:H85"/>
    <mergeCell ref="E87:H87"/>
    <mergeCell ref="E108:H108"/>
    <mergeCell ref="E110:H110"/>
    <mergeCell ref="L2:V2"/>
  </mergeCell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50.83203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hidden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6" t="s">
        <v>107</v>
      </c>
    </row>
    <row r="3" s="1" customFormat="1" ht="6.96" customHeight="1">
      <c r="B3" s="135"/>
      <c r="C3" s="136"/>
      <c r="D3" s="136"/>
      <c r="E3" s="136"/>
      <c r="F3" s="136"/>
      <c r="G3" s="136"/>
      <c r="H3" s="136"/>
      <c r="I3" s="136"/>
      <c r="J3" s="136"/>
      <c r="K3" s="136"/>
      <c r="L3" s="19"/>
      <c r="AT3" s="16" t="s">
        <v>86</v>
      </c>
    </row>
    <row r="4" s="1" customFormat="1" ht="24.96" customHeight="1">
      <c r="B4" s="19"/>
      <c r="D4" s="137" t="s">
        <v>108</v>
      </c>
      <c r="L4" s="19"/>
      <c r="M4" s="138" t="s">
        <v>11</v>
      </c>
      <c r="AT4" s="16" t="s">
        <v>4</v>
      </c>
    </row>
    <row r="5" s="1" customFormat="1" ht="6.96" customHeight="1">
      <c r="B5" s="19"/>
      <c r="L5" s="19"/>
    </row>
    <row r="6" s="1" customFormat="1" ht="12" customHeight="1">
      <c r="B6" s="19"/>
      <c r="D6" s="139" t="s">
        <v>17</v>
      </c>
      <c r="L6" s="19"/>
    </row>
    <row r="7" s="1" customFormat="1" ht="16.5" customHeight="1">
      <c r="B7" s="19"/>
      <c r="E7" s="140" t="str">
        <f>'Rekapitulace stavby'!K6</f>
        <v>Areál společnosti FORESTINA s.r.o. Horažďovice, Blatenská 587</v>
      </c>
      <c r="F7" s="139"/>
      <c r="G7" s="139"/>
      <c r="H7" s="139"/>
      <c r="L7" s="19"/>
    </row>
    <row r="8" s="2" customFormat="1" ht="12" customHeight="1">
      <c r="A8" s="37"/>
      <c r="B8" s="43"/>
      <c r="C8" s="37"/>
      <c r="D8" s="139" t="s">
        <v>109</v>
      </c>
      <c r="E8" s="37"/>
      <c r="F8" s="37"/>
      <c r="G8" s="37"/>
      <c r="H8" s="37"/>
      <c r="I8" s="37"/>
      <c r="J8" s="37"/>
      <c r="K8" s="37"/>
      <c r="L8" s="62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</row>
    <row r="9" s="2" customFormat="1" ht="16.5" customHeight="1">
      <c r="A9" s="37"/>
      <c r="B9" s="43"/>
      <c r="C9" s="37"/>
      <c r="D9" s="37"/>
      <c r="E9" s="141" t="s">
        <v>2783</v>
      </c>
      <c r="F9" s="37"/>
      <c r="G9" s="37"/>
      <c r="H9" s="37"/>
      <c r="I9" s="37"/>
      <c r="J9" s="37"/>
      <c r="K9" s="37"/>
      <c r="L9" s="62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</row>
    <row r="10" s="2" customFormat="1">
      <c r="A10" s="37"/>
      <c r="B10" s="43"/>
      <c r="C10" s="37"/>
      <c r="D10" s="37"/>
      <c r="E10" s="37"/>
      <c r="F10" s="37"/>
      <c r="G10" s="37"/>
      <c r="H10" s="37"/>
      <c r="I10" s="37"/>
      <c r="J10" s="37"/>
      <c r="K10" s="37"/>
      <c r="L10" s="62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</row>
    <row r="11" s="2" customFormat="1" ht="12" customHeight="1">
      <c r="A11" s="37"/>
      <c r="B11" s="43"/>
      <c r="C11" s="37"/>
      <c r="D11" s="139" t="s">
        <v>19</v>
      </c>
      <c r="E11" s="37"/>
      <c r="F11" s="142" t="s">
        <v>1</v>
      </c>
      <c r="G11" s="37"/>
      <c r="H11" s="37"/>
      <c r="I11" s="139" t="s">
        <v>20</v>
      </c>
      <c r="J11" s="142" t="s">
        <v>1</v>
      </c>
      <c r="K11" s="37"/>
      <c r="L11" s="62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</row>
    <row r="12" s="2" customFormat="1" ht="12" customHeight="1">
      <c r="A12" s="37"/>
      <c r="B12" s="43"/>
      <c r="C12" s="37"/>
      <c r="D12" s="139" t="s">
        <v>21</v>
      </c>
      <c r="E12" s="37"/>
      <c r="F12" s="142" t="s">
        <v>22</v>
      </c>
      <c r="G12" s="37"/>
      <c r="H12" s="37"/>
      <c r="I12" s="139" t="s">
        <v>23</v>
      </c>
      <c r="J12" s="143" t="str">
        <f>'Rekapitulace stavby'!AN8</f>
        <v>26. 11. 2025</v>
      </c>
      <c r="K12" s="37"/>
      <c r="L12" s="62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</row>
    <row r="13" s="2" customFormat="1" ht="10.8" customHeight="1">
      <c r="A13" s="37"/>
      <c r="B13" s="43"/>
      <c r="C13" s="37"/>
      <c r="D13" s="37"/>
      <c r="E13" s="37"/>
      <c r="F13" s="37"/>
      <c r="G13" s="37"/>
      <c r="H13" s="37"/>
      <c r="I13" s="37"/>
      <c r="J13" s="37"/>
      <c r="K13" s="37"/>
      <c r="L13" s="62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</row>
    <row r="14" s="2" customFormat="1" ht="12" customHeight="1">
      <c r="A14" s="37"/>
      <c r="B14" s="43"/>
      <c r="C14" s="37"/>
      <c r="D14" s="139" t="s">
        <v>25</v>
      </c>
      <c r="E14" s="37"/>
      <c r="F14" s="37"/>
      <c r="G14" s="37"/>
      <c r="H14" s="37"/>
      <c r="I14" s="139" t="s">
        <v>26</v>
      </c>
      <c r="J14" s="142" t="s">
        <v>1</v>
      </c>
      <c r="K14" s="37"/>
      <c r="L14" s="62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</row>
    <row r="15" s="2" customFormat="1" ht="18" customHeight="1">
      <c r="A15" s="37"/>
      <c r="B15" s="43"/>
      <c r="C15" s="37"/>
      <c r="D15" s="37"/>
      <c r="E15" s="142" t="s">
        <v>27</v>
      </c>
      <c r="F15" s="37"/>
      <c r="G15" s="37"/>
      <c r="H15" s="37"/>
      <c r="I15" s="139" t="s">
        <v>28</v>
      </c>
      <c r="J15" s="142" t="s">
        <v>1</v>
      </c>
      <c r="K15" s="37"/>
      <c r="L15" s="62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</row>
    <row r="16" s="2" customFormat="1" ht="6.96" customHeight="1">
      <c r="A16" s="37"/>
      <c r="B16" s="43"/>
      <c r="C16" s="37"/>
      <c r="D16" s="37"/>
      <c r="E16" s="37"/>
      <c r="F16" s="37"/>
      <c r="G16" s="37"/>
      <c r="H16" s="37"/>
      <c r="I16" s="37"/>
      <c r="J16" s="37"/>
      <c r="K16" s="37"/>
      <c r="L16" s="62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</row>
    <row r="17" s="2" customFormat="1" ht="12" customHeight="1">
      <c r="A17" s="37"/>
      <c r="B17" s="43"/>
      <c r="C17" s="37"/>
      <c r="D17" s="139" t="s">
        <v>29</v>
      </c>
      <c r="E17" s="37"/>
      <c r="F17" s="37"/>
      <c r="G17" s="37"/>
      <c r="H17" s="37"/>
      <c r="I17" s="139" t="s">
        <v>26</v>
      </c>
      <c r="J17" s="32" t="str">
        <f>'Rekapitulace stavby'!AN13</f>
        <v>Vyplň údaj</v>
      </c>
      <c r="K17" s="37"/>
      <c r="L17" s="62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</row>
    <row r="18" s="2" customFormat="1" ht="18" customHeight="1">
      <c r="A18" s="37"/>
      <c r="B18" s="43"/>
      <c r="C18" s="37"/>
      <c r="D18" s="37"/>
      <c r="E18" s="32" t="str">
        <f>'Rekapitulace stavby'!E14</f>
        <v>Vyplň údaj</v>
      </c>
      <c r="F18" s="142"/>
      <c r="G18" s="142"/>
      <c r="H18" s="142"/>
      <c r="I18" s="139" t="s">
        <v>28</v>
      </c>
      <c r="J18" s="32" t="str">
        <f>'Rekapitulace stavby'!AN14</f>
        <v>Vyplň údaj</v>
      </c>
      <c r="K18" s="37"/>
      <c r="L18" s="62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</row>
    <row r="19" s="2" customFormat="1" ht="6.96" customHeight="1">
      <c r="A19" s="37"/>
      <c r="B19" s="43"/>
      <c r="C19" s="37"/>
      <c r="D19" s="37"/>
      <c r="E19" s="37"/>
      <c r="F19" s="37"/>
      <c r="G19" s="37"/>
      <c r="H19" s="37"/>
      <c r="I19" s="37"/>
      <c r="J19" s="37"/>
      <c r="K19" s="37"/>
      <c r="L19" s="62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</row>
    <row r="20" s="2" customFormat="1" ht="12" customHeight="1">
      <c r="A20" s="37"/>
      <c r="B20" s="43"/>
      <c r="C20" s="37"/>
      <c r="D20" s="139" t="s">
        <v>31</v>
      </c>
      <c r="E20" s="37"/>
      <c r="F20" s="37"/>
      <c r="G20" s="37"/>
      <c r="H20" s="37"/>
      <c r="I20" s="139" t="s">
        <v>26</v>
      </c>
      <c r="J20" s="142" t="s">
        <v>1</v>
      </c>
      <c r="K20" s="37"/>
      <c r="L20" s="62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</row>
    <row r="21" s="2" customFormat="1" ht="18" customHeight="1">
      <c r="A21" s="37"/>
      <c r="B21" s="43"/>
      <c r="C21" s="37"/>
      <c r="D21" s="37"/>
      <c r="E21" s="142" t="s">
        <v>33</v>
      </c>
      <c r="F21" s="37"/>
      <c r="G21" s="37"/>
      <c r="H21" s="37"/>
      <c r="I21" s="139" t="s">
        <v>28</v>
      </c>
      <c r="J21" s="142" t="s">
        <v>1</v>
      </c>
      <c r="K21" s="37"/>
      <c r="L21" s="62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</row>
    <row r="22" s="2" customFormat="1" ht="6.96" customHeight="1">
      <c r="A22" s="37"/>
      <c r="B22" s="43"/>
      <c r="C22" s="37"/>
      <c r="D22" s="37"/>
      <c r="E22" s="37"/>
      <c r="F22" s="37"/>
      <c r="G22" s="37"/>
      <c r="H22" s="37"/>
      <c r="I22" s="37"/>
      <c r="J22" s="37"/>
      <c r="K22" s="37"/>
      <c r="L22" s="62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</row>
    <row r="23" s="2" customFormat="1" ht="12" customHeight="1">
      <c r="A23" s="37"/>
      <c r="B23" s="43"/>
      <c r="C23" s="37"/>
      <c r="D23" s="139" t="s">
        <v>34</v>
      </c>
      <c r="E23" s="37"/>
      <c r="F23" s="37"/>
      <c r="G23" s="37"/>
      <c r="H23" s="37"/>
      <c r="I23" s="139" t="s">
        <v>26</v>
      </c>
      <c r="J23" s="142" t="s">
        <v>1</v>
      </c>
      <c r="K23" s="37"/>
      <c r="L23" s="62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</row>
    <row r="24" s="2" customFormat="1" ht="18" customHeight="1">
      <c r="A24" s="37"/>
      <c r="B24" s="43"/>
      <c r="C24" s="37"/>
      <c r="D24" s="37"/>
      <c r="E24" s="142" t="s">
        <v>35</v>
      </c>
      <c r="F24" s="37"/>
      <c r="G24" s="37"/>
      <c r="H24" s="37"/>
      <c r="I24" s="139" t="s">
        <v>28</v>
      </c>
      <c r="J24" s="142" t="s">
        <v>1</v>
      </c>
      <c r="K24" s="37"/>
      <c r="L24" s="62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</row>
    <row r="25" s="2" customFormat="1" ht="6.96" customHeight="1">
      <c r="A25" s="37"/>
      <c r="B25" s="43"/>
      <c r="C25" s="37"/>
      <c r="D25" s="37"/>
      <c r="E25" s="37"/>
      <c r="F25" s="37"/>
      <c r="G25" s="37"/>
      <c r="H25" s="37"/>
      <c r="I25" s="37"/>
      <c r="J25" s="37"/>
      <c r="K25" s="37"/>
      <c r="L25" s="62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</row>
    <row r="26" s="2" customFormat="1" ht="12" customHeight="1">
      <c r="A26" s="37"/>
      <c r="B26" s="43"/>
      <c r="C26" s="37"/>
      <c r="D26" s="139" t="s">
        <v>36</v>
      </c>
      <c r="E26" s="37"/>
      <c r="F26" s="37"/>
      <c r="G26" s="37"/>
      <c r="H26" s="37"/>
      <c r="I26" s="37"/>
      <c r="J26" s="37"/>
      <c r="K26" s="37"/>
      <c r="L26" s="62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</row>
    <row r="27" s="8" customFormat="1" ht="16.5" customHeight="1">
      <c r="A27" s="144"/>
      <c r="B27" s="145"/>
      <c r="C27" s="144"/>
      <c r="D27" s="144"/>
      <c r="E27" s="146" t="s">
        <v>1</v>
      </c>
      <c r="F27" s="146"/>
      <c r="G27" s="146"/>
      <c r="H27" s="146"/>
      <c r="I27" s="144"/>
      <c r="J27" s="144"/>
      <c r="K27" s="144"/>
      <c r="L27" s="147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</row>
    <row r="28" s="2" customFormat="1" ht="6.96" customHeight="1">
      <c r="A28" s="37"/>
      <c r="B28" s="43"/>
      <c r="C28" s="37"/>
      <c r="D28" s="37"/>
      <c r="E28" s="37"/>
      <c r="F28" s="37"/>
      <c r="G28" s="37"/>
      <c r="H28" s="37"/>
      <c r="I28" s="37"/>
      <c r="J28" s="37"/>
      <c r="K28" s="37"/>
      <c r="L28" s="62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</row>
    <row r="29" s="2" customFormat="1" ht="6.96" customHeight="1">
      <c r="A29" s="37"/>
      <c r="B29" s="43"/>
      <c r="C29" s="37"/>
      <c r="D29" s="148"/>
      <c r="E29" s="148"/>
      <c r="F29" s="148"/>
      <c r="G29" s="148"/>
      <c r="H29" s="148"/>
      <c r="I29" s="148"/>
      <c r="J29" s="148"/>
      <c r="K29" s="148"/>
      <c r="L29" s="62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</row>
    <row r="30" s="2" customFormat="1" ht="25.44" customHeight="1">
      <c r="A30" s="37"/>
      <c r="B30" s="43"/>
      <c r="C30" s="37"/>
      <c r="D30" s="149" t="s">
        <v>37</v>
      </c>
      <c r="E30" s="37"/>
      <c r="F30" s="37"/>
      <c r="G30" s="37"/>
      <c r="H30" s="37"/>
      <c r="I30" s="37"/>
      <c r="J30" s="150">
        <f>ROUND(J122, 0)</f>
        <v>0</v>
      </c>
      <c r="K30" s="37"/>
      <c r="L30" s="62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</row>
    <row r="31" s="2" customFormat="1" ht="6.96" customHeight="1">
      <c r="A31" s="37"/>
      <c r="B31" s="43"/>
      <c r="C31" s="37"/>
      <c r="D31" s="148"/>
      <c r="E31" s="148"/>
      <c r="F31" s="148"/>
      <c r="G31" s="148"/>
      <c r="H31" s="148"/>
      <c r="I31" s="148"/>
      <c r="J31" s="148"/>
      <c r="K31" s="148"/>
      <c r="L31" s="62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</row>
    <row r="32" s="2" customFormat="1" ht="14.4" customHeight="1">
      <c r="A32" s="37"/>
      <c r="B32" s="43"/>
      <c r="C32" s="37"/>
      <c r="D32" s="37"/>
      <c r="E32" s="37"/>
      <c r="F32" s="151" t="s">
        <v>39</v>
      </c>
      <c r="G32" s="37"/>
      <c r="H32" s="37"/>
      <c r="I32" s="151" t="s">
        <v>38</v>
      </c>
      <c r="J32" s="151" t="s">
        <v>40</v>
      </c>
      <c r="K32" s="37"/>
      <c r="L32" s="62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</row>
    <row r="33" s="2" customFormat="1" ht="14.4" customHeight="1">
      <c r="A33" s="37"/>
      <c r="B33" s="43"/>
      <c r="C33" s="37"/>
      <c r="D33" s="152" t="s">
        <v>41</v>
      </c>
      <c r="E33" s="139" t="s">
        <v>42</v>
      </c>
      <c r="F33" s="153">
        <f>ROUND((SUM(BE122:BE143)),  0)</f>
        <v>0</v>
      </c>
      <c r="G33" s="37"/>
      <c r="H33" s="37"/>
      <c r="I33" s="154">
        <v>0.20999999999999999</v>
      </c>
      <c r="J33" s="153">
        <f>ROUND(((SUM(BE122:BE143))*I33),  0)</f>
        <v>0</v>
      </c>
      <c r="K33" s="37"/>
      <c r="L33" s="62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</row>
    <row r="34" s="2" customFormat="1" ht="14.4" customHeight="1">
      <c r="A34" s="37"/>
      <c r="B34" s="43"/>
      <c r="C34" s="37"/>
      <c r="D34" s="37"/>
      <c r="E34" s="139" t="s">
        <v>43</v>
      </c>
      <c r="F34" s="153">
        <f>ROUND((SUM(BF122:BF143)),  0)</f>
        <v>0</v>
      </c>
      <c r="G34" s="37"/>
      <c r="H34" s="37"/>
      <c r="I34" s="154">
        <v>0.12</v>
      </c>
      <c r="J34" s="153">
        <f>ROUND(((SUM(BF122:BF143))*I34),  0)</f>
        <v>0</v>
      </c>
      <c r="K34" s="37"/>
      <c r="L34" s="62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</row>
    <row r="35" hidden="1" s="2" customFormat="1" ht="14.4" customHeight="1">
      <c r="A35" s="37"/>
      <c r="B35" s="43"/>
      <c r="C35" s="37"/>
      <c r="D35" s="37"/>
      <c r="E35" s="139" t="s">
        <v>44</v>
      </c>
      <c r="F35" s="153">
        <f>ROUND((SUM(BG122:BG143)),  0)</f>
        <v>0</v>
      </c>
      <c r="G35" s="37"/>
      <c r="H35" s="37"/>
      <c r="I35" s="154">
        <v>0.20999999999999999</v>
      </c>
      <c r="J35" s="153">
        <f>0</f>
        <v>0</v>
      </c>
      <c r="K35" s="37"/>
      <c r="L35" s="62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</row>
    <row r="36" hidden="1" s="2" customFormat="1" ht="14.4" customHeight="1">
      <c r="A36" s="37"/>
      <c r="B36" s="43"/>
      <c r="C36" s="37"/>
      <c r="D36" s="37"/>
      <c r="E36" s="139" t="s">
        <v>45</v>
      </c>
      <c r="F36" s="153">
        <f>ROUND((SUM(BH122:BH143)),  0)</f>
        <v>0</v>
      </c>
      <c r="G36" s="37"/>
      <c r="H36" s="37"/>
      <c r="I36" s="154">
        <v>0.12</v>
      </c>
      <c r="J36" s="153">
        <f>0</f>
        <v>0</v>
      </c>
      <c r="K36" s="37"/>
      <c r="L36" s="62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</row>
    <row r="37" hidden="1" s="2" customFormat="1" ht="14.4" customHeight="1">
      <c r="A37" s="37"/>
      <c r="B37" s="43"/>
      <c r="C37" s="37"/>
      <c r="D37" s="37"/>
      <c r="E37" s="139" t="s">
        <v>46</v>
      </c>
      <c r="F37" s="153">
        <f>ROUND((SUM(BI122:BI143)),  0)</f>
        <v>0</v>
      </c>
      <c r="G37" s="37"/>
      <c r="H37" s="37"/>
      <c r="I37" s="154">
        <v>0</v>
      </c>
      <c r="J37" s="153">
        <f>0</f>
        <v>0</v>
      </c>
      <c r="K37" s="37"/>
      <c r="L37" s="62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</row>
    <row r="38" s="2" customFormat="1" ht="6.96" customHeight="1">
      <c r="A38" s="37"/>
      <c r="B38" s="43"/>
      <c r="C38" s="37"/>
      <c r="D38" s="37"/>
      <c r="E38" s="37"/>
      <c r="F38" s="37"/>
      <c r="G38" s="37"/>
      <c r="H38" s="37"/>
      <c r="I38" s="37"/>
      <c r="J38" s="37"/>
      <c r="K38" s="37"/>
      <c r="L38" s="62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</row>
    <row r="39" s="2" customFormat="1" ht="25.44" customHeight="1">
      <c r="A39" s="37"/>
      <c r="B39" s="43"/>
      <c r="C39" s="155"/>
      <c r="D39" s="156" t="s">
        <v>47</v>
      </c>
      <c r="E39" s="157"/>
      <c r="F39" s="157"/>
      <c r="G39" s="158" t="s">
        <v>48</v>
      </c>
      <c r="H39" s="159" t="s">
        <v>49</v>
      </c>
      <c r="I39" s="157"/>
      <c r="J39" s="160">
        <f>SUM(J30:J37)</f>
        <v>0</v>
      </c>
      <c r="K39" s="161"/>
      <c r="L39" s="62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</row>
    <row r="40" s="2" customFormat="1" ht="14.4" customHeight="1">
      <c r="A40" s="37"/>
      <c r="B40" s="43"/>
      <c r="C40" s="37"/>
      <c r="D40" s="37"/>
      <c r="E40" s="37"/>
      <c r="F40" s="37"/>
      <c r="G40" s="37"/>
      <c r="H40" s="37"/>
      <c r="I40" s="37"/>
      <c r="J40" s="37"/>
      <c r="K40" s="37"/>
      <c r="L40" s="62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</row>
    <row r="41" s="1" customFormat="1" ht="14.4" customHeight="1">
      <c r="B41" s="19"/>
      <c r="L41" s="19"/>
    </row>
    <row r="42" s="1" customFormat="1" ht="14.4" customHeight="1">
      <c r="B42" s="19"/>
      <c r="L42" s="19"/>
    </row>
    <row r="43" s="1" customFormat="1" ht="14.4" customHeight="1">
      <c r="B43" s="19"/>
      <c r="L43" s="19"/>
    </row>
    <row r="44" s="1" customFormat="1" ht="14.4" customHeight="1">
      <c r="B44" s="19"/>
      <c r="L44" s="19"/>
    </row>
    <row r="45" s="1" customFormat="1" ht="14.4" customHeight="1">
      <c r="B45" s="19"/>
      <c r="L45" s="19"/>
    </row>
    <row r="46" s="1" customFormat="1" ht="14.4" customHeight="1">
      <c r="B46" s="19"/>
      <c r="L46" s="19"/>
    </row>
    <row r="47" s="1" customFormat="1" ht="14.4" customHeight="1">
      <c r="B47" s="19"/>
      <c r="L47" s="19"/>
    </row>
    <row r="48" s="1" customFormat="1" ht="14.4" customHeight="1">
      <c r="B48" s="19"/>
      <c r="L48" s="19"/>
    </row>
    <row r="49" s="1" customFormat="1" ht="14.4" customHeight="1">
      <c r="B49" s="19"/>
      <c r="L49" s="19"/>
    </row>
    <row r="50" s="2" customFormat="1" ht="14.4" customHeight="1">
      <c r="B50" s="62"/>
      <c r="D50" s="162" t="s">
        <v>50</v>
      </c>
      <c r="E50" s="163"/>
      <c r="F50" s="163"/>
      <c r="G50" s="162" t="s">
        <v>51</v>
      </c>
      <c r="H50" s="163"/>
      <c r="I50" s="163"/>
      <c r="J50" s="163"/>
      <c r="K50" s="163"/>
      <c r="L50" s="62"/>
    </row>
    <row r="51">
      <c r="B51" s="19"/>
      <c r="L51" s="19"/>
    </row>
    <row r="52">
      <c r="B52" s="19"/>
      <c r="L52" s="19"/>
    </row>
    <row r="53">
      <c r="B53" s="19"/>
      <c r="L53" s="19"/>
    </row>
    <row r="54">
      <c r="B54" s="19"/>
      <c r="L54" s="19"/>
    </row>
    <row r="55">
      <c r="B55" s="19"/>
      <c r="L55" s="19"/>
    </row>
    <row r="56">
      <c r="B56" s="19"/>
      <c r="L56" s="19"/>
    </row>
    <row r="57">
      <c r="B57" s="19"/>
      <c r="L57" s="19"/>
    </row>
    <row r="58">
      <c r="B58" s="19"/>
      <c r="L58" s="19"/>
    </row>
    <row r="59">
      <c r="B59" s="19"/>
      <c r="L59" s="19"/>
    </row>
    <row r="60">
      <c r="B60" s="19"/>
      <c r="L60" s="19"/>
    </row>
    <row r="61" s="2" customFormat="1">
      <c r="A61" s="37"/>
      <c r="B61" s="43"/>
      <c r="C61" s="37"/>
      <c r="D61" s="164" t="s">
        <v>52</v>
      </c>
      <c r="E61" s="165"/>
      <c r="F61" s="166" t="s">
        <v>53</v>
      </c>
      <c r="G61" s="164" t="s">
        <v>52</v>
      </c>
      <c r="H61" s="165"/>
      <c r="I61" s="165"/>
      <c r="J61" s="167" t="s">
        <v>53</v>
      </c>
      <c r="K61" s="165"/>
      <c r="L61" s="62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</row>
    <row r="62">
      <c r="B62" s="19"/>
      <c r="L62" s="19"/>
    </row>
    <row r="63">
      <c r="B63" s="19"/>
      <c r="L63" s="19"/>
    </row>
    <row r="64">
      <c r="B64" s="19"/>
      <c r="L64" s="19"/>
    </row>
    <row r="65" s="2" customFormat="1">
      <c r="A65" s="37"/>
      <c r="B65" s="43"/>
      <c r="C65" s="37"/>
      <c r="D65" s="162" t="s">
        <v>54</v>
      </c>
      <c r="E65" s="168"/>
      <c r="F65" s="168"/>
      <c r="G65" s="162" t="s">
        <v>55</v>
      </c>
      <c r="H65" s="168"/>
      <c r="I65" s="168"/>
      <c r="J65" s="168"/>
      <c r="K65" s="168"/>
      <c r="L65" s="62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</row>
    <row r="66">
      <c r="B66" s="19"/>
      <c r="L66" s="19"/>
    </row>
    <row r="67">
      <c r="B67" s="19"/>
      <c r="L67" s="19"/>
    </row>
    <row r="68">
      <c r="B68" s="19"/>
      <c r="L68" s="19"/>
    </row>
    <row r="69">
      <c r="B69" s="19"/>
      <c r="L69" s="19"/>
    </row>
    <row r="70">
      <c r="B70" s="19"/>
      <c r="L70" s="19"/>
    </row>
    <row r="71">
      <c r="B71" s="19"/>
      <c r="L71" s="19"/>
    </row>
    <row r="72">
      <c r="B72" s="19"/>
      <c r="L72" s="19"/>
    </row>
    <row r="73">
      <c r="B73" s="19"/>
      <c r="L73" s="19"/>
    </row>
    <row r="74">
      <c r="B74" s="19"/>
      <c r="L74" s="19"/>
    </row>
    <row r="75">
      <c r="B75" s="19"/>
      <c r="L75" s="19"/>
    </row>
    <row r="76" s="2" customFormat="1">
      <c r="A76" s="37"/>
      <c r="B76" s="43"/>
      <c r="C76" s="37"/>
      <c r="D76" s="164" t="s">
        <v>52</v>
      </c>
      <c r="E76" s="165"/>
      <c r="F76" s="166" t="s">
        <v>53</v>
      </c>
      <c r="G76" s="164" t="s">
        <v>52</v>
      </c>
      <c r="H76" s="165"/>
      <c r="I76" s="165"/>
      <c r="J76" s="167" t="s">
        <v>53</v>
      </c>
      <c r="K76" s="165"/>
      <c r="L76" s="62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</row>
    <row r="77" s="2" customFormat="1" ht="14.4" customHeight="1">
      <c r="A77" s="37"/>
      <c r="B77" s="169"/>
      <c r="C77" s="170"/>
      <c r="D77" s="170"/>
      <c r="E77" s="170"/>
      <c r="F77" s="170"/>
      <c r="G77" s="170"/>
      <c r="H77" s="170"/>
      <c r="I77" s="170"/>
      <c r="J77" s="170"/>
      <c r="K77" s="170"/>
      <c r="L77" s="62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</row>
    <row r="81" s="2" customFormat="1" ht="6.96" customHeight="1">
      <c r="A81" s="37"/>
      <c r="B81" s="171"/>
      <c r="C81" s="172"/>
      <c r="D81" s="172"/>
      <c r="E81" s="172"/>
      <c r="F81" s="172"/>
      <c r="G81" s="172"/>
      <c r="H81" s="172"/>
      <c r="I81" s="172"/>
      <c r="J81" s="172"/>
      <c r="K81" s="172"/>
      <c r="L81" s="62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</row>
    <row r="82" s="2" customFormat="1" ht="24.96" customHeight="1">
      <c r="A82" s="37"/>
      <c r="B82" s="38"/>
      <c r="C82" s="22" t="s">
        <v>111</v>
      </c>
      <c r="D82" s="39"/>
      <c r="E82" s="39"/>
      <c r="F82" s="39"/>
      <c r="G82" s="39"/>
      <c r="H82" s="39"/>
      <c r="I82" s="39"/>
      <c r="J82" s="39"/>
      <c r="K82" s="39"/>
      <c r="L82" s="62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</row>
    <row r="83" s="2" customFormat="1" ht="6.96" customHeight="1">
      <c r="A83" s="37"/>
      <c r="B83" s="38"/>
      <c r="C83" s="39"/>
      <c r="D83" s="39"/>
      <c r="E83" s="39"/>
      <c r="F83" s="39"/>
      <c r="G83" s="39"/>
      <c r="H83" s="39"/>
      <c r="I83" s="39"/>
      <c r="J83" s="39"/>
      <c r="K83" s="39"/>
      <c r="L83" s="62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</row>
    <row r="84" s="2" customFormat="1" ht="12" customHeight="1">
      <c r="A84" s="37"/>
      <c r="B84" s="38"/>
      <c r="C84" s="31" t="s">
        <v>17</v>
      </c>
      <c r="D84" s="39"/>
      <c r="E84" s="39"/>
      <c r="F84" s="39"/>
      <c r="G84" s="39"/>
      <c r="H84" s="39"/>
      <c r="I84" s="39"/>
      <c r="J84" s="39"/>
      <c r="K84" s="39"/>
      <c r="L84" s="62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</row>
    <row r="85" s="2" customFormat="1" ht="16.5" customHeight="1">
      <c r="A85" s="37"/>
      <c r="B85" s="38"/>
      <c r="C85" s="39"/>
      <c r="D85" s="39"/>
      <c r="E85" s="173" t="str">
        <f>E7</f>
        <v>Areál společnosti FORESTINA s.r.o. Horažďovice, Blatenská 587</v>
      </c>
      <c r="F85" s="31"/>
      <c r="G85" s="31"/>
      <c r="H85" s="31"/>
      <c r="I85" s="39"/>
      <c r="J85" s="39"/>
      <c r="K85" s="39"/>
      <c r="L85" s="62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</row>
    <row r="86" s="2" customFormat="1" ht="12" customHeight="1">
      <c r="A86" s="37"/>
      <c r="B86" s="38"/>
      <c r="C86" s="31" t="s">
        <v>109</v>
      </c>
      <c r="D86" s="39"/>
      <c r="E86" s="39"/>
      <c r="F86" s="39"/>
      <c r="G86" s="39"/>
      <c r="H86" s="39"/>
      <c r="I86" s="39"/>
      <c r="J86" s="39"/>
      <c r="K86" s="39"/>
      <c r="L86" s="62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</row>
    <row r="87" s="2" customFormat="1" ht="16.5" customHeight="1">
      <c r="A87" s="37"/>
      <c r="B87" s="38"/>
      <c r="C87" s="39"/>
      <c r="D87" s="39"/>
      <c r="E87" s="75" t="str">
        <f>E9</f>
        <v>090 - Vedlejší a ostatní rozpočtové náklady</v>
      </c>
      <c r="F87" s="39"/>
      <c r="G87" s="39"/>
      <c r="H87" s="39"/>
      <c r="I87" s="39"/>
      <c r="J87" s="39"/>
      <c r="K87" s="39"/>
      <c r="L87" s="62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</row>
    <row r="88" s="2" customFormat="1" ht="6.96" customHeight="1">
      <c r="A88" s="37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62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</row>
    <row r="89" s="2" customFormat="1" ht="12" customHeight="1">
      <c r="A89" s="37"/>
      <c r="B89" s="38"/>
      <c r="C89" s="31" t="s">
        <v>21</v>
      </c>
      <c r="D89" s="39"/>
      <c r="E89" s="39"/>
      <c r="F89" s="26" t="str">
        <f>F12</f>
        <v>Horažďovice</v>
      </c>
      <c r="G89" s="39"/>
      <c r="H89" s="39"/>
      <c r="I89" s="31" t="s">
        <v>23</v>
      </c>
      <c r="J89" s="78" t="str">
        <f>IF(J12="","",J12)</f>
        <v>26. 11. 2025</v>
      </c>
      <c r="K89" s="39"/>
      <c r="L89" s="62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</row>
    <row r="90" s="2" customFormat="1" ht="6.96" customHeight="1">
      <c r="A90" s="37"/>
      <c r="B90" s="38"/>
      <c r="C90" s="39"/>
      <c r="D90" s="39"/>
      <c r="E90" s="39"/>
      <c r="F90" s="39"/>
      <c r="G90" s="39"/>
      <c r="H90" s="39"/>
      <c r="I90" s="39"/>
      <c r="J90" s="39"/>
      <c r="K90" s="39"/>
      <c r="L90" s="62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</row>
    <row r="91" s="2" customFormat="1" ht="25.65" customHeight="1">
      <c r="A91" s="37"/>
      <c r="B91" s="38"/>
      <c r="C91" s="31" t="s">
        <v>25</v>
      </c>
      <c r="D91" s="39"/>
      <c r="E91" s="39"/>
      <c r="F91" s="26" t="str">
        <f>E15</f>
        <v>FORESTINA s.r.o.</v>
      </c>
      <c r="G91" s="39"/>
      <c r="H91" s="39"/>
      <c r="I91" s="31" t="s">
        <v>31</v>
      </c>
      <c r="J91" s="35" t="str">
        <f>E21</f>
        <v>STA projektový ateliér, s.r.o.</v>
      </c>
      <c r="K91" s="39"/>
      <c r="L91" s="62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</row>
    <row r="92" s="2" customFormat="1" ht="15.15" customHeight="1">
      <c r="A92" s="37"/>
      <c r="B92" s="38"/>
      <c r="C92" s="31" t="s">
        <v>29</v>
      </c>
      <c r="D92" s="39"/>
      <c r="E92" s="39"/>
      <c r="F92" s="26" t="str">
        <f>IF(E18="","",E18)</f>
        <v>Vyplň údaj</v>
      </c>
      <c r="G92" s="39"/>
      <c r="H92" s="39"/>
      <c r="I92" s="31" t="s">
        <v>34</v>
      </c>
      <c r="J92" s="35" t="str">
        <f>E24</f>
        <v>Pavel Hrba</v>
      </c>
      <c r="K92" s="39"/>
      <c r="L92" s="62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</row>
    <row r="93" s="2" customFormat="1" ht="10.32" customHeight="1">
      <c r="A93" s="37"/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62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</row>
    <row r="94" s="2" customFormat="1" ht="29.28" customHeight="1">
      <c r="A94" s="37"/>
      <c r="B94" s="38"/>
      <c r="C94" s="174" t="s">
        <v>112</v>
      </c>
      <c r="D94" s="175"/>
      <c r="E94" s="175"/>
      <c r="F94" s="175"/>
      <c r="G94" s="175"/>
      <c r="H94" s="175"/>
      <c r="I94" s="175"/>
      <c r="J94" s="176" t="s">
        <v>113</v>
      </c>
      <c r="K94" s="175"/>
      <c r="L94" s="62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</row>
    <row r="95" s="2" customFormat="1" ht="10.32" customHeight="1">
      <c r="A95" s="37"/>
      <c r="B95" s="38"/>
      <c r="C95" s="39"/>
      <c r="D95" s="39"/>
      <c r="E95" s="39"/>
      <c r="F95" s="39"/>
      <c r="G95" s="39"/>
      <c r="H95" s="39"/>
      <c r="I95" s="39"/>
      <c r="J95" s="39"/>
      <c r="K95" s="39"/>
      <c r="L95" s="62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</row>
    <row r="96" s="2" customFormat="1" ht="22.8" customHeight="1">
      <c r="A96" s="37"/>
      <c r="B96" s="38"/>
      <c r="C96" s="177" t="s">
        <v>114</v>
      </c>
      <c r="D96" s="39"/>
      <c r="E96" s="39"/>
      <c r="F96" s="39"/>
      <c r="G96" s="39"/>
      <c r="H96" s="39"/>
      <c r="I96" s="39"/>
      <c r="J96" s="109">
        <f>J122</f>
        <v>0</v>
      </c>
      <c r="K96" s="39"/>
      <c r="L96" s="62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U96" s="16" t="s">
        <v>115</v>
      </c>
    </row>
    <row r="97" s="9" customFormat="1" ht="24.96" customHeight="1">
      <c r="A97" s="9"/>
      <c r="B97" s="178"/>
      <c r="C97" s="179"/>
      <c r="D97" s="180" t="s">
        <v>2784</v>
      </c>
      <c r="E97" s="181"/>
      <c r="F97" s="181"/>
      <c r="G97" s="181"/>
      <c r="H97" s="181"/>
      <c r="I97" s="181"/>
      <c r="J97" s="182">
        <f>J123</f>
        <v>0</v>
      </c>
      <c r="K97" s="179"/>
      <c r="L97" s="183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="10" customFormat="1" ht="19.92" customHeight="1">
      <c r="A98" s="10"/>
      <c r="B98" s="184"/>
      <c r="C98" s="185"/>
      <c r="D98" s="186" t="s">
        <v>2785</v>
      </c>
      <c r="E98" s="187"/>
      <c r="F98" s="187"/>
      <c r="G98" s="187"/>
      <c r="H98" s="187"/>
      <c r="I98" s="187"/>
      <c r="J98" s="188">
        <f>J124</f>
        <v>0</v>
      </c>
      <c r="K98" s="185"/>
      <c r="L98" s="189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="10" customFormat="1" ht="19.92" customHeight="1">
      <c r="A99" s="10"/>
      <c r="B99" s="184"/>
      <c r="C99" s="185"/>
      <c r="D99" s="186" t="s">
        <v>2786</v>
      </c>
      <c r="E99" s="187"/>
      <c r="F99" s="187"/>
      <c r="G99" s="187"/>
      <c r="H99" s="187"/>
      <c r="I99" s="187"/>
      <c r="J99" s="188">
        <f>J130</f>
        <v>0</v>
      </c>
      <c r="K99" s="185"/>
      <c r="L99" s="189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 s="10" customFormat="1" ht="19.92" customHeight="1">
      <c r="A100" s="10"/>
      <c r="B100" s="184"/>
      <c r="C100" s="185"/>
      <c r="D100" s="186" t="s">
        <v>2787</v>
      </c>
      <c r="E100" s="187"/>
      <c r="F100" s="187"/>
      <c r="G100" s="187"/>
      <c r="H100" s="187"/>
      <c r="I100" s="187"/>
      <c r="J100" s="188">
        <f>J132</f>
        <v>0</v>
      </c>
      <c r="K100" s="185"/>
      <c r="L100" s="189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s="10" customFormat="1" ht="19.92" customHeight="1">
      <c r="A101" s="10"/>
      <c r="B101" s="184"/>
      <c r="C101" s="185"/>
      <c r="D101" s="186" t="s">
        <v>2788</v>
      </c>
      <c r="E101" s="187"/>
      <c r="F101" s="187"/>
      <c r="G101" s="187"/>
      <c r="H101" s="187"/>
      <c r="I101" s="187"/>
      <c r="J101" s="188">
        <f>J139</f>
        <v>0</v>
      </c>
      <c r="K101" s="185"/>
      <c r="L101" s="189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 s="10" customFormat="1" ht="19.92" customHeight="1">
      <c r="A102" s="10"/>
      <c r="B102" s="184"/>
      <c r="C102" s="185"/>
      <c r="D102" s="186" t="s">
        <v>2789</v>
      </c>
      <c r="E102" s="187"/>
      <c r="F102" s="187"/>
      <c r="G102" s="187"/>
      <c r="H102" s="187"/>
      <c r="I102" s="187"/>
      <c r="J102" s="188">
        <f>J142</f>
        <v>0</v>
      </c>
      <c r="K102" s="185"/>
      <c r="L102" s="189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 s="2" customFormat="1" ht="21.84" customHeight="1">
      <c r="A103" s="37"/>
      <c r="B103" s="38"/>
      <c r="C103" s="39"/>
      <c r="D103" s="39"/>
      <c r="E103" s="39"/>
      <c r="F103" s="39"/>
      <c r="G103" s="39"/>
      <c r="H103" s="39"/>
      <c r="I103" s="39"/>
      <c r="J103" s="39"/>
      <c r="K103" s="39"/>
      <c r="L103" s="62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</row>
    <row r="104" s="2" customFormat="1" ht="6.96" customHeight="1">
      <c r="A104" s="37"/>
      <c r="B104" s="65"/>
      <c r="C104" s="66"/>
      <c r="D104" s="66"/>
      <c r="E104" s="66"/>
      <c r="F104" s="66"/>
      <c r="G104" s="66"/>
      <c r="H104" s="66"/>
      <c r="I104" s="66"/>
      <c r="J104" s="66"/>
      <c r="K104" s="66"/>
      <c r="L104" s="62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</row>
    <row r="108" s="2" customFormat="1" ht="6.96" customHeight="1">
      <c r="A108" s="37"/>
      <c r="B108" s="67"/>
      <c r="C108" s="68"/>
      <c r="D108" s="68"/>
      <c r="E108" s="68"/>
      <c r="F108" s="68"/>
      <c r="G108" s="68"/>
      <c r="H108" s="68"/>
      <c r="I108" s="68"/>
      <c r="J108" s="68"/>
      <c r="K108" s="68"/>
      <c r="L108" s="62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</row>
    <row r="109" s="2" customFormat="1" ht="24.96" customHeight="1">
      <c r="A109" s="37"/>
      <c r="B109" s="38"/>
      <c r="C109" s="22" t="s">
        <v>142</v>
      </c>
      <c r="D109" s="39"/>
      <c r="E109" s="39"/>
      <c r="F109" s="39"/>
      <c r="G109" s="39"/>
      <c r="H109" s="39"/>
      <c r="I109" s="39"/>
      <c r="J109" s="39"/>
      <c r="K109" s="39"/>
      <c r="L109" s="62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</row>
    <row r="110" s="2" customFormat="1" ht="6.96" customHeight="1">
      <c r="A110" s="37"/>
      <c r="B110" s="38"/>
      <c r="C110" s="39"/>
      <c r="D110" s="39"/>
      <c r="E110" s="39"/>
      <c r="F110" s="39"/>
      <c r="G110" s="39"/>
      <c r="H110" s="39"/>
      <c r="I110" s="39"/>
      <c r="J110" s="39"/>
      <c r="K110" s="39"/>
      <c r="L110" s="62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</row>
    <row r="111" s="2" customFormat="1" ht="12" customHeight="1">
      <c r="A111" s="37"/>
      <c r="B111" s="38"/>
      <c r="C111" s="31" t="s">
        <v>17</v>
      </c>
      <c r="D111" s="39"/>
      <c r="E111" s="39"/>
      <c r="F111" s="39"/>
      <c r="G111" s="39"/>
      <c r="H111" s="39"/>
      <c r="I111" s="39"/>
      <c r="J111" s="39"/>
      <c r="K111" s="39"/>
      <c r="L111" s="62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</row>
    <row r="112" s="2" customFormat="1" ht="16.5" customHeight="1">
      <c r="A112" s="37"/>
      <c r="B112" s="38"/>
      <c r="C112" s="39"/>
      <c r="D112" s="39"/>
      <c r="E112" s="173" t="str">
        <f>E7</f>
        <v>Areál společnosti FORESTINA s.r.o. Horažďovice, Blatenská 587</v>
      </c>
      <c r="F112" s="31"/>
      <c r="G112" s="31"/>
      <c r="H112" s="31"/>
      <c r="I112" s="39"/>
      <c r="J112" s="39"/>
      <c r="K112" s="39"/>
      <c r="L112" s="62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</row>
    <row r="113" s="2" customFormat="1" ht="12" customHeight="1">
      <c r="A113" s="37"/>
      <c r="B113" s="38"/>
      <c r="C113" s="31" t="s">
        <v>109</v>
      </c>
      <c r="D113" s="39"/>
      <c r="E113" s="39"/>
      <c r="F113" s="39"/>
      <c r="G113" s="39"/>
      <c r="H113" s="39"/>
      <c r="I113" s="39"/>
      <c r="J113" s="39"/>
      <c r="K113" s="39"/>
      <c r="L113" s="62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</row>
    <row r="114" s="2" customFormat="1" ht="16.5" customHeight="1">
      <c r="A114" s="37"/>
      <c r="B114" s="38"/>
      <c r="C114" s="39"/>
      <c r="D114" s="39"/>
      <c r="E114" s="75" t="str">
        <f>E9</f>
        <v>090 - Vedlejší a ostatní rozpočtové náklady</v>
      </c>
      <c r="F114" s="39"/>
      <c r="G114" s="39"/>
      <c r="H114" s="39"/>
      <c r="I114" s="39"/>
      <c r="J114" s="39"/>
      <c r="K114" s="39"/>
      <c r="L114" s="62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</row>
    <row r="115" s="2" customFormat="1" ht="6.96" customHeight="1">
      <c r="A115" s="37"/>
      <c r="B115" s="38"/>
      <c r="C115" s="39"/>
      <c r="D115" s="39"/>
      <c r="E115" s="39"/>
      <c r="F115" s="39"/>
      <c r="G115" s="39"/>
      <c r="H115" s="39"/>
      <c r="I115" s="39"/>
      <c r="J115" s="39"/>
      <c r="K115" s="39"/>
      <c r="L115" s="62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</row>
    <row r="116" s="2" customFormat="1" ht="12" customHeight="1">
      <c r="A116" s="37"/>
      <c r="B116" s="38"/>
      <c r="C116" s="31" t="s">
        <v>21</v>
      </c>
      <c r="D116" s="39"/>
      <c r="E116" s="39"/>
      <c r="F116" s="26" t="str">
        <f>F12</f>
        <v>Horažďovice</v>
      </c>
      <c r="G116" s="39"/>
      <c r="H116" s="39"/>
      <c r="I116" s="31" t="s">
        <v>23</v>
      </c>
      <c r="J116" s="78" t="str">
        <f>IF(J12="","",J12)</f>
        <v>26. 11. 2025</v>
      </c>
      <c r="K116" s="39"/>
      <c r="L116" s="62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</row>
    <row r="117" s="2" customFormat="1" ht="6.96" customHeight="1">
      <c r="A117" s="37"/>
      <c r="B117" s="38"/>
      <c r="C117" s="39"/>
      <c r="D117" s="39"/>
      <c r="E117" s="39"/>
      <c r="F117" s="39"/>
      <c r="G117" s="39"/>
      <c r="H117" s="39"/>
      <c r="I117" s="39"/>
      <c r="J117" s="39"/>
      <c r="K117" s="39"/>
      <c r="L117" s="62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</row>
    <row r="118" s="2" customFormat="1" ht="25.65" customHeight="1">
      <c r="A118" s="37"/>
      <c r="B118" s="38"/>
      <c r="C118" s="31" t="s">
        <v>25</v>
      </c>
      <c r="D118" s="39"/>
      <c r="E118" s="39"/>
      <c r="F118" s="26" t="str">
        <f>E15</f>
        <v>FORESTINA s.r.o.</v>
      </c>
      <c r="G118" s="39"/>
      <c r="H118" s="39"/>
      <c r="I118" s="31" t="s">
        <v>31</v>
      </c>
      <c r="J118" s="35" t="str">
        <f>E21</f>
        <v>STA projektový ateliér, s.r.o.</v>
      </c>
      <c r="K118" s="39"/>
      <c r="L118" s="62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</row>
    <row r="119" s="2" customFormat="1" ht="15.15" customHeight="1">
      <c r="A119" s="37"/>
      <c r="B119" s="38"/>
      <c r="C119" s="31" t="s">
        <v>29</v>
      </c>
      <c r="D119" s="39"/>
      <c r="E119" s="39"/>
      <c r="F119" s="26" t="str">
        <f>IF(E18="","",E18)</f>
        <v>Vyplň údaj</v>
      </c>
      <c r="G119" s="39"/>
      <c r="H119" s="39"/>
      <c r="I119" s="31" t="s">
        <v>34</v>
      </c>
      <c r="J119" s="35" t="str">
        <f>E24</f>
        <v>Pavel Hrba</v>
      </c>
      <c r="K119" s="39"/>
      <c r="L119" s="62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</row>
    <row r="120" s="2" customFormat="1" ht="10.32" customHeight="1">
      <c r="A120" s="37"/>
      <c r="B120" s="38"/>
      <c r="C120" s="39"/>
      <c r="D120" s="39"/>
      <c r="E120" s="39"/>
      <c r="F120" s="39"/>
      <c r="G120" s="39"/>
      <c r="H120" s="39"/>
      <c r="I120" s="39"/>
      <c r="J120" s="39"/>
      <c r="K120" s="39"/>
      <c r="L120" s="62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</row>
    <row r="121" s="11" customFormat="1" ht="29.28" customHeight="1">
      <c r="A121" s="190"/>
      <c r="B121" s="191"/>
      <c r="C121" s="192" t="s">
        <v>143</v>
      </c>
      <c r="D121" s="193" t="s">
        <v>62</v>
      </c>
      <c r="E121" s="193" t="s">
        <v>58</v>
      </c>
      <c r="F121" s="193" t="s">
        <v>59</v>
      </c>
      <c r="G121" s="193" t="s">
        <v>144</v>
      </c>
      <c r="H121" s="193" t="s">
        <v>145</v>
      </c>
      <c r="I121" s="193" t="s">
        <v>146</v>
      </c>
      <c r="J121" s="194" t="s">
        <v>113</v>
      </c>
      <c r="K121" s="195" t="s">
        <v>147</v>
      </c>
      <c r="L121" s="196"/>
      <c r="M121" s="99" t="s">
        <v>1</v>
      </c>
      <c r="N121" s="100" t="s">
        <v>41</v>
      </c>
      <c r="O121" s="100" t="s">
        <v>148</v>
      </c>
      <c r="P121" s="100" t="s">
        <v>149</v>
      </c>
      <c r="Q121" s="100" t="s">
        <v>150</v>
      </c>
      <c r="R121" s="100" t="s">
        <v>151</v>
      </c>
      <c r="S121" s="100" t="s">
        <v>152</v>
      </c>
      <c r="T121" s="101" t="s">
        <v>153</v>
      </c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</row>
    <row r="122" s="2" customFormat="1" ht="22.8" customHeight="1">
      <c r="A122" s="37"/>
      <c r="B122" s="38"/>
      <c r="C122" s="106" t="s">
        <v>154</v>
      </c>
      <c r="D122" s="39"/>
      <c r="E122" s="39"/>
      <c r="F122" s="39"/>
      <c r="G122" s="39"/>
      <c r="H122" s="39"/>
      <c r="I122" s="39"/>
      <c r="J122" s="197">
        <f>BK122</f>
        <v>0</v>
      </c>
      <c r="K122" s="39"/>
      <c r="L122" s="43"/>
      <c r="M122" s="102"/>
      <c r="N122" s="198"/>
      <c r="O122" s="103"/>
      <c r="P122" s="199">
        <f>P123</f>
        <v>0</v>
      </c>
      <c r="Q122" s="103"/>
      <c r="R122" s="199">
        <f>R123</f>
        <v>0</v>
      </c>
      <c r="S122" s="103"/>
      <c r="T122" s="200">
        <f>T123</f>
        <v>0</v>
      </c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T122" s="16" t="s">
        <v>76</v>
      </c>
      <c r="AU122" s="16" t="s">
        <v>115</v>
      </c>
      <c r="BK122" s="201">
        <f>BK123</f>
        <v>0</v>
      </c>
    </row>
    <row r="123" s="12" customFormat="1" ht="25.92" customHeight="1">
      <c r="A123" s="12"/>
      <c r="B123" s="202"/>
      <c r="C123" s="203"/>
      <c r="D123" s="204" t="s">
        <v>76</v>
      </c>
      <c r="E123" s="205" t="s">
        <v>2790</v>
      </c>
      <c r="F123" s="205" t="s">
        <v>2791</v>
      </c>
      <c r="G123" s="203"/>
      <c r="H123" s="203"/>
      <c r="I123" s="206"/>
      <c r="J123" s="207">
        <f>BK123</f>
        <v>0</v>
      </c>
      <c r="K123" s="203"/>
      <c r="L123" s="208"/>
      <c r="M123" s="209"/>
      <c r="N123" s="210"/>
      <c r="O123" s="210"/>
      <c r="P123" s="211">
        <f>P124+P130+P132+P139+P142</f>
        <v>0</v>
      </c>
      <c r="Q123" s="210"/>
      <c r="R123" s="211">
        <f>R124+R130+R132+R139+R142</f>
        <v>0</v>
      </c>
      <c r="S123" s="210"/>
      <c r="T123" s="212">
        <f>T124+T130+T132+T139+T142</f>
        <v>0</v>
      </c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R123" s="213" t="s">
        <v>185</v>
      </c>
      <c r="AT123" s="214" t="s">
        <v>76</v>
      </c>
      <c r="AU123" s="214" t="s">
        <v>77</v>
      </c>
      <c r="AY123" s="213" t="s">
        <v>157</v>
      </c>
      <c r="BK123" s="215">
        <f>BK124+BK130+BK132+BK139+BK142</f>
        <v>0</v>
      </c>
    </row>
    <row r="124" s="12" customFormat="1" ht="22.8" customHeight="1">
      <c r="A124" s="12"/>
      <c r="B124" s="202"/>
      <c r="C124" s="203"/>
      <c r="D124" s="204" t="s">
        <v>76</v>
      </c>
      <c r="E124" s="216" t="s">
        <v>2792</v>
      </c>
      <c r="F124" s="216" t="s">
        <v>2793</v>
      </c>
      <c r="G124" s="203"/>
      <c r="H124" s="203"/>
      <c r="I124" s="206"/>
      <c r="J124" s="217">
        <f>BK124</f>
        <v>0</v>
      </c>
      <c r="K124" s="203"/>
      <c r="L124" s="208"/>
      <c r="M124" s="209"/>
      <c r="N124" s="210"/>
      <c r="O124" s="210"/>
      <c r="P124" s="211">
        <f>SUM(P125:P129)</f>
        <v>0</v>
      </c>
      <c r="Q124" s="210"/>
      <c r="R124" s="211">
        <f>SUM(R125:R129)</f>
        <v>0</v>
      </c>
      <c r="S124" s="210"/>
      <c r="T124" s="212">
        <f>SUM(T125:T129)</f>
        <v>0</v>
      </c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R124" s="213" t="s">
        <v>185</v>
      </c>
      <c r="AT124" s="214" t="s">
        <v>76</v>
      </c>
      <c r="AU124" s="214" t="s">
        <v>8</v>
      </c>
      <c r="AY124" s="213" t="s">
        <v>157</v>
      </c>
      <c r="BK124" s="215">
        <f>SUM(BK125:BK129)</f>
        <v>0</v>
      </c>
    </row>
    <row r="125" s="2" customFormat="1" ht="16.5" customHeight="1">
      <c r="A125" s="37"/>
      <c r="B125" s="38"/>
      <c r="C125" s="218" t="s">
        <v>8</v>
      </c>
      <c r="D125" s="218" t="s">
        <v>159</v>
      </c>
      <c r="E125" s="219" t="s">
        <v>2794</v>
      </c>
      <c r="F125" s="220" t="s">
        <v>2795</v>
      </c>
      <c r="G125" s="221" t="s">
        <v>1797</v>
      </c>
      <c r="H125" s="222">
        <v>1</v>
      </c>
      <c r="I125" s="223"/>
      <c r="J125" s="224">
        <f>ROUND(I125*H125,0)</f>
        <v>0</v>
      </c>
      <c r="K125" s="225"/>
      <c r="L125" s="43"/>
      <c r="M125" s="226" t="s">
        <v>1</v>
      </c>
      <c r="N125" s="227" t="s">
        <v>42</v>
      </c>
      <c r="O125" s="90"/>
      <c r="P125" s="228">
        <f>O125*H125</f>
        <v>0</v>
      </c>
      <c r="Q125" s="228">
        <v>0</v>
      </c>
      <c r="R125" s="228">
        <f>Q125*H125</f>
        <v>0</v>
      </c>
      <c r="S125" s="228">
        <v>0</v>
      </c>
      <c r="T125" s="229">
        <f>S125*H125</f>
        <v>0</v>
      </c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R125" s="230" t="s">
        <v>2796</v>
      </c>
      <c r="AT125" s="230" t="s">
        <v>159</v>
      </c>
      <c r="AU125" s="230" t="s">
        <v>86</v>
      </c>
      <c r="AY125" s="16" t="s">
        <v>157</v>
      </c>
      <c r="BE125" s="231">
        <f>IF(N125="základní",J125,0)</f>
        <v>0</v>
      </c>
      <c r="BF125" s="231">
        <f>IF(N125="snížená",J125,0)</f>
        <v>0</v>
      </c>
      <c r="BG125" s="231">
        <f>IF(N125="zákl. přenesená",J125,0)</f>
        <v>0</v>
      </c>
      <c r="BH125" s="231">
        <f>IF(N125="sníž. přenesená",J125,0)</f>
        <v>0</v>
      </c>
      <c r="BI125" s="231">
        <f>IF(N125="nulová",J125,0)</f>
        <v>0</v>
      </c>
      <c r="BJ125" s="16" t="s">
        <v>8</v>
      </c>
      <c r="BK125" s="231">
        <f>ROUND(I125*H125,0)</f>
        <v>0</v>
      </c>
      <c r="BL125" s="16" t="s">
        <v>2796</v>
      </c>
      <c r="BM125" s="230" t="s">
        <v>2797</v>
      </c>
    </row>
    <row r="126" s="2" customFormat="1" ht="16.5" customHeight="1">
      <c r="A126" s="37"/>
      <c r="B126" s="38"/>
      <c r="C126" s="218" t="s">
        <v>86</v>
      </c>
      <c r="D126" s="218" t="s">
        <v>159</v>
      </c>
      <c r="E126" s="219" t="s">
        <v>2798</v>
      </c>
      <c r="F126" s="220" t="s">
        <v>2799</v>
      </c>
      <c r="G126" s="221" t="s">
        <v>1797</v>
      </c>
      <c r="H126" s="222">
        <v>1</v>
      </c>
      <c r="I126" s="223"/>
      <c r="J126" s="224">
        <f>ROUND(I126*H126,0)</f>
        <v>0</v>
      </c>
      <c r="K126" s="225"/>
      <c r="L126" s="43"/>
      <c r="M126" s="226" t="s">
        <v>1</v>
      </c>
      <c r="N126" s="227" t="s">
        <v>42</v>
      </c>
      <c r="O126" s="90"/>
      <c r="P126" s="228">
        <f>O126*H126</f>
        <v>0</v>
      </c>
      <c r="Q126" s="228">
        <v>0</v>
      </c>
      <c r="R126" s="228">
        <f>Q126*H126</f>
        <v>0</v>
      </c>
      <c r="S126" s="228">
        <v>0</v>
      </c>
      <c r="T126" s="229">
        <f>S126*H126</f>
        <v>0</v>
      </c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R126" s="230" t="s">
        <v>2796</v>
      </c>
      <c r="AT126" s="230" t="s">
        <v>159</v>
      </c>
      <c r="AU126" s="230" t="s">
        <v>86</v>
      </c>
      <c r="AY126" s="16" t="s">
        <v>157</v>
      </c>
      <c r="BE126" s="231">
        <f>IF(N126="základní",J126,0)</f>
        <v>0</v>
      </c>
      <c r="BF126" s="231">
        <f>IF(N126="snížená",J126,0)</f>
        <v>0</v>
      </c>
      <c r="BG126" s="231">
        <f>IF(N126="zákl. přenesená",J126,0)</f>
        <v>0</v>
      </c>
      <c r="BH126" s="231">
        <f>IF(N126="sníž. přenesená",J126,0)</f>
        <v>0</v>
      </c>
      <c r="BI126" s="231">
        <f>IF(N126="nulová",J126,0)</f>
        <v>0</v>
      </c>
      <c r="BJ126" s="16" t="s">
        <v>8</v>
      </c>
      <c r="BK126" s="231">
        <f>ROUND(I126*H126,0)</f>
        <v>0</v>
      </c>
      <c r="BL126" s="16" t="s">
        <v>2796</v>
      </c>
      <c r="BM126" s="230" t="s">
        <v>2800</v>
      </c>
    </row>
    <row r="127" s="2" customFormat="1" ht="16.5" customHeight="1">
      <c r="A127" s="37"/>
      <c r="B127" s="38"/>
      <c r="C127" s="218" t="s">
        <v>176</v>
      </c>
      <c r="D127" s="218" t="s">
        <v>159</v>
      </c>
      <c r="E127" s="219" t="s">
        <v>2801</v>
      </c>
      <c r="F127" s="220" t="s">
        <v>2802</v>
      </c>
      <c r="G127" s="221" t="s">
        <v>1797</v>
      </c>
      <c r="H127" s="222">
        <v>1</v>
      </c>
      <c r="I127" s="223"/>
      <c r="J127" s="224">
        <f>ROUND(I127*H127,0)</f>
        <v>0</v>
      </c>
      <c r="K127" s="225"/>
      <c r="L127" s="43"/>
      <c r="M127" s="226" t="s">
        <v>1</v>
      </c>
      <c r="N127" s="227" t="s">
        <v>42</v>
      </c>
      <c r="O127" s="90"/>
      <c r="P127" s="228">
        <f>O127*H127</f>
        <v>0</v>
      </c>
      <c r="Q127" s="228">
        <v>0</v>
      </c>
      <c r="R127" s="228">
        <f>Q127*H127</f>
        <v>0</v>
      </c>
      <c r="S127" s="228">
        <v>0</v>
      </c>
      <c r="T127" s="229">
        <f>S127*H127</f>
        <v>0</v>
      </c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R127" s="230" t="s">
        <v>2796</v>
      </c>
      <c r="AT127" s="230" t="s">
        <v>159</v>
      </c>
      <c r="AU127" s="230" t="s">
        <v>86</v>
      </c>
      <c r="AY127" s="16" t="s">
        <v>157</v>
      </c>
      <c r="BE127" s="231">
        <f>IF(N127="základní",J127,0)</f>
        <v>0</v>
      </c>
      <c r="BF127" s="231">
        <f>IF(N127="snížená",J127,0)</f>
        <v>0</v>
      </c>
      <c r="BG127" s="231">
        <f>IF(N127="zákl. přenesená",J127,0)</f>
        <v>0</v>
      </c>
      <c r="BH127" s="231">
        <f>IF(N127="sníž. přenesená",J127,0)</f>
        <v>0</v>
      </c>
      <c r="BI127" s="231">
        <f>IF(N127="nulová",J127,0)</f>
        <v>0</v>
      </c>
      <c r="BJ127" s="16" t="s">
        <v>8</v>
      </c>
      <c r="BK127" s="231">
        <f>ROUND(I127*H127,0)</f>
        <v>0</v>
      </c>
      <c r="BL127" s="16" t="s">
        <v>2796</v>
      </c>
      <c r="BM127" s="230" t="s">
        <v>2803</v>
      </c>
    </row>
    <row r="128" s="2" customFormat="1" ht="24.15" customHeight="1">
      <c r="A128" s="37"/>
      <c r="B128" s="38"/>
      <c r="C128" s="218" t="s">
        <v>163</v>
      </c>
      <c r="D128" s="218" t="s">
        <v>159</v>
      </c>
      <c r="E128" s="219" t="s">
        <v>2804</v>
      </c>
      <c r="F128" s="220" t="s">
        <v>2805</v>
      </c>
      <c r="G128" s="221" t="s">
        <v>1797</v>
      </c>
      <c r="H128" s="222">
        <v>0</v>
      </c>
      <c r="I128" s="223"/>
      <c r="J128" s="224">
        <f>ROUND(I128*H128,0)</f>
        <v>0</v>
      </c>
      <c r="K128" s="225"/>
      <c r="L128" s="43"/>
      <c r="M128" s="226" t="s">
        <v>1</v>
      </c>
      <c r="N128" s="227" t="s">
        <v>42</v>
      </c>
      <c r="O128" s="90"/>
      <c r="P128" s="228">
        <f>O128*H128</f>
        <v>0</v>
      </c>
      <c r="Q128" s="228">
        <v>0</v>
      </c>
      <c r="R128" s="228">
        <f>Q128*H128</f>
        <v>0</v>
      </c>
      <c r="S128" s="228">
        <v>0</v>
      </c>
      <c r="T128" s="229">
        <f>S128*H128</f>
        <v>0</v>
      </c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R128" s="230" t="s">
        <v>2796</v>
      </c>
      <c r="AT128" s="230" t="s">
        <v>159</v>
      </c>
      <c r="AU128" s="230" t="s">
        <v>86</v>
      </c>
      <c r="AY128" s="16" t="s">
        <v>157</v>
      </c>
      <c r="BE128" s="231">
        <f>IF(N128="základní",J128,0)</f>
        <v>0</v>
      </c>
      <c r="BF128" s="231">
        <f>IF(N128="snížená",J128,0)</f>
        <v>0</v>
      </c>
      <c r="BG128" s="231">
        <f>IF(N128="zákl. přenesená",J128,0)</f>
        <v>0</v>
      </c>
      <c r="BH128" s="231">
        <f>IF(N128="sníž. přenesená",J128,0)</f>
        <v>0</v>
      </c>
      <c r="BI128" s="231">
        <f>IF(N128="nulová",J128,0)</f>
        <v>0</v>
      </c>
      <c r="BJ128" s="16" t="s">
        <v>8</v>
      </c>
      <c r="BK128" s="231">
        <f>ROUND(I128*H128,0)</f>
        <v>0</v>
      </c>
      <c r="BL128" s="16" t="s">
        <v>2796</v>
      </c>
      <c r="BM128" s="230" t="s">
        <v>2806</v>
      </c>
    </row>
    <row r="129" s="2" customFormat="1" ht="16.5" customHeight="1">
      <c r="A129" s="37"/>
      <c r="B129" s="38"/>
      <c r="C129" s="218" t="s">
        <v>185</v>
      </c>
      <c r="D129" s="218" t="s">
        <v>159</v>
      </c>
      <c r="E129" s="219" t="s">
        <v>2807</v>
      </c>
      <c r="F129" s="220" t="s">
        <v>2808</v>
      </c>
      <c r="G129" s="221" t="s">
        <v>1797</v>
      </c>
      <c r="H129" s="222">
        <v>1</v>
      </c>
      <c r="I129" s="223"/>
      <c r="J129" s="224">
        <f>ROUND(I129*H129,0)</f>
        <v>0</v>
      </c>
      <c r="K129" s="225"/>
      <c r="L129" s="43"/>
      <c r="M129" s="226" t="s">
        <v>1</v>
      </c>
      <c r="N129" s="227" t="s">
        <v>42</v>
      </c>
      <c r="O129" s="90"/>
      <c r="P129" s="228">
        <f>O129*H129</f>
        <v>0</v>
      </c>
      <c r="Q129" s="228">
        <v>0</v>
      </c>
      <c r="R129" s="228">
        <f>Q129*H129</f>
        <v>0</v>
      </c>
      <c r="S129" s="228">
        <v>0</v>
      </c>
      <c r="T129" s="229">
        <f>S129*H129</f>
        <v>0</v>
      </c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R129" s="230" t="s">
        <v>2796</v>
      </c>
      <c r="AT129" s="230" t="s">
        <v>159</v>
      </c>
      <c r="AU129" s="230" t="s">
        <v>86</v>
      </c>
      <c r="AY129" s="16" t="s">
        <v>157</v>
      </c>
      <c r="BE129" s="231">
        <f>IF(N129="základní",J129,0)</f>
        <v>0</v>
      </c>
      <c r="BF129" s="231">
        <f>IF(N129="snížená",J129,0)</f>
        <v>0</v>
      </c>
      <c r="BG129" s="231">
        <f>IF(N129="zákl. přenesená",J129,0)</f>
        <v>0</v>
      </c>
      <c r="BH129" s="231">
        <f>IF(N129="sníž. přenesená",J129,0)</f>
        <v>0</v>
      </c>
      <c r="BI129" s="231">
        <f>IF(N129="nulová",J129,0)</f>
        <v>0</v>
      </c>
      <c r="BJ129" s="16" t="s">
        <v>8</v>
      </c>
      <c r="BK129" s="231">
        <f>ROUND(I129*H129,0)</f>
        <v>0</v>
      </c>
      <c r="BL129" s="16" t="s">
        <v>2796</v>
      </c>
      <c r="BM129" s="230" t="s">
        <v>2809</v>
      </c>
    </row>
    <row r="130" s="12" customFormat="1" ht="22.8" customHeight="1">
      <c r="A130" s="12"/>
      <c r="B130" s="202"/>
      <c r="C130" s="203"/>
      <c r="D130" s="204" t="s">
        <v>76</v>
      </c>
      <c r="E130" s="216" t="s">
        <v>2810</v>
      </c>
      <c r="F130" s="216" t="s">
        <v>2811</v>
      </c>
      <c r="G130" s="203"/>
      <c r="H130" s="203"/>
      <c r="I130" s="206"/>
      <c r="J130" s="217">
        <f>BK130</f>
        <v>0</v>
      </c>
      <c r="K130" s="203"/>
      <c r="L130" s="208"/>
      <c r="M130" s="209"/>
      <c r="N130" s="210"/>
      <c r="O130" s="210"/>
      <c r="P130" s="211">
        <f>P131</f>
        <v>0</v>
      </c>
      <c r="Q130" s="210"/>
      <c r="R130" s="211">
        <f>R131</f>
        <v>0</v>
      </c>
      <c r="S130" s="210"/>
      <c r="T130" s="212">
        <f>T131</f>
        <v>0</v>
      </c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R130" s="213" t="s">
        <v>185</v>
      </c>
      <c r="AT130" s="214" t="s">
        <v>76</v>
      </c>
      <c r="AU130" s="214" t="s">
        <v>8</v>
      </c>
      <c r="AY130" s="213" t="s">
        <v>157</v>
      </c>
      <c r="BK130" s="215">
        <f>BK131</f>
        <v>0</v>
      </c>
    </row>
    <row r="131" s="2" customFormat="1" ht="16.5" customHeight="1">
      <c r="A131" s="37"/>
      <c r="B131" s="38"/>
      <c r="C131" s="218" t="s">
        <v>190</v>
      </c>
      <c r="D131" s="218" t="s">
        <v>159</v>
      </c>
      <c r="E131" s="219" t="s">
        <v>2812</v>
      </c>
      <c r="F131" s="220" t="s">
        <v>2811</v>
      </c>
      <c r="G131" s="221" t="s">
        <v>1427</v>
      </c>
      <c r="H131" s="265"/>
      <c r="I131" s="223"/>
      <c r="J131" s="224">
        <f>ROUND(I131*H131,0)</f>
        <v>0</v>
      </c>
      <c r="K131" s="225"/>
      <c r="L131" s="43"/>
      <c r="M131" s="226" t="s">
        <v>1</v>
      </c>
      <c r="N131" s="227" t="s">
        <v>42</v>
      </c>
      <c r="O131" s="90"/>
      <c r="P131" s="228">
        <f>O131*H131</f>
        <v>0</v>
      </c>
      <c r="Q131" s="228">
        <v>0</v>
      </c>
      <c r="R131" s="228">
        <f>Q131*H131</f>
        <v>0</v>
      </c>
      <c r="S131" s="228">
        <v>0</v>
      </c>
      <c r="T131" s="229">
        <f>S131*H131</f>
        <v>0</v>
      </c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R131" s="230" t="s">
        <v>2796</v>
      </c>
      <c r="AT131" s="230" t="s">
        <v>159</v>
      </c>
      <c r="AU131" s="230" t="s">
        <v>86</v>
      </c>
      <c r="AY131" s="16" t="s">
        <v>157</v>
      </c>
      <c r="BE131" s="231">
        <f>IF(N131="základní",J131,0)</f>
        <v>0</v>
      </c>
      <c r="BF131" s="231">
        <f>IF(N131="snížená",J131,0)</f>
        <v>0</v>
      </c>
      <c r="BG131" s="231">
        <f>IF(N131="zákl. přenesená",J131,0)</f>
        <v>0</v>
      </c>
      <c r="BH131" s="231">
        <f>IF(N131="sníž. přenesená",J131,0)</f>
        <v>0</v>
      </c>
      <c r="BI131" s="231">
        <f>IF(N131="nulová",J131,0)</f>
        <v>0</v>
      </c>
      <c r="BJ131" s="16" t="s">
        <v>8</v>
      </c>
      <c r="BK131" s="231">
        <f>ROUND(I131*H131,0)</f>
        <v>0</v>
      </c>
      <c r="BL131" s="16" t="s">
        <v>2796</v>
      </c>
      <c r="BM131" s="230" t="s">
        <v>2813</v>
      </c>
    </row>
    <row r="132" s="12" customFormat="1" ht="22.8" customHeight="1">
      <c r="A132" s="12"/>
      <c r="B132" s="202"/>
      <c r="C132" s="203"/>
      <c r="D132" s="204" t="s">
        <v>76</v>
      </c>
      <c r="E132" s="216" t="s">
        <v>2814</v>
      </c>
      <c r="F132" s="216" t="s">
        <v>2815</v>
      </c>
      <c r="G132" s="203"/>
      <c r="H132" s="203"/>
      <c r="I132" s="206"/>
      <c r="J132" s="217">
        <f>BK132</f>
        <v>0</v>
      </c>
      <c r="K132" s="203"/>
      <c r="L132" s="208"/>
      <c r="M132" s="209"/>
      <c r="N132" s="210"/>
      <c r="O132" s="210"/>
      <c r="P132" s="211">
        <f>SUM(P133:P138)</f>
        <v>0</v>
      </c>
      <c r="Q132" s="210"/>
      <c r="R132" s="211">
        <f>SUM(R133:R138)</f>
        <v>0</v>
      </c>
      <c r="S132" s="210"/>
      <c r="T132" s="212">
        <f>SUM(T133:T138)</f>
        <v>0</v>
      </c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R132" s="213" t="s">
        <v>185</v>
      </c>
      <c r="AT132" s="214" t="s">
        <v>76</v>
      </c>
      <c r="AU132" s="214" t="s">
        <v>8</v>
      </c>
      <c r="AY132" s="213" t="s">
        <v>157</v>
      </c>
      <c r="BK132" s="215">
        <f>SUM(BK133:BK138)</f>
        <v>0</v>
      </c>
    </row>
    <row r="133" s="2" customFormat="1" ht="24.15" customHeight="1">
      <c r="A133" s="37"/>
      <c r="B133" s="38"/>
      <c r="C133" s="218" t="s">
        <v>196</v>
      </c>
      <c r="D133" s="218" t="s">
        <v>159</v>
      </c>
      <c r="E133" s="219" t="s">
        <v>2816</v>
      </c>
      <c r="F133" s="220" t="s">
        <v>2817</v>
      </c>
      <c r="G133" s="221" t="s">
        <v>1797</v>
      </c>
      <c r="H133" s="222">
        <v>0</v>
      </c>
      <c r="I133" s="223"/>
      <c r="J133" s="224">
        <f>ROUND(I133*H133,0)</f>
        <v>0</v>
      </c>
      <c r="K133" s="225"/>
      <c r="L133" s="43"/>
      <c r="M133" s="226" t="s">
        <v>1</v>
      </c>
      <c r="N133" s="227" t="s">
        <v>42</v>
      </c>
      <c r="O133" s="90"/>
      <c r="P133" s="228">
        <f>O133*H133</f>
        <v>0</v>
      </c>
      <c r="Q133" s="228">
        <v>0</v>
      </c>
      <c r="R133" s="228">
        <f>Q133*H133</f>
        <v>0</v>
      </c>
      <c r="S133" s="228">
        <v>0</v>
      </c>
      <c r="T133" s="229">
        <f>S133*H133</f>
        <v>0</v>
      </c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R133" s="230" t="s">
        <v>2796</v>
      </c>
      <c r="AT133" s="230" t="s">
        <v>159</v>
      </c>
      <c r="AU133" s="230" t="s">
        <v>86</v>
      </c>
      <c r="AY133" s="16" t="s">
        <v>157</v>
      </c>
      <c r="BE133" s="231">
        <f>IF(N133="základní",J133,0)</f>
        <v>0</v>
      </c>
      <c r="BF133" s="231">
        <f>IF(N133="snížená",J133,0)</f>
        <v>0</v>
      </c>
      <c r="BG133" s="231">
        <f>IF(N133="zákl. přenesená",J133,0)</f>
        <v>0</v>
      </c>
      <c r="BH133" s="231">
        <f>IF(N133="sníž. přenesená",J133,0)</f>
        <v>0</v>
      </c>
      <c r="BI133" s="231">
        <f>IF(N133="nulová",J133,0)</f>
        <v>0</v>
      </c>
      <c r="BJ133" s="16" t="s">
        <v>8</v>
      </c>
      <c r="BK133" s="231">
        <f>ROUND(I133*H133,0)</f>
        <v>0</v>
      </c>
      <c r="BL133" s="16" t="s">
        <v>2796</v>
      </c>
      <c r="BM133" s="230" t="s">
        <v>2818</v>
      </c>
    </row>
    <row r="134" s="2" customFormat="1" ht="24.15" customHeight="1">
      <c r="A134" s="37"/>
      <c r="B134" s="38"/>
      <c r="C134" s="218" t="s">
        <v>200</v>
      </c>
      <c r="D134" s="218" t="s">
        <v>159</v>
      </c>
      <c r="E134" s="219" t="s">
        <v>2819</v>
      </c>
      <c r="F134" s="220" t="s">
        <v>2820</v>
      </c>
      <c r="G134" s="221" t="s">
        <v>1797</v>
      </c>
      <c r="H134" s="222">
        <v>0</v>
      </c>
      <c r="I134" s="223"/>
      <c r="J134" s="224">
        <f>ROUND(I134*H134,0)</f>
        <v>0</v>
      </c>
      <c r="K134" s="225"/>
      <c r="L134" s="43"/>
      <c r="M134" s="226" t="s">
        <v>1</v>
      </c>
      <c r="N134" s="227" t="s">
        <v>42</v>
      </c>
      <c r="O134" s="90"/>
      <c r="P134" s="228">
        <f>O134*H134</f>
        <v>0</v>
      </c>
      <c r="Q134" s="228">
        <v>0</v>
      </c>
      <c r="R134" s="228">
        <f>Q134*H134</f>
        <v>0</v>
      </c>
      <c r="S134" s="228">
        <v>0</v>
      </c>
      <c r="T134" s="229">
        <f>S134*H134</f>
        <v>0</v>
      </c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R134" s="230" t="s">
        <v>2796</v>
      </c>
      <c r="AT134" s="230" t="s">
        <v>159</v>
      </c>
      <c r="AU134" s="230" t="s">
        <v>86</v>
      </c>
      <c r="AY134" s="16" t="s">
        <v>157</v>
      </c>
      <c r="BE134" s="231">
        <f>IF(N134="základní",J134,0)</f>
        <v>0</v>
      </c>
      <c r="BF134" s="231">
        <f>IF(N134="snížená",J134,0)</f>
        <v>0</v>
      </c>
      <c r="BG134" s="231">
        <f>IF(N134="zákl. přenesená",J134,0)</f>
        <v>0</v>
      </c>
      <c r="BH134" s="231">
        <f>IF(N134="sníž. přenesená",J134,0)</f>
        <v>0</v>
      </c>
      <c r="BI134" s="231">
        <f>IF(N134="nulová",J134,0)</f>
        <v>0</v>
      </c>
      <c r="BJ134" s="16" t="s">
        <v>8</v>
      </c>
      <c r="BK134" s="231">
        <f>ROUND(I134*H134,0)</f>
        <v>0</v>
      </c>
      <c r="BL134" s="16" t="s">
        <v>2796</v>
      </c>
      <c r="BM134" s="230" t="s">
        <v>2821</v>
      </c>
    </row>
    <row r="135" s="2" customFormat="1" ht="16.5" customHeight="1">
      <c r="A135" s="37"/>
      <c r="B135" s="38"/>
      <c r="C135" s="218" t="s">
        <v>206</v>
      </c>
      <c r="D135" s="218" t="s">
        <v>159</v>
      </c>
      <c r="E135" s="219" t="s">
        <v>2822</v>
      </c>
      <c r="F135" s="220" t="s">
        <v>2823</v>
      </c>
      <c r="G135" s="221" t="s">
        <v>1797</v>
      </c>
      <c r="H135" s="222">
        <v>1</v>
      </c>
      <c r="I135" s="223"/>
      <c r="J135" s="224">
        <f>ROUND(I135*H135,0)</f>
        <v>0</v>
      </c>
      <c r="K135" s="225"/>
      <c r="L135" s="43"/>
      <c r="M135" s="226" t="s">
        <v>1</v>
      </c>
      <c r="N135" s="227" t="s">
        <v>42</v>
      </c>
      <c r="O135" s="90"/>
      <c r="P135" s="228">
        <f>O135*H135</f>
        <v>0</v>
      </c>
      <c r="Q135" s="228">
        <v>0</v>
      </c>
      <c r="R135" s="228">
        <f>Q135*H135</f>
        <v>0</v>
      </c>
      <c r="S135" s="228">
        <v>0</v>
      </c>
      <c r="T135" s="229">
        <f>S135*H135</f>
        <v>0</v>
      </c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R135" s="230" t="s">
        <v>2796</v>
      </c>
      <c r="AT135" s="230" t="s">
        <v>159</v>
      </c>
      <c r="AU135" s="230" t="s">
        <v>86</v>
      </c>
      <c r="AY135" s="16" t="s">
        <v>157</v>
      </c>
      <c r="BE135" s="231">
        <f>IF(N135="základní",J135,0)</f>
        <v>0</v>
      </c>
      <c r="BF135" s="231">
        <f>IF(N135="snížená",J135,0)</f>
        <v>0</v>
      </c>
      <c r="BG135" s="231">
        <f>IF(N135="zákl. přenesená",J135,0)</f>
        <v>0</v>
      </c>
      <c r="BH135" s="231">
        <f>IF(N135="sníž. přenesená",J135,0)</f>
        <v>0</v>
      </c>
      <c r="BI135" s="231">
        <f>IF(N135="nulová",J135,0)</f>
        <v>0</v>
      </c>
      <c r="BJ135" s="16" t="s">
        <v>8</v>
      </c>
      <c r="BK135" s="231">
        <f>ROUND(I135*H135,0)</f>
        <v>0</v>
      </c>
      <c r="BL135" s="16" t="s">
        <v>2796</v>
      </c>
      <c r="BM135" s="230" t="s">
        <v>2824</v>
      </c>
    </row>
    <row r="136" s="2" customFormat="1" ht="16.5" customHeight="1">
      <c r="A136" s="37"/>
      <c r="B136" s="38"/>
      <c r="C136" s="218" t="s">
        <v>213</v>
      </c>
      <c r="D136" s="218" t="s">
        <v>159</v>
      </c>
      <c r="E136" s="219" t="s">
        <v>2825</v>
      </c>
      <c r="F136" s="220" t="s">
        <v>2826</v>
      </c>
      <c r="G136" s="221" t="s">
        <v>1797</v>
      </c>
      <c r="H136" s="222">
        <v>1</v>
      </c>
      <c r="I136" s="223"/>
      <c r="J136" s="224">
        <f>ROUND(I136*H136,0)</f>
        <v>0</v>
      </c>
      <c r="K136" s="225"/>
      <c r="L136" s="43"/>
      <c r="M136" s="226" t="s">
        <v>1</v>
      </c>
      <c r="N136" s="227" t="s">
        <v>42</v>
      </c>
      <c r="O136" s="90"/>
      <c r="P136" s="228">
        <f>O136*H136</f>
        <v>0</v>
      </c>
      <c r="Q136" s="228">
        <v>0</v>
      </c>
      <c r="R136" s="228">
        <f>Q136*H136</f>
        <v>0</v>
      </c>
      <c r="S136" s="228">
        <v>0</v>
      </c>
      <c r="T136" s="229">
        <f>S136*H136</f>
        <v>0</v>
      </c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R136" s="230" t="s">
        <v>2796</v>
      </c>
      <c r="AT136" s="230" t="s">
        <v>159</v>
      </c>
      <c r="AU136" s="230" t="s">
        <v>86</v>
      </c>
      <c r="AY136" s="16" t="s">
        <v>157</v>
      </c>
      <c r="BE136" s="231">
        <f>IF(N136="základní",J136,0)</f>
        <v>0</v>
      </c>
      <c r="BF136" s="231">
        <f>IF(N136="snížená",J136,0)</f>
        <v>0</v>
      </c>
      <c r="BG136" s="231">
        <f>IF(N136="zákl. přenesená",J136,0)</f>
        <v>0</v>
      </c>
      <c r="BH136" s="231">
        <f>IF(N136="sníž. přenesená",J136,0)</f>
        <v>0</v>
      </c>
      <c r="BI136" s="231">
        <f>IF(N136="nulová",J136,0)</f>
        <v>0</v>
      </c>
      <c r="BJ136" s="16" t="s">
        <v>8</v>
      </c>
      <c r="BK136" s="231">
        <f>ROUND(I136*H136,0)</f>
        <v>0</v>
      </c>
      <c r="BL136" s="16" t="s">
        <v>2796</v>
      </c>
      <c r="BM136" s="230" t="s">
        <v>2827</v>
      </c>
    </row>
    <row r="137" s="2" customFormat="1" ht="16.5" customHeight="1">
      <c r="A137" s="37"/>
      <c r="B137" s="38"/>
      <c r="C137" s="218" t="s">
        <v>219</v>
      </c>
      <c r="D137" s="218" t="s">
        <v>159</v>
      </c>
      <c r="E137" s="219" t="s">
        <v>2828</v>
      </c>
      <c r="F137" s="220" t="s">
        <v>2829</v>
      </c>
      <c r="G137" s="221" t="s">
        <v>1797</v>
      </c>
      <c r="H137" s="222">
        <v>1</v>
      </c>
      <c r="I137" s="223"/>
      <c r="J137" s="224">
        <f>ROUND(I137*H137,0)</f>
        <v>0</v>
      </c>
      <c r="K137" s="225"/>
      <c r="L137" s="43"/>
      <c r="M137" s="226" t="s">
        <v>1</v>
      </c>
      <c r="N137" s="227" t="s">
        <v>42</v>
      </c>
      <c r="O137" s="90"/>
      <c r="P137" s="228">
        <f>O137*H137</f>
        <v>0</v>
      </c>
      <c r="Q137" s="228">
        <v>0</v>
      </c>
      <c r="R137" s="228">
        <f>Q137*H137</f>
        <v>0</v>
      </c>
      <c r="S137" s="228">
        <v>0</v>
      </c>
      <c r="T137" s="229">
        <f>S137*H137</f>
        <v>0</v>
      </c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R137" s="230" t="s">
        <v>2796</v>
      </c>
      <c r="AT137" s="230" t="s">
        <v>159</v>
      </c>
      <c r="AU137" s="230" t="s">
        <v>86</v>
      </c>
      <c r="AY137" s="16" t="s">
        <v>157</v>
      </c>
      <c r="BE137" s="231">
        <f>IF(N137="základní",J137,0)</f>
        <v>0</v>
      </c>
      <c r="BF137" s="231">
        <f>IF(N137="snížená",J137,0)</f>
        <v>0</v>
      </c>
      <c r="BG137" s="231">
        <f>IF(N137="zákl. přenesená",J137,0)</f>
        <v>0</v>
      </c>
      <c r="BH137" s="231">
        <f>IF(N137="sníž. přenesená",J137,0)</f>
        <v>0</v>
      </c>
      <c r="BI137" s="231">
        <f>IF(N137="nulová",J137,0)</f>
        <v>0</v>
      </c>
      <c r="BJ137" s="16" t="s">
        <v>8</v>
      </c>
      <c r="BK137" s="231">
        <f>ROUND(I137*H137,0)</f>
        <v>0</v>
      </c>
      <c r="BL137" s="16" t="s">
        <v>2796</v>
      </c>
      <c r="BM137" s="230" t="s">
        <v>2830</v>
      </c>
    </row>
    <row r="138" s="2" customFormat="1" ht="24.15" customHeight="1">
      <c r="A138" s="37"/>
      <c r="B138" s="38"/>
      <c r="C138" s="218" t="s">
        <v>9</v>
      </c>
      <c r="D138" s="218" t="s">
        <v>159</v>
      </c>
      <c r="E138" s="219" t="s">
        <v>2831</v>
      </c>
      <c r="F138" s="220" t="s">
        <v>2832</v>
      </c>
      <c r="G138" s="221" t="s">
        <v>1797</v>
      </c>
      <c r="H138" s="222">
        <v>1</v>
      </c>
      <c r="I138" s="223"/>
      <c r="J138" s="224">
        <f>ROUND(I138*H138,0)</f>
        <v>0</v>
      </c>
      <c r="K138" s="225"/>
      <c r="L138" s="43"/>
      <c r="M138" s="226" t="s">
        <v>1</v>
      </c>
      <c r="N138" s="227" t="s">
        <v>42</v>
      </c>
      <c r="O138" s="90"/>
      <c r="P138" s="228">
        <f>O138*H138</f>
        <v>0</v>
      </c>
      <c r="Q138" s="228">
        <v>0</v>
      </c>
      <c r="R138" s="228">
        <f>Q138*H138</f>
        <v>0</v>
      </c>
      <c r="S138" s="228">
        <v>0</v>
      </c>
      <c r="T138" s="229">
        <f>S138*H138</f>
        <v>0</v>
      </c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R138" s="230" t="s">
        <v>2796</v>
      </c>
      <c r="AT138" s="230" t="s">
        <v>159</v>
      </c>
      <c r="AU138" s="230" t="s">
        <v>86</v>
      </c>
      <c r="AY138" s="16" t="s">
        <v>157</v>
      </c>
      <c r="BE138" s="231">
        <f>IF(N138="základní",J138,0)</f>
        <v>0</v>
      </c>
      <c r="BF138" s="231">
        <f>IF(N138="snížená",J138,0)</f>
        <v>0</v>
      </c>
      <c r="BG138" s="231">
        <f>IF(N138="zákl. přenesená",J138,0)</f>
        <v>0</v>
      </c>
      <c r="BH138" s="231">
        <f>IF(N138="sníž. přenesená",J138,0)</f>
        <v>0</v>
      </c>
      <c r="BI138" s="231">
        <f>IF(N138="nulová",J138,0)</f>
        <v>0</v>
      </c>
      <c r="BJ138" s="16" t="s">
        <v>8</v>
      </c>
      <c r="BK138" s="231">
        <f>ROUND(I138*H138,0)</f>
        <v>0</v>
      </c>
      <c r="BL138" s="16" t="s">
        <v>2796</v>
      </c>
      <c r="BM138" s="230" t="s">
        <v>2833</v>
      </c>
    </row>
    <row r="139" s="12" customFormat="1" ht="22.8" customHeight="1">
      <c r="A139" s="12"/>
      <c r="B139" s="202"/>
      <c r="C139" s="203"/>
      <c r="D139" s="204" t="s">
        <v>76</v>
      </c>
      <c r="E139" s="216" t="s">
        <v>2834</v>
      </c>
      <c r="F139" s="216" t="s">
        <v>2835</v>
      </c>
      <c r="G139" s="203"/>
      <c r="H139" s="203"/>
      <c r="I139" s="206"/>
      <c r="J139" s="217">
        <f>BK139</f>
        <v>0</v>
      </c>
      <c r="K139" s="203"/>
      <c r="L139" s="208"/>
      <c r="M139" s="209"/>
      <c r="N139" s="210"/>
      <c r="O139" s="210"/>
      <c r="P139" s="211">
        <f>SUM(P140:P141)</f>
        <v>0</v>
      </c>
      <c r="Q139" s="210"/>
      <c r="R139" s="211">
        <f>SUM(R140:R141)</f>
        <v>0</v>
      </c>
      <c r="S139" s="210"/>
      <c r="T139" s="212">
        <f>SUM(T140:T141)</f>
        <v>0</v>
      </c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R139" s="213" t="s">
        <v>185</v>
      </c>
      <c r="AT139" s="214" t="s">
        <v>76</v>
      </c>
      <c r="AU139" s="214" t="s">
        <v>8</v>
      </c>
      <c r="AY139" s="213" t="s">
        <v>157</v>
      </c>
      <c r="BK139" s="215">
        <f>SUM(BK140:BK141)</f>
        <v>0</v>
      </c>
    </row>
    <row r="140" s="2" customFormat="1" ht="16.5" customHeight="1">
      <c r="A140" s="37"/>
      <c r="B140" s="38"/>
      <c r="C140" s="218" t="s">
        <v>228</v>
      </c>
      <c r="D140" s="218" t="s">
        <v>159</v>
      </c>
      <c r="E140" s="219" t="s">
        <v>2836</v>
      </c>
      <c r="F140" s="220" t="s">
        <v>2837</v>
      </c>
      <c r="G140" s="221" t="s">
        <v>1427</v>
      </c>
      <c r="H140" s="265"/>
      <c r="I140" s="223"/>
      <c r="J140" s="224">
        <f>ROUND(I140*H140,0)</f>
        <v>0</v>
      </c>
      <c r="K140" s="225"/>
      <c r="L140" s="43"/>
      <c r="M140" s="226" t="s">
        <v>1</v>
      </c>
      <c r="N140" s="227" t="s">
        <v>42</v>
      </c>
      <c r="O140" s="90"/>
      <c r="P140" s="228">
        <f>O140*H140</f>
        <v>0</v>
      </c>
      <c r="Q140" s="228">
        <v>0</v>
      </c>
      <c r="R140" s="228">
        <f>Q140*H140</f>
        <v>0</v>
      </c>
      <c r="S140" s="228">
        <v>0</v>
      </c>
      <c r="T140" s="229">
        <f>S140*H140</f>
        <v>0</v>
      </c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R140" s="230" t="s">
        <v>2796</v>
      </c>
      <c r="AT140" s="230" t="s">
        <v>159</v>
      </c>
      <c r="AU140" s="230" t="s">
        <v>86</v>
      </c>
      <c r="AY140" s="16" t="s">
        <v>157</v>
      </c>
      <c r="BE140" s="231">
        <f>IF(N140="základní",J140,0)</f>
        <v>0</v>
      </c>
      <c r="BF140" s="231">
        <f>IF(N140="snížená",J140,0)</f>
        <v>0</v>
      </c>
      <c r="BG140" s="231">
        <f>IF(N140="zákl. přenesená",J140,0)</f>
        <v>0</v>
      </c>
      <c r="BH140" s="231">
        <f>IF(N140="sníž. přenesená",J140,0)</f>
        <v>0</v>
      </c>
      <c r="BI140" s="231">
        <f>IF(N140="nulová",J140,0)</f>
        <v>0</v>
      </c>
      <c r="BJ140" s="16" t="s">
        <v>8</v>
      </c>
      <c r="BK140" s="231">
        <f>ROUND(I140*H140,0)</f>
        <v>0</v>
      </c>
      <c r="BL140" s="16" t="s">
        <v>2796</v>
      </c>
      <c r="BM140" s="230" t="s">
        <v>2838</v>
      </c>
    </row>
    <row r="141" s="2" customFormat="1" ht="21.75" customHeight="1">
      <c r="A141" s="37"/>
      <c r="B141" s="38"/>
      <c r="C141" s="218" t="s">
        <v>235</v>
      </c>
      <c r="D141" s="218" t="s">
        <v>159</v>
      </c>
      <c r="E141" s="219" t="s">
        <v>2839</v>
      </c>
      <c r="F141" s="220" t="s">
        <v>2840</v>
      </c>
      <c r="G141" s="221" t="s">
        <v>1797</v>
      </c>
      <c r="H141" s="222">
        <v>0</v>
      </c>
      <c r="I141" s="223"/>
      <c r="J141" s="224">
        <f>ROUND(I141*H141,0)</f>
        <v>0</v>
      </c>
      <c r="K141" s="225"/>
      <c r="L141" s="43"/>
      <c r="M141" s="226" t="s">
        <v>1</v>
      </c>
      <c r="N141" s="227" t="s">
        <v>42</v>
      </c>
      <c r="O141" s="90"/>
      <c r="P141" s="228">
        <f>O141*H141</f>
        <v>0</v>
      </c>
      <c r="Q141" s="228">
        <v>0</v>
      </c>
      <c r="R141" s="228">
        <f>Q141*H141</f>
        <v>0</v>
      </c>
      <c r="S141" s="228">
        <v>0</v>
      </c>
      <c r="T141" s="229">
        <f>S141*H141</f>
        <v>0</v>
      </c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R141" s="230" t="s">
        <v>2796</v>
      </c>
      <c r="AT141" s="230" t="s">
        <v>159</v>
      </c>
      <c r="AU141" s="230" t="s">
        <v>86</v>
      </c>
      <c r="AY141" s="16" t="s">
        <v>157</v>
      </c>
      <c r="BE141" s="231">
        <f>IF(N141="základní",J141,0)</f>
        <v>0</v>
      </c>
      <c r="BF141" s="231">
        <f>IF(N141="snížená",J141,0)</f>
        <v>0</v>
      </c>
      <c r="BG141" s="231">
        <f>IF(N141="zákl. přenesená",J141,0)</f>
        <v>0</v>
      </c>
      <c r="BH141" s="231">
        <f>IF(N141="sníž. přenesená",J141,0)</f>
        <v>0</v>
      </c>
      <c r="BI141" s="231">
        <f>IF(N141="nulová",J141,0)</f>
        <v>0</v>
      </c>
      <c r="BJ141" s="16" t="s">
        <v>8</v>
      </c>
      <c r="BK141" s="231">
        <f>ROUND(I141*H141,0)</f>
        <v>0</v>
      </c>
      <c r="BL141" s="16" t="s">
        <v>2796</v>
      </c>
      <c r="BM141" s="230" t="s">
        <v>2841</v>
      </c>
    </row>
    <row r="142" s="12" customFormat="1" ht="22.8" customHeight="1">
      <c r="A142" s="12"/>
      <c r="B142" s="202"/>
      <c r="C142" s="203"/>
      <c r="D142" s="204" t="s">
        <v>76</v>
      </c>
      <c r="E142" s="216" t="s">
        <v>2842</v>
      </c>
      <c r="F142" s="216" t="s">
        <v>2843</v>
      </c>
      <c r="G142" s="203"/>
      <c r="H142" s="203"/>
      <c r="I142" s="206"/>
      <c r="J142" s="217">
        <f>BK142</f>
        <v>0</v>
      </c>
      <c r="K142" s="203"/>
      <c r="L142" s="208"/>
      <c r="M142" s="209"/>
      <c r="N142" s="210"/>
      <c r="O142" s="210"/>
      <c r="P142" s="211">
        <f>P143</f>
        <v>0</v>
      </c>
      <c r="Q142" s="210"/>
      <c r="R142" s="211">
        <f>R143</f>
        <v>0</v>
      </c>
      <c r="S142" s="210"/>
      <c r="T142" s="212">
        <f>T143</f>
        <v>0</v>
      </c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R142" s="213" t="s">
        <v>185</v>
      </c>
      <c r="AT142" s="214" t="s">
        <v>76</v>
      </c>
      <c r="AU142" s="214" t="s">
        <v>8</v>
      </c>
      <c r="AY142" s="213" t="s">
        <v>157</v>
      </c>
      <c r="BK142" s="215">
        <f>BK143</f>
        <v>0</v>
      </c>
    </row>
    <row r="143" s="2" customFormat="1" ht="16.5" customHeight="1">
      <c r="A143" s="37"/>
      <c r="B143" s="38"/>
      <c r="C143" s="218" t="s">
        <v>241</v>
      </c>
      <c r="D143" s="218" t="s">
        <v>159</v>
      </c>
      <c r="E143" s="219" t="s">
        <v>2844</v>
      </c>
      <c r="F143" s="220" t="s">
        <v>2845</v>
      </c>
      <c r="G143" s="221" t="s">
        <v>1797</v>
      </c>
      <c r="H143" s="222">
        <v>1</v>
      </c>
      <c r="I143" s="223"/>
      <c r="J143" s="224">
        <f>ROUND(I143*H143,0)</f>
        <v>0</v>
      </c>
      <c r="K143" s="225"/>
      <c r="L143" s="43"/>
      <c r="M143" s="266" t="s">
        <v>1</v>
      </c>
      <c r="N143" s="267" t="s">
        <v>42</v>
      </c>
      <c r="O143" s="268"/>
      <c r="P143" s="269">
        <f>O143*H143</f>
        <v>0</v>
      </c>
      <c r="Q143" s="269">
        <v>0</v>
      </c>
      <c r="R143" s="269">
        <f>Q143*H143</f>
        <v>0</v>
      </c>
      <c r="S143" s="269">
        <v>0</v>
      </c>
      <c r="T143" s="270">
        <f>S143*H143</f>
        <v>0</v>
      </c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R143" s="230" t="s">
        <v>2796</v>
      </c>
      <c r="AT143" s="230" t="s">
        <v>159</v>
      </c>
      <c r="AU143" s="230" t="s">
        <v>86</v>
      </c>
      <c r="AY143" s="16" t="s">
        <v>157</v>
      </c>
      <c r="BE143" s="231">
        <f>IF(N143="základní",J143,0)</f>
        <v>0</v>
      </c>
      <c r="BF143" s="231">
        <f>IF(N143="snížená",J143,0)</f>
        <v>0</v>
      </c>
      <c r="BG143" s="231">
        <f>IF(N143="zákl. přenesená",J143,0)</f>
        <v>0</v>
      </c>
      <c r="BH143" s="231">
        <f>IF(N143="sníž. přenesená",J143,0)</f>
        <v>0</v>
      </c>
      <c r="BI143" s="231">
        <f>IF(N143="nulová",J143,0)</f>
        <v>0</v>
      </c>
      <c r="BJ143" s="16" t="s">
        <v>8</v>
      </c>
      <c r="BK143" s="231">
        <f>ROUND(I143*H143,0)</f>
        <v>0</v>
      </c>
      <c r="BL143" s="16" t="s">
        <v>2796</v>
      </c>
      <c r="BM143" s="230" t="s">
        <v>2846</v>
      </c>
    </row>
    <row r="144" s="2" customFormat="1" ht="6.96" customHeight="1">
      <c r="A144" s="37"/>
      <c r="B144" s="65"/>
      <c r="C144" s="66"/>
      <c r="D144" s="66"/>
      <c r="E144" s="66"/>
      <c r="F144" s="66"/>
      <c r="G144" s="66"/>
      <c r="H144" s="66"/>
      <c r="I144" s="66"/>
      <c r="J144" s="66"/>
      <c r="K144" s="66"/>
      <c r="L144" s="43"/>
      <c r="M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</row>
  </sheetData>
  <sheetProtection sheet="1" autoFilter="0" formatColumns="0" formatRows="0" objects="1" scenarios="1" spinCount="100000" saltValue="Efl83y7Fz0Yf4NvM/AiBb7BrD1Ykea6sAfH0FV0pQw5L5Z4paNo5dPDaLNiVF8EF6sYLoZv4S8gc2QOLf1jgiA==" hashValue="453ypAVH8evNzcfeP5zXplg34pmjMsj5iIfKaBwBR6uwdt6NfEyWzxGRV34BHUjAIatMjDd8VYRZGETXtkrQSQ==" algorithmName="SHA-512" password="F695"/>
  <autoFilter ref="C121:K143"/>
  <mergeCells count="9">
    <mergeCell ref="E7:H7"/>
    <mergeCell ref="E9:H9"/>
    <mergeCell ref="E18:H18"/>
    <mergeCell ref="E27:H27"/>
    <mergeCell ref="E85:H85"/>
    <mergeCell ref="E87:H87"/>
    <mergeCell ref="E112:H112"/>
    <mergeCell ref="E114:H114"/>
    <mergeCell ref="L2:V2"/>
  </mergeCell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DESKTOP-IB50O09\ZALMAN</dc:creator>
  <cp:lastModifiedBy>DESKTOP-IB50O09\ZALMAN</cp:lastModifiedBy>
  <dcterms:created xsi:type="dcterms:W3CDTF">2025-12-15T14:44:25Z</dcterms:created>
  <dcterms:modified xsi:type="dcterms:W3CDTF">2025-12-15T14:44:39Z</dcterms:modified>
</cp:coreProperties>
</file>
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tup stavb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2"/>
    </font>
    <font>
      <name val="Calibri"/>
      <b val="1"/>
      <color rgb="001E3A8A"/>
      <sz val="10"/>
    </font>
  </fonts>
  <fills count="8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B923C"/>
      </patternFill>
    </fill>
    <fill>
      <patternFill patternType="solid">
        <fgColor rgb="00DBEAFE"/>
      </patternFill>
    </fill>
    <fill>
      <patternFill patternType="solid">
        <fgColor rgb="00FEF3C7"/>
      </patternFill>
    </fill>
    <fill>
      <patternFill patternType="solid">
        <fgColor rgb="00F8FAFC"/>
      </patternFill>
    </fill>
    <fill>
      <patternFill patternType="solid">
        <fgColor rgb="00FED7AA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 inden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top"/>
    </xf>
    <xf numFmtId="0" fontId="0" fillId="5" borderId="1" applyAlignment="1" pivotButton="0" quotePrefix="0" xfId="0">
      <alignment vertical="top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horizontal="center" vertical="top"/>
    </xf>
    <xf numFmtId="0" fontId="0" fillId="6" borderId="1" applyAlignment="1" pivotButton="0" quotePrefix="0" xfId="0">
      <alignment vertical="top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horizontal="center" vertical="top"/>
    </xf>
    <xf numFmtId="0" fontId="0" fillId="7" borderId="1" applyAlignment="1" pivotButton="0" quotePrefix="0" xfId="0">
      <alignment vertical="top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" customWidth="1" min="2" max="2"/>
    <col width="6" customWidth="1" min="3" max="3"/>
    <col width="10" customWidth="1" min="4" max="4"/>
    <col width="14" customWidth="1" min="5" max="5"/>
    <col width="60" customWidth="1" min="6" max="6"/>
    <col width="8" customWidth="1" min="7" max="7"/>
    <col width="11" customWidth="1" min="8" max="8"/>
    <col width="55" customWidth="1" min="9" max="9"/>
    <col width="26" customWidth="1" min="10" max="10"/>
  </cols>
  <sheetData>
    <row r="1">
      <c r="A1" s="1" t="inlineStr">
        <is>
          <t>#</t>
        </is>
      </c>
      <c r="B1" s="1" t="inlineStr">
        <is>
          <t>Krok</t>
        </is>
      </c>
      <c r="C1" s="1" t="inlineStr">
        <is>
          <t>Fáze</t>
        </is>
      </c>
      <c r="D1" s="1" t="inlineStr">
        <is>
          <t>Kapitola</t>
        </is>
      </c>
      <c r="E1" s="1" t="inlineStr">
        <is>
          <t>ID</t>
        </is>
      </c>
      <c r="F1" s="1" t="inlineStr">
        <is>
          <t>Položka (popis)</t>
        </is>
      </c>
      <c r="G1" s="1" t="inlineStr">
        <is>
          <t>MJ</t>
        </is>
      </c>
      <c r="H1" s="1" t="inlineStr">
        <is>
          <t>Mnozstvi</t>
        </is>
      </c>
      <c r="I1" s="1" t="inlineStr">
        <is>
          <t>Vzorec / Zdroj výměry</t>
        </is>
      </c>
      <c r="J1" s="1" t="inlineStr">
        <is>
          <t>Pozn.</t>
        </is>
      </c>
    </row>
    <row r="2" ht="22" customHeight="1">
      <c r="A2" s="2" t="inlineStr">
        <is>
          <t>═══ FÁZE 1: PŘÍPRAVA STAVENIŠTĚ + GEODÉZIE ═══</t>
        </is>
      </c>
    </row>
    <row r="3">
      <c r="A3" s="3" t="inlineStr">
        <is>
          <t>→ Geodetické vytýčení + vytýčení sítí</t>
        </is>
      </c>
    </row>
    <row r="4">
      <c r="A4" s="4" t="n">
        <v>1</v>
      </c>
      <c r="B4" s="5" t="inlineStr"/>
      <c r="C4" s="4" t="n">
        <v>1</v>
      </c>
      <c r="D4" s="5" t="inlineStr">
        <is>
          <t>VRN</t>
        </is>
      </c>
      <c r="E4" s="5" t="inlineStr">
        <is>
          <t>VRN-014</t>
        </is>
      </c>
      <c r="F4" s="6" t="inlineStr">
        <is>
          <t>Geodetické zaměření před zahájením stavby — vytýčení</t>
        </is>
      </c>
      <c r="G4" s="4" t="inlineStr">
        <is>
          <t>paušál</t>
        </is>
      </c>
      <c r="H4" s="4" t="n">
        <v>1</v>
      </c>
      <c r="I4" s="6" t="inlineStr">
        <is>
          <t>paušál (Rožmitál URS 00511 R)</t>
        </is>
      </c>
      <c r="J4" s="6" t="inlineStr"/>
    </row>
    <row r="5">
      <c r="A5" s="7" t="n">
        <v>2</v>
      </c>
      <c r="B5" s="8" t="inlineStr"/>
      <c r="C5" s="7" t="n">
        <v>1</v>
      </c>
      <c r="D5" s="8" t="inlineStr">
        <is>
          <t>VRN</t>
        </is>
      </c>
      <c r="E5" s="8" t="inlineStr">
        <is>
          <t>VRN-017</t>
        </is>
      </c>
      <c r="F5" s="9" t="inlineStr">
        <is>
          <t>Vytýčení stávajících sítí na povrchu před zahájením výkopů</t>
        </is>
      </c>
      <c r="G5" s="7" t="inlineStr">
        <is>
          <t>bm</t>
        </is>
      </c>
      <c r="H5" s="7" t="n">
        <v>200</v>
      </c>
      <c r="I5" s="9" t="inlineStr">
        <is>
          <t>placeholder ~200 bm trasování sítí na pozemku</t>
        </is>
      </c>
      <c r="J5" s="9" t="inlineStr"/>
    </row>
    <row r="6">
      <c r="A6" s="3" t="inlineStr">
        <is>
          <t>→ Vyjádření správců sítí</t>
        </is>
      </c>
    </row>
    <row r="7">
      <c r="A7" s="7" t="n">
        <v>3</v>
      </c>
      <c r="B7" s="8" t="inlineStr"/>
      <c r="C7" s="7" t="n">
        <v>1</v>
      </c>
      <c r="D7" s="8" t="inlineStr">
        <is>
          <t>VRN</t>
        </is>
      </c>
      <c r="E7" s="8" t="inlineStr">
        <is>
          <t>VRN-016</t>
        </is>
      </c>
      <c r="F7" s="9" t="inlineStr">
        <is>
          <t>Vyjádření správců sítí — komplet pro 8-12 sítí (RWE/CETIN/ČEZ/Opatovice/Pošta/atd.)</t>
        </is>
      </c>
      <c r="G7" s="7" t="inlineStr">
        <is>
          <t>kpl</t>
        </is>
      </c>
      <c r="H7" s="7" t="n">
        <v>1</v>
      </c>
      <c r="I7" s="9" t="inlineStr">
        <is>
          <t>1 kpl pro všech 8-12 správců sítí (per RE-RUN §6)  [výkres:C3]</t>
        </is>
      </c>
      <c r="J7" s="9" t="inlineStr"/>
    </row>
    <row r="8">
      <c r="A8" s="3" t="inlineStr">
        <is>
          <t>→ Oplocení staveniště</t>
        </is>
      </c>
    </row>
    <row r="9">
      <c r="A9" s="4" t="n">
        <v>4</v>
      </c>
      <c r="B9" s="5" t="inlineStr"/>
      <c r="C9" s="4" t="n">
        <v>1</v>
      </c>
      <c r="D9" s="5" t="inlineStr">
        <is>
          <t>VRN</t>
        </is>
      </c>
      <c r="E9" s="5" t="inlineStr">
        <is>
          <t>VRN-004</t>
        </is>
      </c>
      <c r="F9" s="6" t="inlineStr">
        <is>
          <t>Oplocení staveniště — provizorní, výška 2 m, vstupní brána</t>
        </is>
      </c>
      <c r="G9" s="4" t="inlineStr">
        <is>
          <t>bm</t>
        </is>
      </c>
      <c r="H9" s="4" t="n">
        <v>150</v>
      </c>
      <c r="I9" s="6" t="inlineStr">
        <is>
          <t>placeholder ~150 bm (perimetr staveniště + pomocné plochy)</t>
        </is>
      </c>
      <c r="J9" s="6" t="inlineStr"/>
    </row>
    <row r="10">
      <c r="A10" s="3" t="inlineStr">
        <is>
          <t>→ Zařízení staveniště — buňky</t>
        </is>
      </c>
    </row>
    <row r="11">
      <c r="A11" s="4" t="n">
        <v>5</v>
      </c>
      <c r="B11" s="5" t="inlineStr"/>
      <c r="C11" s="4" t="n">
        <v>1</v>
      </c>
      <c r="D11" s="5" t="inlineStr">
        <is>
          <t>VRN</t>
        </is>
      </c>
      <c r="E11" s="5" t="inlineStr">
        <is>
          <t>VRN-001</t>
        </is>
      </c>
      <c r="F11" s="6" t="inlineStr">
        <is>
          <t>Zařízení staveniště — buňka kancelář stavbyvedoucího + technika</t>
        </is>
      </c>
      <c r="G11" s="4" t="inlineStr">
        <is>
          <t>měsíc</t>
        </is>
      </c>
      <c r="H11" s="4" t="n">
        <v>4</v>
      </c>
      <c r="I11" s="6" t="inlineStr">
        <is>
          <t>4 měsíců × 1 ks</t>
        </is>
      </c>
      <c r="J11" s="6" t="inlineStr"/>
    </row>
    <row r="12">
      <c r="A12" s="10" t="n">
        <v>6</v>
      </c>
      <c r="B12" s="11" t="inlineStr"/>
      <c r="C12" s="10" t="n">
        <v>1</v>
      </c>
      <c r="D12" s="11" t="inlineStr">
        <is>
          <t>VRN</t>
        </is>
      </c>
      <c r="E12" s="11" t="inlineStr">
        <is>
          <t>VRN-002</t>
        </is>
      </c>
      <c r="F12" s="12" t="inlineStr">
        <is>
          <t>Zařízení staveniště — buňka sociální / šatna / WC</t>
        </is>
      </c>
      <c r="G12" s="10" t="inlineStr">
        <is>
          <t>měsíc</t>
        </is>
      </c>
      <c r="H12" s="10" t="n">
        <v>4</v>
      </c>
      <c r="I12" s="12" t="inlineStr">
        <is>
          <t>4 měsíců × 1 ks</t>
        </is>
      </c>
      <c r="J12" s="12" t="inlineStr"/>
    </row>
    <row r="13">
      <c r="A13" s="4" t="n">
        <v>7</v>
      </c>
      <c r="B13" s="5" t="inlineStr"/>
      <c r="C13" s="4" t="n">
        <v>1</v>
      </c>
      <c r="D13" s="5" t="inlineStr">
        <is>
          <t>VRN</t>
        </is>
      </c>
      <c r="E13" s="5" t="inlineStr">
        <is>
          <t>VRN-003</t>
        </is>
      </c>
      <c r="F13" s="6" t="inlineStr">
        <is>
          <t>Zařízení staveniště — buňka sklad materiálu + nářadí</t>
        </is>
      </c>
      <c r="G13" s="4" t="inlineStr">
        <is>
          <t>měsíc</t>
        </is>
      </c>
      <c r="H13" s="4" t="n">
        <v>4</v>
      </c>
      <c r="I13" s="6" t="inlineStr">
        <is>
          <t>4 měsíců × 1 ks</t>
        </is>
      </c>
      <c r="J13" s="6" t="inlineStr"/>
    </row>
    <row r="14">
      <c r="A14" s="3" t="inlineStr">
        <is>
          <t>→ Mobilní WC pro pracovníky</t>
        </is>
      </c>
    </row>
    <row r="15">
      <c r="A15" s="7" t="n">
        <v>8</v>
      </c>
      <c r="B15" s="8" t="inlineStr"/>
      <c r="C15" s="7" t="n">
        <v>1</v>
      </c>
      <c r="D15" s="8" t="inlineStr">
        <is>
          <t>VRN</t>
        </is>
      </c>
      <c r="E15" s="8" t="inlineStr">
        <is>
          <t>VRN-007</t>
        </is>
      </c>
      <c r="F15" s="9" t="inlineStr">
        <is>
          <t>WC mobilní pro pracovníky — 2 ks</t>
        </is>
      </c>
      <c r="G15" s="7" t="inlineStr">
        <is>
          <t>měsíc</t>
        </is>
      </c>
      <c r="H15" s="7" t="n">
        <v>8</v>
      </c>
      <c r="I15" s="9" t="inlineStr">
        <is>
          <t>2 ks × 4 měsíců</t>
        </is>
      </c>
      <c r="J15" s="9" t="inlineStr"/>
    </row>
    <row r="16">
      <c r="A16" s="3" t="inlineStr">
        <is>
          <t>→ Přípojky pro stavbu (voda + elektro)</t>
        </is>
      </c>
    </row>
    <row r="17">
      <c r="A17" s="4" t="n">
        <v>9</v>
      </c>
      <c r="B17" s="5" t="inlineStr"/>
      <c r="C17" s="4" t="n">
        <v>1</v>
      </c>
      <c r="D17" s="5" t="inlineStr">
        <is>
          <t>VRN</t>
        </is>
      </c>
      <c r="E17" s="5" t="inlineStr">
        <is>
          <t>VRN-005</t>
        </is>
      </c>
      <c r="F17" s="6" t="inlineStr">
        <is>
          <t>Vodovodní přípojka pro stavbu — vytvoření + měření spotřeby</t>
        </is>
      </c>
      <c r="G17" s="4" t="inlineStr">
        <is>
          <t>paušál</t>
        </is>
      </c>
      <c r="H17" s="4" t="n">
        <v>1</v>
      </c>
      <c r="I17" s="6" t="inlineStr">
        <is>
          <t>paušál</t>
        </is>
      </c>
      <c r="J17" s="6" t="inlineStr"/>
    </row>
    <row r="18">
      <c r="A18" s="7" t="n">
        <v>10</v>
      </c>
      <c r="B18" s="8" t="inlineStr"/>
      <c r="C18" s="7" t="n">
        <v>1</v>
      </c>
      <c r="D18" s="8" t="inlineStr">
        <is>
          <t>VRN</t>
        </is>
      </c>
      <c r="E18" s="8" t="inlineStr">
        <is>
          <t>VRN-006</t>
        </is>
      </c>
      <c r="F18" s="9" t="inlineStr">
        <is>
          <t>Elektrická přípojka pro stavbu — staveništní rozvaděč + měření</t>
        </is>
      </c>
      <c r="G18" s="7" t="inlineStr">
        <is>
          <t>paušál</t>
        </is>
      </c>
      <c r="H18" s="7" t="n">
        <v>1</v>
      </c>
      <c r="I18" s="9" t="inlineStr">
        <is>
          <t>paušál</t>
        </is>
      </c>
      <c r="J18" s="9" t="inlineStr"/>
    </row>
    <row r="19">
      <c r="A19" s="3" t="inlineStr">
        <is>
          <t>→ BOZP plán + koordinátor</t>
        </is>
      </c>
    </row>
    <row r="20">
      <c r="A20" s="4" t="n">
        <v>11</v>
      </c>
      <c r="B20" s="5" t="inlineStr"/>
      <c r="C20" s="4" t="n">
        <v>1</v>
      </c>
      <c r="D20" s="5" t="inlineStr">
        <is>
          <t>VRN</t>
        </is>
      </c>
      <c r="E20" s="5" t="inlineStr">
        <is>
          <t>VRN-009</t>
        </is>
      </c>
      <c r="F20" s="6" t="inlineStr">
        <is>
          <t>Plán BOZP + dokumentace bezpečnosti práce</t>
        </is>
      </c>
      <c r="G20" s="4" t="inlineStr">
        <is>
          <t>paušál</t>
        </is>
      </c>
      <c r="H20" s="4" t="n">
        <v>1</v>
      </c>
      <c r="I20" s="6" t="inlineStr">
        <is>
          <t>paušál</t>
        </is>
      </c>
      <c r="J20" s="6" t="inlineStr"/>
    </row>
    <row r="21">
      <c r="A21" s="7" t="n">
        <v>12</v>
      </c>
      <c r="B21" s="8" t="inlineStr"/>
      <c r="C21" s="7" t="n">
        <v>1</v>
      </c>
      <c r="D21" s="8" t="inlineStr">
        <is>
          <t>VRN</t>
        </is>
      </c>
      <c r="E21" s="8" t="inlineStr">
        <is>
          <t>VRN-008</t>
        </is>
      </c>
      <c r="F21" s="9" t="inlineStr">
        <is>
          <t>BOZP koordinace na stavbě — koordinátor BOZP průběžně</t>
        </is>
      </c>
      <c r="G21" s="7" t="inlineStr">
        <is>
          <t>měsíc</t>
        </is>
      </c>
      <c r="H21" s="7" t="n">
        <v>4</v>
      </c>
      <c r="I21" s="9" t="inlineStr">
        <is>
          <t>4 měsíců</t>
        </is>
      </c>
      <c r="J21" s="9" t="inlineStr"/>
    </row>
    <row r="22">
      <c r="A22" s="3" t="inlineStr">
        <is>
          <t>→ Pojištění stavby</t>
        </is>
      </c>
    </row>
    <row r="23">
      <c r="A23" s="4" t="n">
        <v>13</v>
      </c>
      <c r="B23" s="5" t="inlineStr"/>
      <c r="C23" s="4" t="n">
        <v>1</v>
      </c>
      <c r="D23" s="5" t="inlineStr">
        <is>
          <t>VRN</t>
        </is>
      </c>
      <c r="E23" s="5" t="inlineStr">
        <is>
          <t>VRN-010</t>
        </is>
      </c>
      <c r="F23" s="6" t="inlineStr">
        <is>
          <t>Pojištění stavby + odpovědnostní pojistka</t>
        </is>
      </c>
      <c r="G23" s="4" t="inlineStr">
        <is>
          <t>paušál</t>
        </is>
      </c>
      <c r="H23" s="4" t="n">
        <v>1</v>
      </c>
      <c r="I23" s="6" t="inlineStr">
        <is>
          <t>paušál</t>
        </is>
      </c>
      <c r="J23" s="6" t="inlineStr"/>
    </row>
    <row r="24">
      <c r="A24" s="3" t="inlineStr">
        <is>
          <t>→ Kácení dřevin + frézování pařezů</t>
        </is>
      </c>
    </row>
    <row r="25">
      <c r="A25" s="7" t="n">
        <v>14</v>
      </c>
      <c r="B25" s="8" t="inlineStr"/>
      <c r="C25" s="7" t="n">
        <v>1</v>
      </c>
      <c r="D25" s="8" t="inlineStr">
        <is>
          <t>HSV-1</t>
        </is>
      </c>
      <c r="E25" s="8" t="inlineStr">
        <is>
          <t>HSV-1-020</t>
        </is>
      </c>
      <c r="F25" s="9" t="inlineStr">
        <is>
          <t>Kácení vzrostlých stromů Ø &lt; 80 cm — bříza, dub červený</t>
        </is>
      </c>
      <c r="G25" s="7" t="inlineStr">
        <is>
          <t>ks</t>
        </is>
      </c>
      <c r="H25" s="7" t="n">
        <v>2</v>
      </c>
      <c r="I25" s="9" t="inlineStr">
        <is>
          <t>2 ks (TZ B m.7.b)  [výkres:C3, TZ:chapter]</t>
        </is>
      </c>
      <c r="J25" s="9" t="inlineStr"/>
    </row>
    <row r="26">
      <c r="A26" s="7" t="n">
        <v>15</v>
      </c>
      <c r="B26" s="8" t="inlineStr"/>
      <c r="C26" s="7" t="n">
        <v>1</v>
      </c>
      <c r="D26" s="8" t="inlineStr">
        <is>
          <t>HSV-1</t>
        </is>
      </c>
      <c r="E26" s="8" t="inlineStr">
        <is>
          <t>HSV-1-021</t>
        </is>
      </c>
      <c r="F26" s="9" t="inlineStr">
        <is>
          <t>Kácení drobných dřevin a semenáčků — javor klen, dub letní</t>
        </is>
      </c>
      <c r="G26" s="7" t="inlineStr">
        <is>
          <t>ks</t>
        </is>
      </c>
      <c r="H26" s="7" t="n">
        <v>5</v>
      </c>
      <c r="I26" s="9" t="inlineStr">
        <is>
          <t>placeholder 5 ks (TZ B m.7.b)  [výkres:C3, TZ:B]</t>
        </is>
      </c>
      <c r="J26" s="9" t="inlineStr"/>
    </row>
    <row r="27">
      <c r="A27" s="4" t="n">
        <v>16</v>
      </c>
      <c r="B27" s="5" t="inlineStr"/>
      <c r="C27" s="4" t="n">
        <v>1</v>
      </c>
      <c r="D27" s="5" t="inlineStr">
        <is>
          <t>HSV-1</t>
        </is>
      </c>
      <c r="E27" s="5" t="inlineStr">
        <is>
          <t>HSV-1-022</t>
        </is>
      </c>
      <c r="F27" s="6" t="inlineStr">
        <is>
          <t>Frézování pařezů po kácení dřevin</t>
        </is>
      </c>
      <c r="G27" s="4" t="inlineStr">
        <is>
          <t>ks</t>
        </is>
      </c>
      <c r="H27" s="4" t="n">
        <v>7</v>
      </c>
      <c r="I27" s="6" t="inlineStr">
        <is>
          <t>2 vzrostlé + 5 drobné = 7 pařezů</t>
        </is>
      </c>
      <c r="J27" s="6" t="inlineStr"/>
    </row>
    <row r="28">
      <c r="A28" s="7" t="n">
        <v>17</v>
      </c>
      <c r="B28" s="8" t="inlineStr"/>
      <c r="C28" s="7" t="n">
        <v>1</v>
      </c>
      <c r="D28" s="8" t="inlineStr">
        <is>
          <t>HSV-1</t>
        </is>
      </c>
      <c r="E28" s="8" t="inlineStr">
        <is>
          <t>HSV-1-023</t>
        </is>
      </c>
      <c r="F28" s="9" t="inlineStr">
        <is>
          <t>Odvoz dřevní hmoty po kácení a likvidace</t>
        </is>
      </c>
      <c r="G28" s="7" t="inlineStr">
        <is>
          <t>m³</t>
        </is>
      </c>
      <c r="H28" s="7" t="n">
        <v>6</v>
      </c>
      <c r="I28" s="9" t="inlineStr">
        <is>
          <t>placeholder ~6 m³ dřevní hmoty</t>
        </is>
      </c>
      <c r="J28" s="9" t="inlineStr"/>
    </row>
    <row r="29">
      <c r="A29" s="3" t="inlineStr">
        <is>
          <t>→ Odstranění asfaltové vrstvy + odvoz suti</t>
        </is>
      </c>
    </row>
    <row r="30">
      <c r="A30" s="7" t="n">
        <v>18</v>
      </c>
      <c r="B30" s="8" t="inlineStr"/>
      <c r="C30" s="7" t="n">
        <v>1</v>
      </c>
      <c r="D30" s="8" t="inlineStr">
        <is>
          <t>HSV-1</t>
        </is>
      </c>
      <c r="E30" s="8" t="inlineStr">
        <is>
          <t>HSV-1-025</t>
        </is>
      </c>
      <c r="F30" s="9" t="inlineStr">
        <is>
          <t>Odstranění stávající asfaltové vrstvy + podkladu, tl. do 250 mm</t>
        </is>
      </c>
      <c r="G30" s="7" t="inlineStr">
        <is>
          <t>m²</t>
        </is>
      </c>
      <c r="H30" s="7" t="n">
        <v>540</v>
      </c>
      <c r="I30" s="9" t="inlineStr">
        <is>
          <t>placeholder ~540 m² (z C3 situace + plocha pod halou)  [výkres:C3, phase:Phase 0b RE-RUN §3.10]</t>
        </is>
      </c>
      <c r="J30" s="9" t="inlineStr">
        <is>
          <t>ABMV:ABMV_17</t>
        </is>
      </c>
    </row>
    <row r="31">
      <c r="A31" s="10" t="n">
        <v>19</v>
      </c>
      <c r="B31" s="11" t="inlineStr"/>
      <c r="C31" s="10" t="n">
        <v>1</v>
      </c>
      <c r="D31" s="11" t="inlineStr">
        <is>
          <t>HSV-1</t>
        </is>
      </c>
      <c r="E31" s="11" t="inlineStr">
        <is>
          <t>HSV-1-026</t>
        </is>
      </c>
      <c r="F31" s="12" t="inlineStr">
        <is>
          <t>Nakládání stavební suti na dopravní prostředek</t>
        </is>
      </c>
      <c r="G31" s="10" t="inlineStr">
        <is>
          <t>t</t>
        </is>
      </c>
      <c r="H31" s="10" t="n">
        <v>80</v>
      </c>
      <c r="I31" s="12" t="inlineStr">
        <is>
          <t>placeholder 540 m² × 0.25 m × 2 t/m³ × 30% = ~80 t</t>
        </is>
      </c>
      <c r="J31" s="12" t="inlineStr">
        <is>
          <t>ABMV:ABMV_17</t>
        </is>
      </c>
    </row>
    <row r="32">
      <c r="A32" s="4" t="n">
        <v>20</v>
      </c>
      <c r="B32" s="5" t="inlineStr"/>
      <c r="C32" s="4" t="n">
        <v>1</v>
      </c>
      <c r="D32" s="5" t="inlineStr">
        <is>
          <t>HSV-1</t>
        </is>
      </c>
      <c r="E32" s="5" t="inlineStr">
        <is>
          <t>HSV-1-027</t>
        </is>
      </c>
      <c r="F32" s="6" t="inlineStr">
        <is>
          <t>Odvoz stavební suti k recyklaci — vč. skládkovného</t>
        </is>
      </c>
      <c r="G32" s="4" t="inlineStr">
        <is>
          <t>t</t>
        </is>
      </c>
      <c r="H32" s="4" t="n">
        <v>80</v>
      </c>
      <c r="I32" s="6">
        <f> nakládání suti</f>
        <v/>
      </c>
      <c r="J32" s="6" t="inlineStr">
        <is>
          <t>ABMV:ABMV_17</t>
        </is>
      </c>
    </row>
    <row r="33" ht="22" customHeight="1">
      <c r="A33" s="2" t="inlineStr">
        <is>
          <t>═══ FÁZE 2: ZEMNÍ PRÁCE ═══</t>
        </is>
      </c>
    </row>
    <row r="34">
      <c r="A34" s="3" t="inlineStr">
        <is>
          <t>→ Hlavní výkop figury pod desku</t>
        </is>
      </c>
    </row>
    <row r="35">
      <c r="A35" s="4" t="n">
        <v>21</v>
      </c>
      <c r="B35" s="5" t="inlineStr"/>
      <c r="C35" s="4" t="n">
        <v>2</v>
      </c>
      <c r="D35" s="5" t="inlineStr">
        <is>
          <t>HSV-1</t>
        </is>
      </c>
      <c r="E35" s="5" t="inlineStr">
        <is>
          <t>HSV-1-001</t>
        </is>
      </c>
      <c r="F35" s="6" t="inlineStr">
        <is>
          <t>Hloubení figury pod základovou desku + sejmutí navážek aktivní zóny, hor. tř. 1, stroj.</t>
        </is>
      </c>
      <c r="G35" s="4" t="inlineStr">
        <is>
          <t>m³</t>
        </is>
      </c>
      <c r="H35" s="4" t="n">
        <v>210</v>
      </c>
      <c r="I35" s="6" t="inlineStr">
        <is>
          <t>Zone-by-zone: 100 + 24 + 54 + 7 + 25 = 210 m³ (main_floor + perimeter_pas + patky_pits + kanalizace + svahy_rezerva)  [výkres:A102, TZ:10.g, phase:Phase 0b RE-RUN §3.10]  · was TBD: DXF layer scan A106/A201 for exact po…</t>
        </is>
      </c>
      <c r="J35" s="6" t="inlineStr"/>
    </row>
    <row r="36">
      <c r="A36" s="3" t="inlineStr">
        <is>
          <t>→ Ruční výkop v ochranných pásmech sítí</t>
        </is>
      </c>
    </row>
    <row r="37">
      <c r="A37" s="7" t="n">
        <v>22</v>
      </c>
      <c r="B37" s="8" t="inlineStr"/>
      <c r="C37" s="7" t="n">
        <v>2</v>
      </c>
      <c r="D37" s="8" t="inlineStr">
        <is>
          <t>HSV-1</t>
        </is>
      </c>
      <c r="E37" s="8" t="inlineStr">
        <is>
          <t>HSV-1-006</t>
        </is>
      </c>
      <c r="F37" s="9" t="inlineStr">
        <is>
          <t>Ruční výkop v ochranných pásmech stávajících sítí DN300, hor. tř. 3</t>
        </is>
      </c>
      <c r="G37" s="7" t="inlineStr">
        <is>
          <t>m³</t>
        </is>
      </c>
      <c r="H37" s="7" t="n">
        <v>30</v>
      </c>
      <c r="I37" s="9" t="inlineStr">
        <is>
          <t>2 křížení × 5 m délka × 1.5 m š × 2.0 m h  [výkres:A201, TZ:10.g]</t>
        </is>
      </c>
      <c r="J37" s="9" t="inlineStr">
        <is>
          <t>ABMV:ABMV_17</t>
        </is>
      </c>
    </row>
    <row r="38">
      <c r="A38" s="7" t="n">
        <v>23</v>
      </c>
      <c r="B38" s="8" t="inlineStr"/>
      <c r="C38" s="7" t="n">
        <v>2</v>
      </c>
      <c r="D38" s="8" t="inlineStr">
        <is>
          <t>HSV-1</t>
        </is>
      </c>
      <c r="E38" s="8" t="inlineStr">
        <is>
          <t>HSV-1-007</t>
        </is>
      </c>
      <c r="F38" s="9" t="inlineStr">
        <is>
          <t>Příplatek za stížené podmínky — ruční výkop u stávajících sítí</t>
        </is>
      </c>
      <c r="G38" s="7" t="inlineStr">
        <is>
          <t>m³</t>
        </is>
      </c>
      <c r="H38" s="7" t="n">
        <v>30</v>
      </c>
      <c r="I38" s="9">
        <f> ruční výkop u sítí (m³)</f>
        <v/>
      </c>
      <c r="J38" s="9" t="inlineStr">
        <is>
          <t>ABMV:ABMV_17</t>
        </is>
      </c>
    </row>
    <row r="39">
      <c r="A39" s="3" t="inlineStr">
        <is>
          <t>→ Obetonování stávajícího potrubí (po odkrytí)</t>
        </is>
      </c>
    </row>
    <row r="40">
      <c r="A40" s="4" t="n">
        <v>24</v>
      </c>
      <c r="B40" s="5" t="inlineStr"/>
      <c r="C40" s="4" t="n">
        <v>2</v>
      </c>
      <c r="D40" s="5" t="inlineStr">
        <is>
          <t>HSV-1</t>
        </is>
      </c>
      <c r="E40" s="5" t="inlineStr">
        <is>
          <t>HSV-1-009</t>
        </is>
      </c>
      <c r="F40" s="6" t="inlineStr">
        <is>
          <t>Obetonování stávajícího potrubí splaškové kanalizace DN300 betonem C16/20</t>
        </is>
      </c>
      <c r="G40" s="4" t="inlineStr">
        <is>
          <t>m³</t>
        </is>
      </c>
      <c r="H40" s="4" t="n">
        <v>5</v>
      </c>
      <c r="I40" s="6" t="inlineStr">
        <is>
          <t>placeholder ~5 m³ (úsek 5 m × tlouš. 0.3 m × š. 0.8 m + ofset)  [výkres:A201, TZ:10.g]</t>
        </is>
      </c>
      <c r="J40" s="6" t="inlineStr">
        <is>
          <t>ABMV:ABMV_17</t>
        </is>
      </c>
    </row>
    <row r="41">
      <c r="A41" s="10" t="n">
        <v>25</v>
      </c>
      <c r="B41" s="11" t="inlineStr"/>
      <c r="C41" s="10" t="n">
        <v>2</v>
      </c>
      <c r="D41" s="11" t="inlineStr">
        <is>
          <t>HSV-1</t>
        </is>
      </c>
      <c r="E41" s="11" t="inlineStr">
        <is>
          <t>HSV-1-010</t>
        </is>
      </c>
      <c r="F41" s="12" t="inlineStr">
        <is>
          <t>Obetonování stávajícího potrubí dešťové kanalizace DN300 betonem C16/20</t>
        </is>
      </c>
      <c r="G41" s="10" t="inlineStr">
        <is>
          <t>m³</t>
        </is>
      </c>
      <c r="H41" s="10" t="n">
        <v>5</v>
      </c>
      <c r="I41" s="12" t="inlineStr">
        <is>
          <t>placeholder ~5 m³ (úsek 5 m × 0.3 × 0.8 + ofset)  [výkres:A201, TZ:10.g]</t>
        </is>
      </c>
      <c r="J41" s="12" t="inlineStr">
        <is>
          <t>ABMV:ABMV_17</t>
        </is>
      </c>
    </row>
    <row r="42">
      <c r="A42" s="3" t="inlineStr">
        <is>
          <t>→ Dohloubky pro patky a pasy</t>
        </is>
      </c>
    </row>
    <row r="43">
      <c r="A43" s="7" t="n">
        <v>26</v>
      </c>
      <c r="B43" s="8" t="inlineStr"/>
      <c r="C43" s="7" t="n">
        <v>2</v>
      </c>
      <c r="D43" s="8" t="inlineStr">
        <is>
          <t>HSV-1</t>
        </is>
      </c>
      <c r="E43" s="8" t="inlineStr">
        <is>
          <t>HSV-1-002</t>
        </is>
      </c>
      <c r="F43" s="9" t="inlineStr">
        <is>
          <t>Hloubení dohloubek pro patky rámové, hor. tř. 3, do 1 m hloubky</t>
        </is>
      </c>
      <c r="G43" s="7" t="inlineStr">
        <is>
          <t>m³</t>
        </is>
      </c>
      <c r="H43" s="7" t="n">
        <v>31.5</v>
      </c>
      <c r="I43" s="9" t="inlineStr">
        <is>
          <t>14 ks × 1.5 m × 1.5 m × 1.0 m (od úr. figury -0.45 do -1.45/-1.90)  [výkres:A105]</t>
        </is>
      </c>
      <c r="J43" s="9" t="inlineStr">
        <is>
          <t>ABMV:ABMV_17</t>
        </is>
      </c>
    </row>
    <row r="44">
      <c r="A44" s="7" t="n">
        <v>27</v>
      </c>
      <c r="B44" s="8" t="inlineStr"/>
      <c r="C44" s="7" t="n">
        <v>2</v>
      </c>
      <c r="D44" s="8" t="inlineStr">
        <is>
          <t>HSV-1</t>
        </is>
      </c>
      <c r="E44" s="8" t="inlineStr">
        <is>
          <t>HSV-1-003</t>
        </is>
      </c>
      <c r="F44" s="9" t="inlineStr">
        <is>
          <t>Hloubení dohloubek pro patky štítové, hor. tř. 3, do 0.5 m hloubky</t>
        </is>
      </c>
      <c r="G44" s="7" t="inlineStr">
        <is>
          <t>m³</t>
        </is>
      </c>
      <c r="H44" s="7" t="n">
        <v>1.28</v>
      </c>
      <c r="I44" s="9" t="inlineStr">
        <is>
          <t>8 ks × 0.8 × 0.8 × 0.25 m (od figury -0.45 do -0.70)  [výkres:A105]</t>
        </is>
      </c>
      <c r="J44" s="9" t="inlineStr">
        <is>
          <t>ABMV:ABMV_17</t>
        </is>
      </c>
    </row>
    <row r="45">
      <c r="A45" s="7" t="n">
        <v>28</v>
      </c>
      <c r="B45" s="8" t="inlineStr"/>
      <c r="C45" s="7" t="n">
        <v>2</v>
      </c>
      <c r="D45" s="8" t="inlineStr">
        <is>
          <t>HSV-1</t>
        </is>
      </c>
      <c r="E45" s="8" t="inlineStr">
        <is>
          <t>HSV-1-005</t>
        </is>
      </c>
      <c r="F45" s="9" t="inlineStr">
        <is>
          <t>Hloubení rýh pro krátké pasy mezi patkami, hor. tř. 3, do 0.6 m hloubky</t>
        </is>
      </c>
      <c r="G45" s="7" t="inlineStr">
        <is>
          <t>m³</t>
        </is>
      </c>
      <c r="H45" s="7" t="n">
        <v>7.2</v>
      </c>
      <c r="I45" s="9" t="inlineStr">
        <is>
          <t>~30 bm × 0.4 m × 0.6 m (krátké propojovací pasy)  [výkres:A105, phase:Phase 0b RE-RUN §3.10]</t>
        </is>
      </c>
      <c r="J45" s="9" t="inlineStr">
        <is>
          <t>ABMV:ABMV_17</t>
        </is>
      </c>
    </row>
    <row r="46">
      <c r="A46" s="3" t="inlineStr">
        <is>
          <t>→ Atypický základ (varianta pilota) + pažení</t>
        </is>
      </c>
    </row>
    <row r="47">
      <c r="A47" s="7" t="n">
        <v>29</v>
      </c>
      <c r="B47" s="8" t="inlineStr"/>
      <c r="C47" s="7" t="n">
        <v>2</v>
      </c>
      <c r="D47" s="8" t="inlineStr">
        <is>
          <t>HSV-1</t>
        </is>
      </c>
      <c r="E47" s="8" t="inlineStr">
        <is>
          <t>HSV-1-004</t>
        </is>
      </c>
      <c r="F47" s="9" t="inlineStr">
        <is>
          <t>Hloubení atypického základu — varianta jako pilota Ø800 / L=8 m</t>
        </is>
      </c>
      <c r="G47" s="7" t="inlineStr">
        <is>
          <t>m³</t>
        </is>
      </c>
      <c r="H47" s="7" t="n">
        <v>12</v>
      </c>
      <c r="I47" s="9" t="inlineStr">
        <is>
          <t>placeholder 12 m³ (vrt + zaplnění; variantní řešení per A105 mtext)  [výkres:A105]</t>
        </is>
      </c>
      <c r="J47" s="9" t="inlineStr">
        <is>
          <t>ABMV:ABMV_11,ABMV_17</t>
        </is>
      </c>
    </row>
    <row r="48">
      <c r="A48" s="7" t="n">
        <v>30</v>
      </c>
      <c r="B48" s="8" t="inlineStr"/>
      <c r="C48" s="7" t="n">
        <v>2</v>
      </c>
      <c r="D48" s="8" t="inlineStr">
        <is>
          <t>HSV-1</t>
        </is>
      </c>
      <c r="E48" s="8" t="inlineStr">
        <is>
          <t>HSV-1-008</t>
        </is>
      </c>
      <c r="F48" s="9" t="inlineStr">
        <is>
          <t>Pažení výkopů hloubky nad 1.3 m — atypický základ</t>
        </is>
      </c>
      <c r="G48" s="7" t="inlineStr">
        <is>
          <t>m²</t>
        </is>
      </c>
      <c r="H48" s="7" t="n">
        <v>20</v>
      </c>
      <c r="I48" s="9" t="inlineStr">
        <is>
          <t>placeholder 20 m² (perimetr atypického základu × hloubka)  [csn, phase:Phase 0b RE-RUN §3.10]</t>
        </is>
      </c>
      <c r="J48" s="9" t="inlineStr">
        <is>
          <t>ABMV:ABMV_11,ABMV_17</t>
        </is>
      </c>
    </row>
    <row r="49">
      <c r="A49" s="3" t="inlineStr">
        <is>
          <t>→ Výkopy pro nové přípojky</t>
        </is>
      </c>
    </row>
    <row r="50">
      <c r="A50" s="7" t="n">
        <v>31</v>
      </c>
      <c r="B50" s="8" t="inlineStr"/>
      <c r="C50" s="7" t="n">
        <v>2</v>
      </c>
      <c r="D50" s="8" t="inlineStr">
        <is>
          <t>HSV-1</t>
        </is>
      </c>
      <c r="E50" s="8" t="inlineStr">
        <is>
          <t>HSV-1-011</t>
        </is>
      </c>
      <c r="F50" s="9" t="inlineStr">
        <is>
          <t>Pomocné výkopy pro novou přípojku vodovod DN150 LT</t>
        </is>
      </c>
      <c r="G50" s="7" t="inlineStr">
        <is>
          <t>m³</t>
        </is>
      </c>
      <c r="H50" s="7" t="n">
        <v>8</v>
      </c>
      <c r="I50" s="9" t="inlineStr">
        <is>
          <t>cca 16 m × 0.5 m š × 1.0 m h (TZ B m.10.g + RE-RUN §6)</t>
        </is>
      </c>
      <c r="J50" s="9" t="inlineStr">
        <is>
          <t>ABMV:ABMV_17</t>
        </is>
      </c>
    </row>
    <row r="51">
      <c r="A51" s="7" t="n">
        <v>32</v>
      </c>
      <c r="B51" s="8" t="inlineStr"/>
      <c r="C51" s="7" t="n">
        <v>2</v>
      </c>
      <c r="D51" s="8" t="inlineStr">
        <is>
          <t>HSV-1</t>
        </is>
      </c>
      <c r="E51" s="8" t="inlineStr">
        <is>
          <t>HSV-1-012</t>
        </is>
      </c>
      <c r="F51" s="9" t="inlineStr">
        <is>
          <t>Pomocné výkopy pro novou areálovou kanalizaci DN200</t>
        </is>
      </c>
      <c r="G51" s="7" t="inlineStr">
        <is>
          <t>m³</t>
        </is>
      </c>
      <c r="H51" s="7" t="n">
        <v>49.2</v>
      </c>
      <c r="I51" s="9" t="inlineStr">
        <is>
          <t>82 m gravitační × 0.5 m š × 1.2 m h</t>
        </is>
      </c>
      <c r="J51" s="9" t="inlineStr">
        <is>
          <t>ABMV:ABMV_17</t>
        </is>
      </c>
    </row>
    <row r="52">
      <c r="A52" s="3" t="inlineStr">
        <is>
          <t>→ Nakládání + vodorovné přemístění + odvoz zeminy</t>
        </is>
      </c>
    </row>
    <row r="53">
      <c r="A53" s="7" t="n">
        <v>33</v>
      </c>
      <c r="B53" s="8" t="inlineStr"/>
      <c r="C53" s="7" t="n">
        <v>2</v>
      </c>
      <c r="D53" s="8" t="inlineStr">
        <is>
          <t>HSV-1</t>
        </is>
      </c>
      <c r="E53" s="8" t="inlineStr">
        <is>
          <t>HSV-1-016</t>
        </is>
      </c>
      <c r="F53" s="9" t="inlineStr">
        <is>
          <t>Nakládání zeminy hor. tř. 1-4 na dopravní prostředek</t>
        </is>
      </c>
      <c r="G53" s="7" t="inlineStr">
        <is>
          <t>m³</t>
        </is>
      </c>
      <c r="H53" s="7" t="n">
        <v>350</v>
      </c>
      <c r="I53" s="9">
        <f> celkový objem výkopu 350 m³ (Phase 0b baseline)  [phase:Phase 0b RE-RUN §3.10]</f>
        <v/>
      </c>
      <c r="J53" s="9" t="inlineStr">
        <is>
          <t>ABMV:ABMV_17</t>
        </is>
      </c>
    </row>
    <row r="54">
      <c r="A54" s="7" t="n">
        <v>34</v>
      </c>
      <c r="B54" s="8" t="inlineStr"/>
      <c r="C54" s="7" t="n">
        <v>2</v>
      </c>
      <c r="D54" s="8" t="inlineStr">
        <is>
          <t>HSV-1</t>
        </is>
      </c>
      <c r="E54" s="8" t="inlineStr">
        <is>
          <t>HSV-1-017</t>
        </is>
      </c>
      <c r="F54" s="9" t="inlineStr">
        <is>
          <t>Vodorovné přemístění zeminy do 5000 m, sklon do 5 %</t>
        </is>
      </c>
      <c r="G54" s="7" t="inlineStr">
        <is>
          <t>m³</t>
        </is>
      </c>
      <c r="H54" s="7" t="n">
        <v>350</v>
      </c>
      <c r="I54" s="9">
        <f> 350 m³ × 1 (default 5 km deponie)</f>
        <v/>
      </c>
      <c r="J54" s="9" t="inlineStr">
        <is>
          <t>ABMV:ABMV_17</t>
        </is>
      </c>
    </row>
    <row r="55">
      <c r="A55" s="7" t="n">
        <v>35</v>
      </c>
      <c r="B55" s="8" t="inlineStr"/>
      <c r="C55" s="7" t="n">
        <v>2</v>
      </c>
      <c r="D55" s="8" t="inlineStr">
        <is>
          <t>HSV-1</t>
        </is>
      </c>
      <c r="E55" s="8" t="inlineStr">
        <is>
          <t>HSV-1-018</t>
        </is>
      </c>
      <c r="F55" s="9" t="inlineStr">
        <is>
          <t>Odvoz výkopu na deponii / skládku — kontejnerová doprava</t>
        </is>
      </c>
      <c r="G55" s="7" t="inlineStr">
        <is>
          <t>m³</t>
        </is>
      </c>
      <c r="H55" s="7" t="n">
        <v>350</v>
      </c>
      <c r="I55" s="9">
        <f> 350 m³</f>
        <v/>
      </c>
      <c r="J55" s="9" t="inlineStr">
        <is>
          <t>ABMV:ABMV_17</t>
        </is>
      </c>
    </row>
    <row r="56">
      <c r="A56" s="7" t="n">
        <v>36</v>
      </c>
      <c r="B56" s="8" t="inlineStr"/>
      <c r="C56" s="7" t="n">
        <v>2</v>
      </c>
      <c r="D56" s="8" t="inlineStr">
        <is>
          <t>HSV-1</t>
        </is>
      </c>
      <c r="E56" s="8" t="inlineStr">
        <is>
          <t>HSV-1-019</t>
        </is>
      </c>
      <c r="F56" s="9" t="inlineStr">
        <is>
          <t>Skládkovné — uložení vytěžené zeminy na řízené skládce</t>
        </is>
      </c>
      <c r="G56" s="7" t="inlineStr">
        <is>
          <t>t</t>
        </is>
      </c>
      <c r="H56" s="7" t="n">
        <v>630</v>
      </c>
      <c r="I56" s="9" t="inlineStr">
        <is>
          <t>350 m³ × 1.8 t/m³ (zhutněná zemina)</t>
        </is>
      </c>
      <c r="J56" s="9" t="inlineStr">
        <is>
          <t>ABMV:ABMV_17</t>
        </is>
      </c>
    </row>
    <row r="57" ht="22" customHeight="1">
      <c r="A57" s="2" t="inlineStr">
        <is>
          <t>═══ FÁZE 3: ZÁKLADY ═══</t>
        </is>
      </c>
    </row>
    <row r="58">
      <c r="A58" s="3" t="inlineStr">
        <is>
          <t>→ Výměna aktivní zóny — odstr. navážek → odvoz → dovoz štěrku → hutnění → Edef2 → geodet</t>
        </is>
      </c>
    </row>
    <row r="59">
      <c r="A59" s="4" t="n">
        <v>37</v>
      </c>
      <c r="B59" s="5" t="inlineStr"/>
      <c r="C59" s="4" t="n">
        <v>3</v>
      </c>
      <c r="D59" s="5" t="inlineStr">
        <is>
          <t>HSV-1</t>
        </is>
      </c>
      <c r="E59" s="5" t="inlineStr">
        <is>
          <t>HSV-1-028a</t>
        </is>
      </c>
      <c r="F59" s="6" t="inlineStr">
        <is>
          <t>Odstranění navážek GT1 z aktivní zóny — výkop + naložení na dopravní prostředek</t>
        </is>
      </c>
      <c r="G59" s="4" t="inlineStr">
        <is>
          <t>m³</t>
        </is>
      </c>
      <c r="H59" s="4" t="n">
        <v>265.61</v>
      </c>
      <c r="I59" s="6" t="inlineStr">
        <is>
          <t>531.22 m² (A105 deska) × 0.5 m (mocnost výměny per IGP §4.4) = 265.61 m³  [igp_section:4.4, igp_document:inputs/dokumentace/IGP_ALTAGEO_526026.md, Step3]  · was 265.61: Sub-item 1) výkop navážek — first appearance</t>
        </is>
      </c>
      <c r="J59" s="6" t="inlineStr"/>
    </row>
    <row r="60">
      <c r="A60" s="10" t="n">
        <v>38</v>
      </c>
      <c r="B60" s="11" t="inlineStr"/>
      <c r="C60" s="10" t="n">
        <v>3</v>
      </c>
      <c r="D60" s="11" t="inlineStr">
        <is>
          <t>HSV-1</t>
        </is>
      </c>
      <c r="E60" s="11" t="inlineStr">
        <is>
          <t>HSV-1-028b</t>
        </is>
      </c>
      <c r="F60" s="12" t="inlineStr">
        <is>
          <t>Odvoz vytěžených navážek GT1 na skládku (vč. poplatku skládkovné)</t>
        </is>
      </c>
      <c r="G60" s="10" t="inlineStr">
        <is>
          <t>m³</t>
        </is>
      </c>
      <c r="H60" s="10" t="n">
        <v>265.61</v>
      </c>
      <c r="I60" s="12">
        <f> HSV-1-028a vytěžený objem = 265.61 m³ (1 : 1 odvoz vykopaného materiálu)  [igp_section:4.4, igp_document:inputs/dokumentace/IGP_ALTAGEO_526026.md, Step3]  · was 265.61: Sub-item 2) odvoz na skládku — first appearance</f>
        <v/>
      </c>
      <c r="J60" s="12" t="inlineStr"/>
    </row>
    <row r="61">
      <c r="A61" s="4" t="n">
        <v>39</v>
      </c>
      <c r="B61" s="5" t="inlineStr"/>
      <c r="C61" s="4" t="n">
        <v>3</v>
      </c>
      <c r="D61" s="5" t="inlineStr">
        <is>
          <t>HSV-1</t>
        </is>
      </c>
      <c r="E61" s="5" t="inlineStr">
        <is>
          <t>HSV-1-028c</t>
        </is>
      </c>
      <c r="F61" s="6" t="inlineStr">
        <is>
          <t>Dovoz hutného štěrku frakce 0/63 (alt. 0/125) na staveniště</t>
        </is>
      </c>
      <c r="G61" s="4" t="inlineStr">
        <is>
          <t>m³</t>
        </is>
      </c>
      <c r="H61" s="4" t="n">
        <v>265.61</v>
      </c>
      <c r="I61" s="6">
        <f> objem výměny 265.61 m³ (nahrazení 1 : 1 ekvivalent odstraněného)  [igp_section:4.4, igp_document:inputs/dokumentace/IGP_ALTAGEO_526026.md, Step3]  · was 265.61: Sub-item 3) dovoz hutného štěrku — first appearance</f>
        <v/>
      </c>
      <c r="J61" s="6" t="inlineStr"/>
    </row>
    <row r="62">
      <c r="A62" s="10" t="n">
        <v>40</v>
      </c>
      <c r="B62" s="11" t="inlineStr"/>
      <c r="C62" s="10" t="n">
        <v>3</v>
      </c>
      <c r="D62" s="11" t="inlineStr">
        <is>
          <t>HSV-1</t>
        </is>
      </c>
      <c r="E62" s="11" t="inlineStr">
        <is>
          <t>HSV-1-028d</t>
        </is>
      </c>
      <c r="F62" s="12" t="inlineStr">
        <is>
          <t>Rozprostření štěrku po vrstvách max 300 mm + hutnění vibračním válcem / pěchem (ČSN 72 1006)</t>
        </is>
      </c>
      <c r="G62" s="10" t="inlineStr">
        <is>
          <t>m³</t>
        </is>
      </c>
      <c r="H62" s="10" t="n">
        <v>265.61</v>
      </c>
      <c r="I62" s="12">
        <f> 265.61 m³ rozprostřeno v ≥ 2 vrstvách po max 0.3 m (ČSN 72 1006 §6.3 míra zhutnění)  [igp_section:4.4, igp_document:inputs/dokumentace/IGP_ALTAGEO_526026.md, Step3]  · was 265.61: Sub-item 4) rozprostření + hutnění —…</f>
        <v/>
      </c>
      <c r="J62" s="12" t="inlineStr"/>
    </row>
    <row r="63">
      <c r="A63" s="4" t="n">
        <v>41</v>
      </c>
      <c r="B63" s="5" t="inlineStr"/>
      <c r="C63" s="4" t="n">
        <v>3</v>
      </c>
      <c r="D63" s="5" t="inlineStr">
        <is>
          <t>HSV-1</t>
        </is>
      </c>
      <c r="E63" s="5" t="inlineStr">
        <is>
          <t>HSV-1-028e</t>
        </is>
      </c>
      <c r="F63" s="6" t="inlineStr">
        <is>
          <t>Statická zatěžovací zkouška Edef2 ≥ 45 MPa (Edef2/Edef1 &lt; 2.2), min 3 měřená místa</t>
        </is>
      </c>
      <c r="G63" s="4" t="inlineStr">
        <is>
          <t>ks</t>
        </is>
      </c>
      <c r="H63" s="4" t="n">
        <v>3</v>
      </c>
      <c r="I63" s="6" t="inlineStr">
        <is>
          <t>3 ks (ČSN 72 1006 minimum pro plochu &lt; 1000 m²; deska 531.22 m² → 3 měřená místa)  [igp_section:4.4, igp_document:inputs/dokumentace/IGP_ALTAGEO_526026.md, Step3]  · was 3.0: Sub-item 5) Edef2 kontrolní zkouška — first…</t>
        </is>
      </c>
      <c r="J63" s="6" t="inlineStr"/>
    </row>
    <row r="64">
      <c r="A64" s="10" t="n">
        <v>42</v>
      </c>
      <c r="B64" s="11" t="inlineStr"/>
      <c r="C64" s="10" t="n">
        <v>3</v>
      </c>
      <c r="D64" s="11" t="inlineStr">
        <is>
          <t>HSV-1</t>
        </is>
      </c>
      <c r="E64" s="11" t="inlineStr">
        <is>
          <t>HSV-1-028f</t>
        </is>
      </c>
      <c r="F64" s="12" t="inlineStr">
        <is>
          <t>Geodetická kontrola roviny aktivní zóny po hutnění</t>
        </is>
      </c>
      <c r="G64" s="10" t="inlineStr">
        <is>
          <t>m²</t>
        </is>
      </c>
      <c r="H64" s="10" t="n">
        <v>531.22</v>
      </c>
      <c r="I64" s="12">
        <f> A105 deska 19.04 × 27.90 = 531.22 m² (celá plocha aktivní zóny)  [igp_section:4.4, igp_document:inputs/dokumentace/IGP_ALTAGEO_526026.md, Step3]  · was 531.22: Sub-item 6) geodetická kontrola roviny — first appearance</f>
        <v/>
      </c>
      <c r="J64" s="12" t="inlineStr"/>
    </row>
    <row r="65">
      <c r="A65" s="3" t="inlineStr">
        <is>
          <t>→ Štěrkové lože + zhutnění podloží</t>
        </is>
      </c>
    </row>
    <row r="66">
      <c r="A66" s="7" t="n">
        <v>43</v>
      </c>
      <c r="B66" s="8" t="inlineStr"/>
      <c r="C66" s="7" t="n">
        <v>3</v>
      </c>
      <c r="D66" s="8" t="inlineStr">
        <is>
          <t>HSV-1</t>
        </is>
      </c>
      <c r="E66" s="8" t="inlineStr">
        <is>
          <t>HSV-1-013</t>
        </is>
      </c>
      <c r="F66" s="9" t="inlineStr">
        <is>
          <t>Štěrkové lože pod základovou deskou, tl. 250 mm, frakce 0/63</t>
        </is>
      </c>
      <c r="G66" s="7" t="inlineStr">
        <is>
          <t>m³</t>
        </is>
      </c>
      <c r="H66" s="7" t="n">
        <v>123.75</v>
      </c>
      <c r="I66" s="9" t="inlineStr">
        <is>
          <t>495 m² × 0.25 m  [TZ:B]</t>
        </is>
      </c>
      <c r="J66" s="9" t="inlineStr">
        <is>
          <t>ABMV:ABMV_17</t>
        </is>
      </c>
    </row>
    <row r="67">
      <c r="A67" s="7" t="n">
        <v>44</v>
      </c>
      <c r="B67" s="8" t="inlineStr"/>
      <c r="C67" s="7" t="n">
        <v>3</v>
      </c>
      <c r="D67" s="8" t="inlineStr">
        <is>
          <t>HSV-1</t>
        </is>
      </c>
      <c r="E67" s="8" t="inlineStr">
        <is>
          <t>HSV-1-014</t>
        </is>
      </c>
      <c r="F67" s="9" t="inlineStr">
        <is>
          <t>Zhutnění podloží Edef,2 ≥ 45 MPa, Edef2/Ede &lt; 1.75</t>
        </is>
      </c>
      <c r="G67" s="7" t="inlineStr">
        <is>
          <t>m²</t>
        </is>
      </c>
      <c r="H67" s="7" t="n">
        <v>495</v>
      </c>
      <c r="I67" s="9">
        <f> plocha desky  [TZ:B]</f>
        <v/>
      </c>
      <c r="J67" s="9" t="inlineStr">
        <is>
          <t>ABMV:ABMV_17</t>
        </is>
      </c>
    </row>
    <row r="68">
      <c r="A68" s="3" t="inlineStr">
        <is>
          <t>→ Hydroizolace plošná pod desku</t>
        </is>
      </c>
    </row>
    <row r="69">
      <c r="A69" s="4" t="n">
        <v>45</v>
      </c>
      <c r="B69" s="5" t="inlineStr"/>
      <c r="C69" s="4" t="n">
        <v>3</v>
      </c>
      <c r="D69" s="5" t="inlineStr">
        <is>
          <t>HSV-2</t>
        </is>
      </c>
      <c r="E69" s="5" t="inlineStr">
        <is>
          <t>HSV-2-018</t>
        </is>
      </c>
      <c r="F69" s="6" t="inlineStr">
        <is>
          <t>Hydroizolace plošná pod podlahovou desku — 1× SBS modifikovaný asfaltový pás</t>
        </is>
      </c>
      <c r="G69" s="4" t="inlineStr">
        <is>
          <t>m²</t>
        </is>
      </c>
      <c r="H69" s="4" t="n">
        <v>495</v>
      </c>
      <c r="I69" s="6">
        <f> plocha desky  [TZ:B]</f>
        <v/>
      </c>
      <c r="J69" s="6" t="inlineStr"/>
    </row>
    <row r="70">
      <c r="A70" s="3" t="inlineStr">
        <is>
          <t>→ Výztuž patek a pasů</t>
        </is>
      </c>
    </row>
    <row r="71">
      <c r="A71" s="7" t="n">
        <v>46</v>
      </c>
      <c r="B71" s="8" t="inlineStr"/>
      <c r="C71" s="7" t="n">
        <v>3</v>
      </c>
      <c r="D71" s="8" t="inlineStr">
        <is>
          <t>HSV-2</t>
        </is>
      </c>
      <c r="E71" s="8" t="inlineStr">
        <is>
          <t>HSV-2-009</t>
        </is>
      </c>
      <c r="F71" s="9" t="inlineStr">
        <is>
          <t>Výztuž patek a pasů ze svařovaných sítí + vázaná B500B</t>
        </is>
      </c>
      <c r="G71" s="7" t="inlineStr">
        <is>
          <t>kg</t>
        </is>
      </c>
      <c r="H71" s="7" t="n">
        <v>600</v>
      </c>
      <c r="I71" s="9" t="inlineStr">
        <is>
          <t>placeholder 600 kg per RE-RUN §3.4 statika dimensioning</t>
        </is>
      </c>
      <c r="J71" s="9" t="inlineStr"/>
    </row>
    <row r="72">
      <c r="A72" s="3" t="inlineStr">
        <is>
          <t>→ Patky rámové — bednění + beton + odbednění</t>
        </is>
      </c>
    </row>
    <row r="73">
      <c r="A73" s="7" t="n">
        <v>47</v>
      </c>
      <c r="B73" s="8" t="inlineStr"/>
      <c r="C73" s="7" t="n">
        <v>3</v>
      </c>
      <c r="D73" s="8" t="inlineStr">
        <is>
          <t>HSV-2</t>
        </is>
      </c>
      <c r="E73" s="8" t="inlineStr">
        <is>
          <t>HSV-2-002</t>
        </is>
      </c>
      <c r="F73" s="9" t="inlineStr">
        <is>
          <t>Bednění patek rámových dvoustupňových — zřízení</t>
        </is>
      </c>
      <c r="G73" s="7" t="inlineStr">
        <is>
          <t>m²</t>
        </is>
      </c>
      <c r="H73" s="7" t="n">
        <v>66</v>
      </c>
      <c r="I73" s="9" t="inlineStr">
        <is>
          <t>10 × (3.6 + 3.0) = 66.0 m²  [výkres:A105, TZ:D.1.2 (statika) — Návrh opláštění, měřeno:A105]</t>
        </is>
      </c>
      <c r="J73" s="9" t="inlineStr"/>
    </row>
    <row r="74">
      <c r="A74" s="10" t="n">
        <v>48</v>
      </c>
      <c r="B74" s="11" t="inlineStr"/>
      <c r="C74" s="10" t="n">
        <v>3</v>
      </c>
      <c r="D74" s="11" t="inlineStr">
        <is>
          <t>HSV-2</t>
        </is>
      </c>
      <c r="E74" s="11" t="inlineStr">
        <is>
          <t>HSV-2-001</t>
        </is>
      </c>
      <c r="F74" s="12" t="inlineStr">
        <is>
          <t>Beton patek rámových C16/20 XC0 prostý, dvoustupňové</t>
        </is>
      </c>
      <c r="G74" s="10" t="inlineStr">
        <is>
          <t>m³</t>
        </is>
      </c>
      <c r="H74" s="10" t="n">
        <v>22.875</v>
      </c>
      <c r="I74" s="12" t="inlineStr">
        <is>
          <t>10 × (1.5²×0.6 + 1.25²×0.6) = 10 × (1.35 + 0.9375) = 22.875 m³  [výkres:A105, TZ:D.1.1 p3, statika:D.1.2 p29-30]</t>
        </is>
      </c>
      <c r="J74" s="12" t="inlineStr"/>
    </row>
    <row r="75">
      <c r="A75" s="7" t="n">
        <v>49</v>
      </c>
      <c r="B75" s="8" t="inlineStr"/>
      <c r="C75" s="7" t="n">
        <v>3</v>
      </c>
      <c r="D75" s="8" t="inlineStr">
        <is>
          <t>HSV-2</t>
        </is>
      </c>
      <c r="E75" s="8" t="inlineStr">
        <is>
          <t>HSV-2-003</t>
        </is>
      </c>
      <c r="F75" s="9" t="inlineStr">
        <is>
          <t>Bednění patek rámových dvoustupňových — odstranění</t>
        </is>
      </c>
      <c r="G75" s="7" t="inlineStr">
        <is>
          <t>m²</t>
        </is>
      </c>
      <c r="H75" s="7" t="n">
        <v>66</v>
      </c>
      <c r="I75" s="9">
        <f> HSV-2-002 = 66.0 m²  [TZ:D.1.2 (statika) — Návrh opláštění, měřeno:A105]</f>
        <v/>
      </c>
      <c r="J75" s="9" t="inlineStr"/>
    </row>
    <row r="76">
      <c r="A76" s="3" t="inlineStr">
        <is>
          <t>→ Patky štítové — bednění + beton + odbednění</t>
        </is>
      </c>
    </row>
    <row r="77">
      <c r="A77" s="7" t="n">
        <v>50</v>
      </c>
      <c r="B77" s="8" t="inlineStr"/>
      <c r="C77" s="7" t="n">
        <v>3</v>
      </c>
      <c r="D77" s="8" t="inlineStr">
        <is>
          <t>HSV-2</t>
        </is>
      </c>
      <c r="E77" s="8" t="inlineStr">
        <is>
          <t>HSV-2-005</t>
        </is>
      </c>
      <c r="F77" s="9" t="inlineStr">
        <is>
          <t>Bednění patek štítových — zřízení</t>
        </is>
      </c>
      <c r="G77" s="7" t="inlineStr">
        <is>
          <t>m²</t>
        </is>
      </c>
      <c r="H77" s="7" t="n">
        <v>30.72</v>
      </c>
      <c r="I77" s="9" t="inlineStr">
        <is>
          <t>8 × 4 × 0.8 × 1.2 = 30.72 m²  [výkres:A105, tz_typo_resolution]</t>
        </is>
      </c>
      <c r="J77" s="9" t="inlineStr"/>
    </row>
    <row r="78">
      <c r="A78" s="7" t="n">
        <v>51</v>
      </c>
      <c r="B78" s="8" t="inlineStr"/>
      <c r="C78" s="7" t="n">
        <v>3</v>
      </c>
      <c r="D78" s="8" t="inlineStr">
        <is>
          <t>HSV-2</t>
        </is>
      </c>
      <c r="E78" s="8" t="inlineStr">
        <is>
          <t>HSV-2-004</t>
        </is>
      </c>
      <c r="F78" s="9" t="inlineStr">
        <is>
          <t>Beton patek štítových C16/20 XC0 prostý, dvoustupňové</t>
        </is>
      </c>
      <c r="G78" s="7" t="inlineStr">
        <is>
          <t>m³</t>
        </is>
      </c>
      <c r="H78" s="7" t="n">
        <v>6.144</v>
      </c>
      <c r="I78" s="9" t="inlineStr">
        <is>
          <t>8 ks × 0.8 × 0.8 × 1.2 m = 6.144 m³  [výkres:A105, tz_typo_resolution]</t>
        </is>
      </c>
      <c r="J78" s="9" t="inlineStr"/>
    </row>
    <row r="79">
      <c r="A79" s="7" t="n">
        <v>52</v>
      </c>
      <c r="B79" s="8" t="inlineStr"/>
      <c r="C79" s="7" t="n">
        <v>3</v>
      </c>
      <c r="D79" s="8" t="inlineStr">
        <is>
          <t>HSV-2</t>
        </is>
      </c>
      <c r="E79" s="8" t="inlineStr">
        <is>
          <t>HSV-2-006</t>
        </is>
      </c>
      <c r="F79" s="9" t="inlineStr">
        <is>
          <t>Bednění patek štítových — odstranění</t>
        </is>
      </c>
      <c r="G79" s="7" t="inlineStr">
        <is>
          <t>m²</t>
        </is>
      </c>
      <c r="H79" s="7" t="n">
        <v>30.72</v>
      </c>
      <c r="I79" s="9">
        <f> HSV-2-005 = 30.72 m²  [tz_typo_resolution]</f>
        <v/>
      </c>
      <c r="J79" s="9" t="inlineStr"/>
    </row>
    <row r="80">
      <c r="A80" s="3" t="inlineStr">
        <is>
          <t>→ Pasy ŽB — bednění + beton</t>
        </is>
      </c>
    </row>
    <row r="81">
      <c r="A81" s="7" t="n">
        <v>53</v>
      </c>
      <c r="B81" s="8" t="inlineStr"/>
      <c r="C81" s="7" t="n">
        <v>3</v>
      </c>
      <c r="D81" s="8" t="inlineStr">
        <is>
          <t>HSV-2</t>
        </is>
      </c>
      <c r="E81" s="8" t="inlineStr">
        <is>
          <t>HSV-2-008</t>
        </is>
      </c>
      <c r="F81" s="9" t="inlineStr">
        <is>
          <t>Bednění pasů — zřízení</t>
        </is>
      </c>
      <c r="G81" s="7" t="inlineStr">
        <is>
          <t>m²</t>
        </is>
      </c>
      <c r="H81" s="7" t="n">
        <v>36</v>
      </c>
      <c r="I81" s="9" t="inlineStr">
        <is>
          <t>~30 bm × 2 × 0.6 m boční plocha = 36 m²  [výkres:A105]</t>
        </is>
      </c>
      <c r="J81" s="9" t="inlineStr"/>
    </row>
    <row r="82">
      <c r="A82" s="7" t="n">
        <v>54</v>
      </c>
      <c r="B82" s="8" t="inlineStr"/>
      <c r="C82" s="7" t="n">
        <v>3</v>
      </c>
      <c r="D82" s="8" t="inlineStr">
        <is>
          <t>HSV-2</t>
        </is>
      </c>
      <c r="E82" s="8" t="inlineStr">
        <is>
          <t>HSV-2-007</t>
        </is>
      </c>
      <c r="F82" s="9" t="inlineStr">
        <is>
          <t>Beton krátkých pasů v rozích a propojení mezi patkami C16/20 XC0</t>
        </is>
      </c>
      <c r="G82" s="7" t="inlineStr">
        <is>
          <t>m³</t>
        </is>
      </c>
      <c r="H82" s="7" t="n">
        <v>7.2</v>
      </c>
      <c r="I82" s="9" t="inlineStr">
        <is>
          <t>~30 bm × 0.4 × 0.6 m = 7.2 m³  [výkres:A105]</t>
        </is>
      </c>
      <c r="J82" s="9" t="inlineStr"/>
    </row>
    <row r="83">
      <c r="A83" s="3" t="inlineStr">
        <is>
          <t>→ Zásyp výkopů kolem patek</t>
        </is>
      </c>
    </row>
    <row r="84">
      <c r="A84" s="4" t="n">
        <v>55</v>
      </c>
      <c r="B84" s="5" t="inlineStr"/>
      <c r="C84" s="4" t="n">
        <v>3</v>
      </c>
      <c r="D84" s="5" t="inlineStr">
        <is>
          <t>HSV-1</t>
        </is>
      </c>
      <c r="E84" s="5" t="inlineStr">
        <is>
          <t>HSV-1-015</t>
        </is>
      </c>
      <c r="F84" s="6" t="inlineStr">
        <is>
          <t>Zásyp výkopů kolem patek + okolo obetonovaných sítí, zhutněný</t>
        </is>
      </c>
      <c r="G84" s="4" t="inlineStr">
        <is>
          <t>m³</t>
        </is>
      </c>
      <c r="H84" s="4" t="n">
        <v>30</v>
      </c>
      <c r="I84" s="6" t="inlineStr">
        <is>
          <t>placeholder ~30 m³ (zásypy okolo patek + nad obetonovanými sítěmi)  [phase:Phase 0b RE-RUN §3.10]</t>
        </is>
      </c>
      <c r="J84" s="6" t="inlineStr">
        <is>
          <t>ABMV:ABMV_17</t>
        </is>
      </c>
    </row>
    <row r="85">
      <c r="A85" s="3" t="inlineStr">
        <is>
          <t>→ VARIANTA — pilota Ø800 / L=8 m (alternativa)</t>
        </is>
      </c>
    </row>
    <row r="86">
      <c r="A86" s="7" t="n">
        <v>56</v>
      </c>
      <c r="B86" s="8" t="inlineStr"/>
      <c r="C86" s="7" t="n">
        <v>3</v>
      </c>
      <c r="D86" s="8" t="inlineStr">
        <is>
          <t>HSV-2</t>
        </is>
      </c>
      <c r="E86" s="8" t="inlineStr">
        <is>
          <t>HSV-2-010</t>
        </is>
      </c>
      <c r="F86" s="9" t="inlineStr">
        <is>
          <t>VARIANTA — pilota Ø800 / L=8 m C25/30 XC4 vrtná</t>
        </is>
      </c>
      <c r="G86" s="7" t="inlineStr">
        <is>
          <t>ks</t>
        </is>
      </c>
      <c r="H86" s="7" t="n">
        <v>1</v>
      </c>
      <c r="I86" s="9" t="inlineStr">
        <is>
          <t>1 ks pilota Ø800 × 8 m délka  [výkres:A105, igp_section:4.3]</t>
        </is>
      </c>
      <c r="J86" s="9" t="inlineStr"/>
    </row>
    <row r="87">
      <c r="A87" s="7" t="n">
        <v>57</v>
      </c>
      <c r="B87" s="8" t="inlineStr"/>
      <c r="C87" s="7" t="n">
        <v>3</v>
      </c>
      <c r="D87" s="8" t="inlineStr">
        <is>
          <t>HSV-2</t>
        </is>
      </c>
      <c r="E87" s="8" t="inlineStr">
        <is>
          <t>HSV-2-011</t>
        </is>
      </c>
      <c r="F87" s="9" t="inlineStr">
        <is>
          <t>VARIANTA — vrtání piloty Ø800 do hor. tř. 3-4</t>
        </is>
      </c>
      <c r="G87" s="7" t="inlineStr">
        <is>
          <t>bm</t>
        </is>
      </c>
      <c r="H87" s="7" t="n">
        <v>8</v>
      </c>
      <c r="I87" s="9" t="inlineStr">
        <is>
          <t>1 ks × 8 m délka  [výkres:A105, igp_section:4.3]</t>
        </is>
      </c>
      <c r="J87" s="9" t="inlineStr"/>
    </row>
    <row r="88">
      <c r="A88" s="7" t="n">
        <v>58</v>
      </c>
      <c r="B88" s="8" t="inlineStr"/>
      <c r="C88" s="7" t="n">
        <v>3</v>
      </c>
      <c r="D88" s="8" t="inlineStr">
        <is>
          <t>HSV-2</t>
        </is>
      </c>
      <c r="E88" s="8" t="inlineStr">
        <is>
          <t>HSV-2-012</t>
        </is>
      </c>
      <c r="F88" s="9" t="inlineStr">
        <is>
          <t>VARIANTA — výztuž piloty 8× R25 podélná + třmínky Ø10 á 200 B500B</t>
        </is>
      </c>
      <c r="G88" s="7" t="inlineStr">
        <is>
          <t>kg</t>
        </is>
      </c>
      <c r="H88" s="7" t="n">
        <v>380</v>
      </c>
      <c r="I88" s="9" t="inlineStr">
        <is>
          <t>8 ks × 3.86 kg/m × 8 m + třmínky placeholder  [výkres:A105, igp_section:4.3]</t>
        </is>
      </c>
      <c r="J88" s="9" t="inlineStr"/>
    </row>
    <row r="89">
      <c r="A89" s="3" t="inlineStr">
        <is>
          <t>→ Podlahová deska — bednění + výztuž + distance + beton</t>
        </is>
      </c>
    </row>
    <row r="90">
      <c r="A90" s="7" t="n">
        <v>59</v>
      </c>
      <c r="B90" s="8" t="inlineStr"/>
      <c r="C90" s="7" t="n">
        <v>3</v>
      </c>
      <c r="D90" s="8" t="inlineStr">
        <is>
          <t>HSV-2</t>
        </is>
      </c>
      <c r="E90" s="8" t="inlineStr">
        <is>
          <t>HSV-2-014</t>
        </is>
      </c>
      <c r="F90" s="9" t="inlineStr">
        <is>
          <t>Bednění obvodové desky — zřízení</t>
        </is>
      </c>
      <c r="G90" s="7" t="inlineStr">
        <is>
          <t>bm</t>
        </is>
      </c>
      <c r="H90" s="7" t="n">
        <v>95</v>
      </c>
      <c r="I90" s="9" t="inlineStr">
        <is>
          <t>obvod desky ~95 bm  [výkres:A101]</t>
        </is>
      </c>
      <c r="J90" s="9" t="inlineStr"/>
    </row>
    <row r="91">
      <c r="A91" s="7" t="n">
        <v>60</v>
      </c>
      <c r="B91" s="8" t="inlineStr"/>
      <c r="C91" s="7" t="n">
        <v>3</v>
      </c>
      <c r="D91" s="8" t="inlineStr">
        <is>
          <t>HSV-2</t>
        </is>
      </c>
      <c r="E91" s="8" t="inlineStr">
        <is>
          <t>HSV-2-016</t>
        </is>
      </c>
      <c r="F91" s="9" t="inlineStr">
        <is>
          <t>Výztuž desky KARI síť Ø8 oka 100×100 mm B500B — dolní vrstva</t>
        </is>
      </c>
      <c r="G91" s="7" t="inlineStr">
        <is>
          <t>kg</t>
        </is>
      </c>
      <c r="H91" s="7" t="n">
        <v>2098.3</v>
      </c>
      <c r="I91" s="9">
        <f> HSV-2-015 = 2098.3 kg  [měřeno:A105]</f>
        <v/>
      </c>
      <c r="J91" s="9" t="inlineStr"/>
    </row>
    <row r="92">
      <c r="A92" s="4" t="n">
        <v>61</v>
      </c>
      <c r="B92" s="5" t="inlineStr"/>
      <c r="C92" s="4" t="n">
        <v>3</v>
      </c>
      <c r="D92" s="5" t="inlineStr">
        <is>
          <t>HSV-2</t>
        </is>
      </c>
      <c r="E92" s="5" t="inlineStr">
        <is>
          <t>HSV-2-017</t>
        </is>
      </c>
      <c r="F92" s="6" t="inlineStr">
        <is>
          <t>Distanční podložky výztuže desky — plast / beton, krytí 30 mm</t>
        </is>
      </c>
      <c r="G92" s="4" t="inlineStr">
        <is>
          <t>ks</t>
        </is>
      </c>
      <c r="H92" s="4" t="n">
        <v>2475</v>
      </c>
      <c r="I92" s="6" t="inlineStr">
        <is>
          <t>495 m² × 5 ks/m² (typická hustota)</t>
        </is>
      </c>
      <c r="J92" s="6" t="inlineStr"/>
    </row>
    <row r="93">
      <c r="A93" s="7" t="n">
        <v>62</v>
      </c>
      <c r="B93" s="8" t="inlineStr"/>
      <c r="C93" s="7" t="n">
        <v>3</v>
      </c>
      <c r="D93" s="8" t="inlineStr">
        <is>
          <t>HSV-2</t>
        </is>
      </c>
      <c r="E93" s="8" t="inlineStr">
        <is>
          <t>HSV-2-015</t>
        </is>
      </c>
      <c r="F93" s="9" t="inlineStr">
        <is>
          <t>Výztuž desky KARI síť Ø8 oka 100×100 mm B500B — horní vrstva</t>
        </is>
      </c>
      <c r="G93" s="7" t="inlineStr">
        <is>
          <t>kg</t>
        </is>
      </c>
      <c r="H93" s="7" t="n">
        <v>2098.3</v>
      </c>
      <c r="I93" s="9" t="inlineStr">
        <is>
          <t>531.22 × 3.95 = 2098.3 kg  [měřeno:A105]</t>
        </is>
      </c>
      <c r="J93" s="9" t="inlineStr"/>
    </row>
    <row r="94">
      <c r="A94" s="13" t="n">
        <v>63</v>
      </c>
      <c r="B94" s="14" t="inlineStr"/>
      <c r="C94" s="13" t="n">
        <v>3</v>
      </c>
      <c r="D94" s="14" t="inlineStr">
        <is>
          <t>HSV-2</t>
        </is>
      </c>
      <c r="E94" s="14" t="inlineStr">
        <is>
          <t>HSV-2-013</t>
        </is>
      </c>
      <c r="F94" s="15" t="inlineStr">
        <is>
          <t>Beton podlahové desky C25/30 XC4, tl. 200 mm — strojně rovnaný povrch</t>
        </is>
      </c>
      <c r="G94" s="13" t="inlineStr">
        <is>
          <t>m³</t>
        </is>
      </c>
      <c r="H94" s="13" t="n">
        <v>106.24</v>
      </c>
      <c r="I94" s="15" t="inlineStr">
        <is>
          <t>531.22 × 0.20 = 106.24 m³  [TZ:B, měřeno:A105, ABMV]</t>
        </is>
      </c>
      <c r="J94" s="15" t="inlineStr">
        <is>
          <t>rev:beton-class</t>
        </is>
      </c>
    </row>
    <row r="95" ht="22" customHeight="1">
      <c r="A95" s="2" t="inlineStr">
        <is>
          <t>═══ FÁZE 4: NOSNÁ OCELOVÁ KONSTRUKCE ═══</t>
        </is>
      </c>
    </row>
    <row r="96">
      <c r="A96" s="3" t="inlineStr">
        <is>
          <t>→ Doprava OK na stavbu</t>
        </is>
      </c>
    </row>
    <row r="97">
      <c r="A97" s="4" t="n">
        <v>64</v>
      </c>
      <c r="B97" s="5" t="inlineStr"/>
      <c r="C97" s="4" t="n">
        <v>4</v>
      </c>
      <c r="D97" s="5" t="inlineStr">
        <is>
          <t>HSV-3</t>
        </is>
      </c>
      <c r="E97" s="5" t="inlineStr">
        <is>
          <t>HSV-3-011</t>
        </is>
      </c>
      <c r="F97" s="6" t="inlineStr">
        <is>
          <t>Doprava ocelové konstrukce na stavbu (default 50 km)</t>
        </is>
      </c>
      <c r="G97" s="4" t="inlineStr">
        <is>
          <t>t·km</t>
        </is>
      </c>
      <c r="H97" s="4" t="n">
        <v>1400</v>
      </c>
      <c r="I97" s="6" t="inlineStr">
        <is>
          <t>28 t × 50 km</t>
        </is>
      </c>
      <c r="J97" s="6" t="inlineStr"/>
    </row>
    <row r="98">
      <c r="A98" s="3" t="inlineStr">
        <is>
          <t>→ Kotvení sloupů ke patkám</t>
        </is>
      </c>
    </row>
    <row r="99">
      <c r="A99" s="7" t="n">
        <v>65</v>
      </c>
      <c r="B99" s="8" t="inlineStr"/>
      <c r="C99" s="7" t="n">
        <v>4</v>
      </c>
      <c r="D99" s="8" t="inlineStr">
        <is>
          <t>HSV-3</t>
        </is>
      </c>
      <c r="E99" s="8" t="inlineStr">
        <is>
          <t>HSV-3-009</t>
        </is>
      </c>
      <c r="F99" s="9" t="inlineStr">
        <is>
          <t>Kotvení sloupů ke patkám — chemická kotva M20 nebo zalité šrouby, výztužná deska</t>
        </is>
      </c>
      <c r="G99" s="7" t="inlineStr">
        <is>
          <t>ks</t>
        </is>
      </c>
      <c r="H99" s="7" t="n">
        <v>176</v>
      </c>
      <c r="I99" s="9" t="inlineStr">
        <is>
          <t>(36 + 8) sloupů × 4 kotvy/sloup = 176 ks  [výkres:A105]</t>
        </is>
      </c>
      <c r="J99" s="9" t="inlineStr"/>
    </row>
    <row r="100">
      <c r="A100" s="3" t="inlineStr">
        <is>
          <t>→ Pomocné lešení OK</t>
        </is>
      </c>
    </row>
    <row r="101">
      <c r="A101" s="4" t="n">
        <v>66</v>
      </c>
      <c r="B101" s="5" t="inlineStr"/>
      <c r="C101" s="4" t="n">
        <v>4</v>
      </c>
      <c r="D101" s="5" t="inlineStr">
        <is>
          <t>HSV-9</t>
        </is>
      </c>
      <c r="E101" s="5" t="inlineStr">
        <is>
          <t>HSV-9-002</t>
        </is>
      </c>
      <c r="F101" s="6" t="inlineStr">
        <is>
          <t>Pomocné lešení pro montáž ocelové konstrukce, výška do 6 m</t>
        </is>
      </c>
      <c r="G101" s="4" t="inlineStr">
        <is>
          <t>m³</t>
        </is>
      </c>
      <c r="H101" s="4" t="n">
        <v>200</v>
      </c>
      <c r="I101" s="6" t="inlineStr">
        <is>
          <t>placeholder ~200 m³ prostorové lešení pro halu 28×19×6 m</t>
        </is>
      </c>
      <c r="J101" s="6" t="inlineStr"/>
    </row>
    <row r="102">
      <c r="A102" s="3" t="inlineStr">
        <is>
          <t>→ Dodávka prvků OK (sloupy, příčle, vaznice, ztužidla)</t>
        </is>
      </c>
    </row>
    <row r="103">
      <c r="A103" s="4" t="n">
        <v>67</v>
      </c>
      <c r="B103" s="5" t="inlineStr"/>
      <c r="C103" s="4" t="n">
        <v>4</v>
      </c>
      <c r="D103" s="5" t="inlineStr">
        <is>
          <t>HSV-3</t>
        </is>
      </c>
      <c r="E103" s="5" t="inlineStr">
        <is>
          <t>HSV-3-001</t>
        </is>
      </c>
      <c r="F103" s="6" t="inlineStr">
        <is>
          <t>Specifikace + dodávka sloupy IPE 400 S235 jakost J0, EXC2 dle ČSN EN 1090-2</t>
        </is>
      </c>
      <c r="G103" s="4" t="inlineStr">
        <is>
          <t>kg</t>
        </is>
      </c>
      <c r="H103" s="4" t="n">
        <v>10263.24</v>
      </c>
      <c r="I103" s="6" t="inlineStr">
        <is>
          <t>36 ks × 4.3 m × 66.3 kg/m = 10 263 kg  [výkres:A101]</t>
        </is>
      </c>
      <c r="J103" s="6" t="inlineStr"/>
    </row>
    <row r="104">
      <c r="A104" s="7" t="n">
        <v>68</v>
      </c>
      <c r="B104" s="8" t="inlineStr"/>
      <c r="C104" s="7" t="n">
        <v>4</v>
      </c>
      <c r="D104" s="8" t="inlineStr">
        <is>
          <t>HSV-3</t>
        </is>
      </c>
      <c r="E104" s="8" t="inlineStr">
        <is>
          <t>HSV-3-002</t>
        </is>
      </c>
      <c r="F104" s="9" t="inlineStr">
        <is>
          <t>Specifikace + dodávka sloupy HEA 200 S235 jakost J0, štítové, EXC2</t>
        </is>
      </c>
      <c r="G104" s="7" t="inlineStr">
        <is>
          <t>kg</t>
        </is>
      </c>
      <c r="H104" s="7" t="n">
        <v>1455.12</v>
      </c>
      <c r="I104" s="9" t="inlineStr">
        <is>
          <t>8 ks × 4.3 m × 42.3 kg/m = 1 455 kg  [výkres:A101]</t>
        </is>
      </c>
      <c r="J104" s="9" t="inlineStr"/>
    </row>
    <row r="105">
      <c r="A105" s="7" t="n">
        <v>69</v>
      </c>
      <c r="B105" s="8" t="inlineStr"/>
      <c r="C105" s="7" t="n">
        <v>4</v>
      </c>
      <c r="D105" s="8" t="inlineStr">
        <is>
          <t>HSV-3</t>
        </is>
      </c>
      <c r="E105" s="8" t="inlineStr">
        <is>
          <t>HSV-3-003</t>
        </is>
      </c>
      <c r="F105" s="9" t="inlineStr">
        <is>
          <t>Specifikace + dodávka příčlí IPE 450 S235 s náběhem (sklon 5.25°)</t>
        </is>
      </c>
      <c r="G105" s="7" t="inlineStr">
        <is>
          <t>kg</t>
        </is>
      </c>
      <c r="H105" s="7" t="n">
        <v>9474.959999999999</v>
      </c>
      <c r="I105" s="9" t="inlineStr">
        <is>
          <t>6 rámů × 18.5 m × 77.6 kg/m × 1.1 (náběh) = 9 478 kg</t>
        </is>
      </c>
      <c r="J105" s="9" t="inlineStr"/>
    </row>
    <row r="106">
      <c r="A106" s="7" t="n">
        <v>70</v>
      </c>
      <c r="B106" s="8" t="inlineStr"/>
      <c r="C106" s="7" t="n">
        <v>4</v>
      </c>
      <c r="D106" s="8" t="inlineStr">
        <is>
          <t>HSV-3</t>
        </is>
      </c>
      <c r="E106" s="8" t="inlineStr">
        <is>
          <t>HSV-3-004</t>
        </is>
      </c>
      <c r="F106" s="9" t="inlineStr">
        <is>
          <t>Specifikace + dodávka vaznice IPE 160 S235 jakost J0</t>
        </is>
      </c>
      <c r="G106" s="7" t="inlineStr">
        <is>
          <t>kg</t>
        </is>
      </c>
      <c r="H106" s="7" t="n">
        <v>5195.04</v>
      </c>
      <c r="I106" s="9" t="inlineStr">
        <is>
          <t>12 řad × 27.4 m × 15.8 kg/m = 5 195 kg  [TZ:D.1.2 (statika) — vaznice rozteč]</t>
        </is>
      </c>
      <c r="J106" s="9" t="inlineStr"/>
    </row>
    <row r="107">
      <c r="A107" s="7" t="n">
        <v>71</v>
      </c>
      <c r="B107" s="8" t="inlineStr"/>
      <c r="C107" s="7" t="n">
        <v>4</v>
      </c>
      <c r="D107" s="8" t="inlineStr">
        <is>
          <t>HSV-3</t>
        </is>
      </c>
      <c r="E107" s="8" t="inlineStr">
        <is>
          <t>HSV-3-005</t>
        </is>
      </c>
      <c r="F107" s="9" t="inlineStr">
        <is>
          <t>Specifikace + dodávka vaznice krajní UPE 160 S235 jakost J0</t>
        </is>
      </c>
      <c r="G107" s="7" t="inlineStr">
        <is>
          <t>kg</t>
        </is>
      </c>
      <c r="H107" s="7" t="n">
        <v>1030.24</v>
      </c>
      <c r="I107" s="9" t="inlineStr">
        <is>
          <t>2 ks × 27.4 m × 18.8 kg/m = 1 030 kg</t>
        </is>
      </c>
      <c r="J107" s="9" t="inlineStr">
        <is>
          <t>ABMV:ABMV_15</t>
        </is>
      </c>
    </row>
    <row r="108">
      <c r="A108" s="7" t="n">
        <v>72</v>
      </c>
      <c r="B108" s="8" t="inlineStr"/>
      <c r="C108" s="7" t="n">
        <v>4</v>
      </c>
      <c r="D108" s="8" t="inlineStr">
        <is>
          <t>HSV-3</t>
        </is>
      </c>
      <c r="E108" s="8" t="inlineStr">
        <is>
          <t>HSV-3-006</t>
        </is>
      </c>
      <c r="F108" s="9" t="inlineStr">
        <is>
          <t>Specifikace + dodávka ztužidla stěnová L 70/70/6 S235</t>
        </is>
      </c>
      <c r="G108" s="7" t="inlineStr">
        <is>
          <t>kg</t>
        </is>
      </c>
      <c r="H108" s="7" t="n">
        <v>327.68</v>
      </c>
      <c r="I108" s="9" t="inlineStr">
        <is>
          <t>8 ks × 6.4 m × 6.4 kg/m = 328 kg</t>
        </is>
      </c>
      <c r="J108" s="9" t="inlineStr"/>
    </row>
    <row r="109">
      <c r="A109" s="7" t="n">
        <v>73</v>
      </c>
      <c r="B109" s="8" t="inlineStr"/>
      <c r="C109" s="7" t="n">
        <v>4</v>
      </c>
      <c r="D109" s="8" t="inlineStr">
        <is>
          <t>HSV-3</t>
        </is>
      </c>
      <c r="E109" s="8" t="inlineStr">
        <is>
          <t>HSV-3-007</t>
        </is>
      </c>
      <c r="F109" s="9" t="inlineStr">
        <is>
          <t>Specifikace + dodávka ztužidla střešní z kruhových tyčí Ø20 S235</t>
        </is>
      </c>
      <c r="G109" s="7" t="inlineStr">
        <is>
          <t>kg</t>
        </is>
      </c>
      <c r="H109" s="7" t="n">
        <v>237.12</v>
      </c>
      <c r="I109" s="9" t="inlineStr">
        <is>
          <t>8 ks × 12 m × 2.47 kg/m = 237 kg  [výkres:A101]</t>
        </is>
      </c>
      <c r="J109" s="9" t="inlineStr"/>
    </row>
    <row r="110">
      <c r="A110" s="3" t="inlineStr">
        <is>
          <t>→ Styčníkové plechy + spojovací materiál</t>
        </is>
      </c>
    </row>
    <row r="111">
      <c r="A111" s="7" t="n">
        <v>74</v>
      </c>
      <c r="B111" s="8" t="inlineStr"/>
      <c r="C111" s="7" t="n">
        <v>4</v>
      </c>
      <c r="D111" s="8" t="inlineStr">
        <is>
          <t>HSV-3</t>
        </is>
      </c>
      <c r="E111" s="8" t="inlineStr">
        <is>
          <t>HSV-3-008</t>
        </is>
      </c>
      <c r="F111" s="9" t="inlineStr">
        <is>
          <t>Styčníkové plechy + spojovací materiál šroubový grade 8.8 — celk. paušál 6%</t>
        </is>
      </c>
      <c r="G111" s="7" t="inlineStr">
        <is>
          <t>kg</t>
        </is>
      </c>
      <c r="H111" s="7" t="n">
        <v>1450</v>
      </c>
      <c r="I111" s="9" t="inlineStr">
        <is>
          <t>~6% × součet OK 27 985 kg ≈ 1 450 kg  [csn]</t>
        </is>
      </c>
      <c r="J111" s="9" t="inlineStr"/>
    </row>
    <row r="112">
      <c r="A112" s="3" t="inlineStr">
        <is>
          <t>→ Montáž OK — kompletace rámové haly</t>
        </is>
      </c>
    </row>
    <row r="113">
      <c r="A113" s="7" t="n">
        <v>75</v>
      </c>
      <c r="B113" s="8" t="inlineStr"/>
      <c r="C113" s="7" t="n">
        <v>4</v>
      </c>
      <c r="D113" s="8" t="inlineStr">
        <is>
          <t>HSV-3</t>
        </is>
      </c>
      <c r="E113" s="8" t="inlineStr">
        <is>
          <t>HSV-3-010</t>
        </is>
      </c>
      <c r="F113" s="9" t="inlineStr">
        <is>
          <t>Montáž ocelové konstrukce — kompletní rámová hala, dle ČSN EN 1090-2 EXC2 tol. cl. 1</t>
        </is>
      </c>
      <c r="G113" s="7" t="inlineStr">
        <is>
          <t>t</t>
        </is>
      </c>
      <c r="H113" s="7" t="n">
        <v>28</v>
      </c>
      <c r="I113" s="9" t="inlineStr">
        <is>
          <t>součet OK profilů + kotev = ~28 t</t>
        </is>
      </c>
      <c r="J113" s="9" t="inlineStr"/>
    </row>
    <row r="114">
      <c r="A114" s="3" t="inlineStr">
        <is>
          <t>→ Demontáž pomocného lešení po montáži OK</t>
        </is>
      </c>
    </row>
    <row r="115">
      <c r="A115" s="7" t="n">
        <v>76</v>
      </c>
      <c r="B115" s="8" t="inlineStr"/>
      <c r="C115" s="7" t="n">
        <v>4</v>
      </c>
      <c r="D115" s="8" t="inlineStr">
        <is>
          <t>HSV-9</t>
        </is>
      </c>
      <c r="E115" s="8" t="inlineStr">
        <is>
          <t>HSV-9-003</t>
        </is>
      </c>
      <c r="F115" s="9" t="inlineStr">
        <is>
          <t>Demontáž pomocného lešení po dokončení montáže</t>
        </is>
      </c>
      <c r="G115" s="7" t="inlineStr">
        <is>
          <t>m³</t>
        </is>
      </c>
      <c r="H115" s="7" t="n">
        <v>200</v>
      </c>
      <c r="I115" s="9">
        <f> pomocné lešení</f>
        <v/>
      </c>
      <c r="J115" s="9" t="inlineStr"/>
    </row>
    <row r="116">
      <c r="A116" s="3" t="inlineStr">
        <is>
          <t>→ Povrchové úpravy OK (antikoroze + protipožární)</t>
        </is>
      </c>
    </row>
    <row r="117">
      <c r="A117" s="7" t="n">
        <v>77</v>
      </c>
      <c r="B117" s="8" t="inlineStr"/>
      <c r="C117" s="7" t="n">
        <v>4</v>
      </c>
      <c r="D117" s="8" t="inlineStr">
        <is>
          <t>HSV-3</t>
        </is>
      </c>
      <c r="E117" s="8" t="inlineStr">
        <is>
          <t>HSV-3-012</t>
        </is>
      </c>
      <c r="F117" s="9" t="inlineStr">
        <is>
          <t>Antikorozní nátěr 2-vrstvý dle ISO 12944, korozní katego­rie C2, P1, životnost 15 let</t>
        </is>
      </c>
      <c r="G117" s="7" t="inlineStr">
        <is>
          <t>m²</t>
        </is>
      </c>
      <c r="H117" s="7" t="n">
        <v>850</v>
      </c>
      <c r="I117" s="9" t="inlineStr">
        <is>
          <t>celk. povrch profilů ~30 m²/t × 28 t = 850 m²  [výkres:C2]</t>
        </is>
      </c>
      <c r="J117" s="9" t="inlineStr"/>
    </row>
    <row r="118">
      <c r="A118" s="7" t="n">
        <v>78</v>
      </c>
      <c r="B118" s="8" t="inlineStr"/>
      <c r="C118" s="7" t="n">
        <v>4</v>
      </c>
      <c r="D118" s="8" t="inlineStr">
        <is>
          <t>HSV-3</t>
        </is>
      </c>
      <c r="E118" s="8" t="inlineStr">
        <is>
          <t>HSV-3-013</t>
        </is>
      </c>
      <c r="F118" s="9" t="inlineStr">
        <is>
          <t>Protipožární nátěr — interiérové prvky R 15 DP1</t>
        </is>
      </c>
      <c r="G118" s="7" t="inlineStr">
        <is>
          <t>m²</t>
        </is>
      </c>
      <c r="H118" s="7" t="n">
        <v>850</v>
      </c>
      <c r="I118" s="9">
        <f> antikor plocha (interiérové prvky stejně)</f>
        <v/>
      </c>
      <c r="J118" s="9" t="inlineStr"/>
    </row>
    <row r="119">
      <c r="A119" s="3" t="inlineStr">
        <is>
          <t>→ Revize OK + protokol EXC2</t>
        </is>
      </c>
    </row>
    <row r="120">
      <c r="A120" s="7" t="n">
        <v>79</v>
      </c>
      <c r="B120" s="8" t="inlineStr"/>
      <c r="C120" s="7" t="n">
        <v>4</v>
      </c>
      <c r="D120" s="8" t="inlineStr">
        <is>
          <t>HSV-3</t>
        </is>
      </c>
      <c r="E120" s="8" t="inlineStr">
        <is>
          <t>HSV-3-014</t>
        </is>
      </c>
      <c r="F120" s="9" t="inlineStr">
        <is>
          <t>Revize ocelové konstrukce + protokol o předání, EXC2 ČSN EN 1090-2</t>
        </is>
      </c>
      <c r="G120" s="7" t="inlineStr">
        <is>
          <t>paušál</t>
        </is>
      </c>
      <c r="H120" s="7" t="n">
        <v>1</v>
      </c>
      <c r="I120" s="9" t="inlineStr">
        <is>
          <t>paušál  [csn]</t>
        </is>
      </c>
      <c r="J120" s="9" t="inlineStr"/>
    </row>
    <row r="121" ht="22" customHeight="1">
      <c r="A121" s="2" t="inlineStr">
        <is>
          <t>═══ FÁZE 5: OPLÁŠTĚNÍ KINGSPAN ═══</t>
        </is>
      </c>
    </row>
    <row r="122">
      <c r="A122" s="3" t="inlineStr">
        <is>
          <t>→ Pomocné lešení pro opláštění (pojízdné)</t>
        </is>
      </c>
    </row>
    <row r="123">
      <c r="A123" s="7" t="n">
        <v>80</v>
      </c>
      <c r="B123" s="8" t="inlineStr"/>
      <c r="C123" s="7" t="n">
        <v>5</v>
      </c>
      <c r="D123" s="8" t="inlineStr">
        <is>
          <t>HSV-9</t>
        </is>
      </c>
      <c r="E123" s="8" t="inlineStr">
        <is>
          <t>HSV-9-004</t>
        </is>
      </c>
      <c r="F123" s="9" t="inlineStr">
        <is>
          <t>Pomocné lešení pro montáž opláštění (Kingspan) a klempířiny — pojízdné</t>
        </is>
      </c>
      <c r="G123" s="7" t="inlineStr">
        <is>
          <t>m³</t>
        </is>
      </c>
      <c r="H123" s="7" t="n">
        <v>120</v>
      </c>
      <c r="I123" s="9" t="inlineStr">
        <is>
          <t>placeholder ~120 m³ pojízdné lešení pro obvodový plášť</t>
        </is>
      </c>
      <c r="J123" s="9" t="inlineStr"/>
    </row>
    <row r="124">
      <c r="A124" s="3" t="inlineStr">
        <is>
          <t>→ Doprava sendvičových panelů Kingspan</t>
        </is>
      </c>
    </row>
    <row r="125">
      <c r="A125" s="4" t="n">
        <v>81</v>
      </c>
      <c r="B125" s="5" t="inlineStr"/>
      <c r="C125" s="4" t="n">
        <v>5</v>
      </c>
      <c r="D125" s="5" t="inlineStr">
        <is>
          <t>PSV-OPL</t>
        </is>
      </c>
      <c r="E125" s="5" t="inlineStr">
        <is>
          <t>PSV-OPL-007</t>
        </is>
      </c>
      <c r="F125" s="6" t="inlineStr">
        <is>
          <t>Doprava sendvičových panelů Kingspan na stavbu — paušál</t>
        </is>
      </c>
      <c r="G125" s="4" t="inlineStr">
        <is>
          <t>paušál</t>
        </is>
      </c>
      <c r="H125" s="4" t="n">
        <v>1</v>
      </c>
      <c r="I125" s="6" t="inlineStr">
        <is>
          <t>paušál  [TZ:D.1.1]</t>
        </is>
      </c>
      <c r="J125" s="6" t="inlineStr"/>
    </row>
    <row r="126">
      <c r="A126" s="3" t="inlineStr">
        <is>
          <t>→ Stěnové panely KS 1000 NF 120 mm — dodávka + montáž</t>
        </is>
      </c>
    </row>
    <row r="127">
      <c r="A127" s="4" t="n">
        <v>82</v>
      </c>
      <c r="B127" s="5" t="inlineStr"/>
      <c r="C127" s="4" t="n">
        <v>5</v>
      </c>
      <c r="D127" s="5" t="inlineStr">
        <is>
          <t>PSV-OPL</t>
        </is>
      </c>
      <c r="E127" s="5" t="inlineStr">
        <is>
          <t>PSV-OPL-001</t>
        </is>
      </c>
      <c r="F127" s="6" t="inlineStr">
        <is>
          <t>Kingspan KS 1000 NF 120 mm, jádro minerální vata (MW), per Úprava dveří + TZ ARS DPZ D.1.1 — alternativně k orig. 200 mm</t>
        </is>
      </c>
      <c r="G127" s="4" t="inlineStr">
        <is>
          <t>m²</t>
        </is>
      </c>
      <c r="H127" s="4" t="n">
        <v>510.81</v>
      </c>
      <c r="I127" s="6" t="inlineStr">
        <is>
          <t>fasáda brutto Úprava dveří: 94.57 m obvod × 6.085 m okap + 17.58 m² štíty = 593.06 m² brutto − 82.25 m² FR zóny (rohy s dveřmi) = 510.81 m² (bez vyřezání otvorů — sendvič ordered celý)  [TZ:D.1.1, Step3, ABMV]</t>
        </is>
      </c>
      <c r="J127" s="6" t="inlineStr">
        <is>
          <t>ABMV:ABMV_13</t>
        </is>
      </c>
    </row>
    <row r="128">
      <c r="A128" s="10" t="n">
        <v>83</v>
      </c>
      <c r="B128" s="11" t="inlineStr"/>
      <c r="C128" s="10" t="n">
        <v>5</v>
      </c>
      <c r="D128" s="11" t="inlineStr">
        <is>
          <t>PSV-OPL</t>
        </is>
      </c>
      <c r="E128" s="11" t="inlineStr">
        <is>
          <t>PSV-OPL-002</t>
        </is>
      </c>
      <c r="F128" s="12" t="inlineStr">
        <is>
          <t>Montáž obvodového opláštění Kingspan KS 1000 NF 120 mm — kotvení samořeznými šrouby + EPDM těsnicí podložkou k ocelové konstrukci (rozteč rámů 6.1 m)</t>
        </is>
      </c>
      <c r="G128" s="10" t="inlineStr">
        <is>
          <t>m²</t>
        </is>
      </c>
      <c r="H128" s="10" t="n">
        <v>510.81</v>
      </c>
      <c r="I128" s="12">
        <f> dodávka PSV-OPL-001 = 510.81 m²  [TZ:D.1.1, ABMV, TZ:D.1.2 (statika) — Návrh opláštění]</f>
        <v/>
      </c>
      <c r="J128" s="12" t="inlineStr"/>
    </row>
    <row r="129">
      <c r="A129" s="3" t="inlineStr">
        <is>
          <t>→ Stěnové panely KS 1000 FR 150 mm (rohové zóny) — dodávka + montáž</t>
        </is>
      </c>
    </row>
    <row r="130">
      <c r="A130" s="4" t="n">
        <v>84</v>
      </c>
      <c r="B130" s="5" t="inlineStr"/>
      <c r="C130" s="4" t="n">
        <v>5</v>
      </c>
      <c r="D130" s="5" t="inlineStr">
        <is>
          <t>PSV-OPL</t>
        </is>
      </c>
      <c r="E130" s="5" t="inlineStr">
        <is>
          <t>PSV-OPL-009</t>
        </is>
      </c>
      <c r="F130" s="6" t="inlineStr">
        <is>
          <t>Kingspan KS 1000 FR 150 mm, jádro PIR (fire-resistant), 2 rohové zóny u vstupních dveří (45.69 + 36.56 m²) — Úprava dveří</t>
        </is>
      </c>
      <c r="G130" s="4" t="inlineStr">
        <is>
          <t>m²</t>
        </is>
      </c>
      <c r="H130" s="4" t="n">
        <v>82.25</v>
      </c>
      <c r="I130" s="6" t="inlineStr">
        <is>
          <t>45.69 m² + 36.56 m² = 82.25 m² (2 šrafované rohové zóny v POHLED F a POHLED 01 — user manual měření)  [výkres:Hala HK_Úprava dveří, TZ:B p.8]  · was 82.25: Úprava dveří revision — first appearance</t>
        </is>
      </c>
      <c r="J130" s="6" t="inlineStr"/>
    </row>
    <row r="131">
      <c r="A131" s="10" t="n">
        <v>85</v>
      </c>
      <c r="B131" s="11" t="inlineStr"/>
      <c r="C131" s="10" t="n">
        <v>5</v>
      </c>
      <c r="D131" s="11" t="inlineStr">
        <is>
          <t>PSV-OPL</t>
        </is>
      </c>
      <c r="E131" s="11" t="inlineStr">
        <is>
          <t>PSV-OPL-010</t>
        </is>
      </c>
      <c r="F131" s="12" t="inlineStr">
        <is>
          <t>Montáž Kingspan KS 1000 FR 150 mm — 2 rohové zóny (45.69 + 36.56 m²), kotvení samořeznými šrouby + EPDM podložka</t>
        </is>
      </c>
      <c r="G131" s="10" t="inlineStr">
        <is>
          <t>m²</t>
        </is>
      </c>
      <c r="H131" s="10" t="n">
        <v>82.25</v>
      </c>
      <c r="I131" s="12">
        <f> dodávka PSV-OPL-009 = 82.25 m²  [výkres:Hala HK_Úprava dveří]  · was 82.25: Úprava dveří revision — first appearance</f>
        <v/>
      </c>
      <c r="J131" s="12" t="inlineStr"/>
    </row>
    <row r="132">
      <c r="A132" s="3" t="inlineStr">
        <is>
          <t>→ Střešní panely KS 1000 RW 160 mm (hlavní střecha) — dodávka + montáž</t>
        </is>
      </c>
    </row>
    <row r="133">
      <c r="A133" s="4" t="n">
        <v>86</v>
      </c>
      <c r="B133" s="5" t="inlineStr"/>
      <c r="C133" s="4" t="n">
        <v>5</v>
      </c>
      <c r="D133" s="5" t="inlineStr">
        <is>
          <t>PSV-OPL</t>
        </is>
      </c>
      <c r="E133" s="5" t="inlineStr">
        <is>
          <t>PSV-OPL-003</t>
        </is>
      </c>
      <c r="F133" s="6" t="inlineStr">
        <is>
          <t>Kingspan KS 1000 RW 160 mm, jádro PIR, pro šikmé střechy sklon 5.25°, hlavní střecha (mimo zónu FF 175)</t>
        </is>
      </c>
      <c r="G133" s="4" t="inlineStr">
        <is>
          <t>m²</t>
        </is>
      </c>
      <c r="H133" s="4" t="n">
        <v>500.6</v>
      </c>
      <c r="I133" s="6" t="inlineStr">
        <is>
          <t>střecha total 558.8 m² − FF 175 zóna 58.20 m² (57.95 m² projection / cos 5.25°) = 500.6 m² — Úprava dveří section view  [TZ:D.1.1, DXF, Step3]</t>
        </is>
      </c>
      <c r="J133" s="6" t="inlineStr">
        <is>
          <t>ABMV:ABMV_13</t>
        </is>
      </c>
    </row>
    <row r="134">
      <c r="A134" s="10" t="n">
        <v>87</v>
      </c>
      <c r="B134" s="11" t="inlineStr"/>
      <c r="C134" s="10" t="n">
        <v>5</v>
      </c>
      <c r="D134" s="11" t="inlineStr">
        <is>
          <t>PSV-OPL</t>
        </is>
      </c>
      <c r="E134" s="11" t="inlineStr">
        <is>
          <t>PSV-OPL-004</t>
        </is>
      </c>
      <c r="F134" s="12" t="inlineStr">
        <is>
          <t>Montáž střešního opláštění Kingspan KS 1000 RW 160 mm — kotvení k ocelové konstrukci samořeznými šrouby + těsnění přesahů</t>
        </is>
      </c>
      <c r="G134" s="10" t="inlineStr">
        <is>
          <t>m²</t>
        </is>
      </c>
      <c r="H134" s="10" t="n">
        <v>500.6</v>
      </c>
      <c r="I134" s="12">
        <f> dodávka PSV-OPL-003 = 500.6 m²  [TZ:D.1.1, TZ:D.1.2 (statika) — Návrh opláštění, výkres:Hala HK_Úprava dveří]</f>
        <v/>
      </c>
      <c r="J134" s="12" t="inlineStr"/>
    </row>
    <row r="135">
      <c r="A135" s="3" t="inlineStr">
        <is>
          <t>→ Střešní panely KS 1000 FF 175 mm (zóna) — dodávka + montáž</t>
        </is>
      </c>
    </row>
    <row r="136">
      <c r="A136" s="4" t="n">
        <v>88</v>
      </c>
      <c r="B136" s="5" t="inlineStr"/>
      <c r="C136" s="4" t="n">
        <v>5</v>
      </c>
      <c r="D136" s="5" t="inlineStr">
        <is>
          <t>PSV-OPL</t>
        </is>
      </c>
      <c r="E136" s="5" t="inlineStr">
        <is>
          <t>PSV-OPL-011</t>
        </is>
      </c>
      <c r="F136" s="6" t="inlineStr">
        <is>
          <t>Kingspan KS 1000 FF 175 mm, jádro FF (Rockwool), zóna ve střeše — Úprava dveří section view</t>
        </is>
      </c>
      <c r="G136" s="4" t="inlineStr">
        <is>
          <t>m²</t>
        </is>
      </c>
      <c r="H136" s="4" t="n">
        <v>58.2</v>
      </c>
      <c r="I136" s="6" t="inlineStr">
        <is>
          <t>57.95 m² projection (user měřeno) / cos(5.25°) = 58.20 m² (slope-corrected)  [výkres:Hala HK_Úprava dveří]  · was 58.2: Úprava dveří revision — first appearance</t>
        </is>
      </c>
      <c r="J136" s="6" t="inlineStr"/>
    </row>
    <row r="137">
      <c r="A137" s="10" t="n">
        <v>89</v>
      </c>
      <c r="B137" s="11" t="inlineStr"/>
      <c r="C137" s="10" t="n">
        <v>5</v>
      </c>
      <c r="D137" s="11" t="inlineStr">
        <is>
          <t>PSV-OPL</t>
        </is>
      </c>
      <c r="E137" s="11" t="inlineStr">
        <is>
          <t>PSV-OPL-012</t>
        </is>
      </c>
      <c r="F137" s="12" t="inlineStr">
        <is>
          <t>Montáž Kingspan KS 1000 FF 175 mm — zóna 58.20 m² ve střeše</t>
        </is>
      </c>
      <c r="G137" s="10" t="inlineStr">
        <is>
          <t>m²</t>
        </is>
      </c>
      <c r="H137" s="10" t="n">
        <v>58.2</v>
      </c>
      <c r="I137" s="12">
        <f> dodávka PSV-OPL-011 = 58.20 m²  [výkres:Hala HK_Úprava dveří]  · was 58.2: Úprava dveří revision — first appearance</f>
        <v/>
      </c>
      <c r="J137" s="12" t="inlineStr"/>
    </row>
    <row r="138">
      <c r="A138" s="3" t="inlineStr">
        <is>
          <t>→ Spojovací materiál + EPDM těsnění Kingspan</t>
        </is>
      </c>
    </row>
    <row r="139">
      <c r="A139" s="4" t="n">
        <v>90</v>
      </c>
      <c r="B139" s="5" t="inlineStr"/>
      <c r="C139" s="4" t="n">
        <v>5</v>
      </c>
      <c r="D139" s="5" t="inlineStr">
        <is>
          <t>PSV-OPL</t>
        </is>
      </c>
      <c r="E139" s="5" t="inlineStr">
        <is>
          <t>PSV-OPL-006</t>
        </is>
      </c>
      <c r="F139" s="6" t="inlineStr">
        <is>
          <t>Spojovací materiál + těsnění + EPDM podložky Kingspan systém — paušál pro celý objem opláštění</t>
        </is>
      </c>
      <c r="G139" s="4" t="inlineStr">
        <is>
          <t>kpl</t>
        </is>
      </c>
      <c r="H139" s="4" t="n">
        <v>1</v>
      </c>
      <c r="I139" s="6" t="inlineStr">
        <is>
          <t>paušál  [TZ:D.1.1]</t>
        </is>
      </c>
      <c r="J139" s="6" t="inlineStr"/>
    </row>
    <row r="140">
      <c r="A140" s="3" t="inlineStr">
        <is>
          <t>→ Klempířské lemy přechody střecha–fasáda</t>
        </is>
      </c>
    </row>
    <row r="141">
      <c r="A141" s="13" t="n">
        <v>91</v>
      </c>
      <c r="B141" s="14" t="inlineStr"/>
      <c r="C141" s="13" t="n">
        <v>5</v>
      </c>
      <c r="D141" s="14" t="inlineStr">
        <is>
          <t>PSV-OPL</t>
        </is>
      </c>
      <c r="E141" s="14" t="inlineStr">
        <is>
          <t>PSV-OPL-005</t>
        </is>
      </c>
      <c r="F141" s="15" t="inlineStr">
        <is>
          <t>Klempířské lemy + přechody střecha–fasáda, pozinkovaný plech — atika, úžlabí, nároží, parapety, krycí lišty — dle TZ ARS DPZ D.1.1</t>
        </is>
      </c>
      <c r="G141" s="13" t="inlineStr">
        <is>
          <t>bm</t>
        </is>
      </c>
      <c r="H141" s="13" t="n">
        <v>189.14</v>
      </c>
      <c r="I141" s="15" t="inlineStr">
        <is>
          <t>2 × obvod budovy 94.57 m (Úprava dveří) = 189.14 bm (hrubý odhad atika + parapety)  [TZ:D.1.1, Step3, výkres:Hala HK_Úprava dveří]</t>
        </is>
      </c>
      <c r="J141" s="15" t="inlineStr">
        <is>
          <t>rev:qty</t>
        </is>
      </c>
    </row>
    <row r="142">
      <c r="A142" s="3" t="inlineStr">
        <is>
          <t>→ Statické posouzení uchycení Kingspan</t>
        </is>
      </c>
    </row>
    <row r="143">
      <c r="A143" s="4" t="n">
        <v>92</v>
      </c>
      <c r="B143" s="5" t="inlineStr"/>
      <c r="C143" s="4" t="n">
        <v>5</v>
      </c>
      <c r="D143" s="5" t="inlineStr">
        <is>
          <t>PSV-OPL</t>
        </is>
      </c>
      <c r="E143" s="5" t="inlineStr">
        <is>
          <t>PSV-OPL-008</t>
        </is>
      </c>
      <c r="F143" s="6" t="inlineStr">
        <is>
          <t>Statické posouzení uchycení Kingspan k ocelové konstrukci + revizní zpráva — paušál</t>
        </is>
      </c>
      <c r="G143" s="4" t="inlineStr">
        <is>
          <t>paušál</t>
        </is>
      </c>
      <c r="H143" s="4" t="n">
        <v>1</v>
      </c>
      <c r="I143" s="6" t="inlineStr">
        <is>
          <t>paušál  [TZ:D.1.1]</t>
        </is>
      </c>
      <c r="J143" s="6" t="inlineStr"/>
    </row>
    <row r="144" ht="22" customHeight="1">
      <c r="A144" s="2" t="inlineStr">
        <is>
          <t>═══ FÁZE 6: KLEMPÍŘSKÉ + ODVODNĚNÍ STŘECHY ═══</t>
        </is>
      </c>
    </row>
    <row r="145">
      <c r="A145" s="3" t="inlineStr">
        <is>
          <t>→ Doprava klempířiny na stavbu</t>
        </is>
      </c>
    </row>
    <row r="146">
      <c r="A146" s="4" t="n">
        <v>93</v>
      </c>
      <c r="B146" s="5" t="inlineStr"/>
      <c r="C146" s="4" t="n">
        <v>6</v>
      </c>
      <c r="D146" s="5" t="inlineStr">
        <is>
          <t>PSV-78x</t>
        </is>
      </c>
      <c r="E146" s="5" t="inlineStr">
        <is>
          <t>PSV-78x-012</t>
        </is>
      </c>
      <c r="F146" s="6" t="inlineStr">
        <is>
          <t>Doprava klempířiny + materiálu na stavbu — paušál</t>
        </is>
      </c>
      <c r="G146" s="4" t="inlineStr">
        <is>
          <t>paušál</t>
        </is>
      </c>
      <c r="H146" s="4" t="n">
        <v>1</v>
      </c>
      <c r="I146" s="6" t="inlineStr">
        <is>
          <t>paušál</t>
        </is>
      </c>
      <c r="J146" s="6" t="inlineStr"/>
    </row>
    <row r="147">
      <c r="A147" s="3" t="inlineStr">
        <is>
          <t>→ Atikové oplechování + úžlabí + nároží</t>
        </is>
      </c>
    </row>
    <row r="148">
      <c r="A148" s="7" t="n">
        <v>94</v>
      </c>
      <c r="B148" s="8" t="inlineStr"/>
      <c r="C148" s="7" t="n">
        <v>6</v>
      </c>
      <c r="D148" s="8" t="inlineStr">
        <is>
          <t>PSV-78x</t>
        </is>
      </c>
      <c r="E148" s="8" t="inlineStr">
        <is>
          <t>PSV-78x-007</t>
        </is>
      </c>
      <c r="F148" s="9" t="inlineStr">
        <is>
          <t>Atikové oplechování titanzinek tl. 0.7 mm, rš 500 mm — po obvodu střechy</t>
        </is>
      </c>
      <c r="G148" s="7" t="inlineStr">
        <is>
          <t>bm</t>
        </is>
      </c>
      <c r="H148" s="7" t="n">
        <v>95</v>
      </c>
      <c r="I148" s="9" t="inlineStr">
        <is>
          <t>obvod střechy 95.0 bm  [TZ:B]</t>
        </is>
      </c>
      <c r="J148" s="9" t="inlineStr"/>
    </row>
    <row r="149">
      <c r="A149" s="7" t="n">
        <v>95</v>
      </c>
      <c r="B149" s="8" t="inlineStr"/>
      <c r="C149" s="7" t="n">
        <v>6</v>
      </c>
      <c r="D149" s="8" t="inlineStr">
        <is>
          <t>PSV-78x</t>
        </is>
      </c>
      <c r="E149" s="8" t="inlineStr">
        <is>
          <t>PSV-78x-008</t>
        </is>
      </c>
      <c r="F149" s="9" t="inlineStr">
        <is>
          <t>Lemování úžlabí střechy titanzinek — diagonální linie</t>
        </is>
      </c>
      <c r="G149" s="7" t="inlineStr">
        <is>
          <t>bm</t>
        </is>
      </c>
      <c r="H149" s="7" t="n">
        <v>15</v>
      </c>
      <c r="I149" s="9" t="inlineStr">
        <is>
          <t>placeholder ~15 bm (úžlabí pultové střechy 5.25°)</t>
        </is>
      </c>
      <c r="J149" s="9" t="inlineStr"/>
    </row>
    <row r="150">
      <c r="A150" s="7" t="n">
        <v>96</v>
      </c>
      <c r="B150" s="8" t="inlineStr"/>
      <c r="C150" s="7" t="n">
        <v>6</v>
      </c>
      <c r="D150" s="8" t="inlineStr">
        <is>
          <t>PSV-78x</t>
        </is>
      </c>
      <c r="E150" s="8" t="inlineStr">
        <is>
          <t>PSV-78x-009</t>
        </is>
      </c>
      <c r="F150" s="9" t="inlineStr">
        <is>
          <t>Lemování nároží titanzinek — vertikální rohy fasády</t>
        </is>
      </c>
      <c r="G150" s="7" t="inlineStr">
        <is>
          <t>bm</t>
        </is>
      </c>
      <c r="H150" s="7" t="n">
        <v>25.2</v>
      </c>
      <c r="I150" s="9" t="inlineStr">
        <is>
          <t>4 nároží × 6.3 m výška</t>
        </is>
      </c>
      <c r="J150" s="9" t="inlineStr"/>
    </row>
    <row r="151">
      <c r="A151" s="3" t="inlineStr">
        <is>
          <t>→ Tmelení spár klempířských konstrukcí</t>
        </is>
      </c>
    </row>
    <row r="152">
      <c r="A152" s="7" t="n">
        <v>97</v>
      </c>
      <c r="B152" s="8" t="inlineStr"/>
      <c r="C152" s="7" t="n">
        <v>6</v>
      </c>
      <c r="D152" s="8" t="inlineStr">
        <is>
          <t>PSV-78x</t>
        </is>
      </c>
      <c r="E152" s="8" t="inlineStr">
        <is>
          <t>PSV-78x-010</t>
        </is>
      </c>
      <c r="F152" s="9" t="inlineStr">
        <is>
          <t>Krytí spár klempířských konstrukcí — silikonový tmel</t>
        </is>
      </c>
      <c r="G152" s="7" t="inlineStr">
        <is>
          <t>bm</t>
        </is>
      </c>
      <c r="H152" s="7" t="n">
        <v>120</v>
      </c>
      <c r="I152" s="9" t="inlineStr">
        <is>
          <t>placeholder ~120 bm (spáry mezi všemi klempířskými prvky)</t>
        </is>
      </c>
      <c r="J152" s="9" t="inlineStr"/>
    </row>
    <row r="153">
      <c r="A153" s="3" t="inlineStr">
        <is>
          <t>→ Lindab svody — dodávka + montáž</t>
        </is>
      </c>
    </row>
    <row r="154">
      <c r="A154" s="4" t="n">
        <v>98</v>
      </c>
      <c r="B154" s="5" t="inlineStr"/>
      <c r="C154" s="4" t="n">
        <v>6</v>
      </c>
      <c r="D154" s="5" t="inlineStr">
        <is>
          <t>PSV-78x</t>
        </is>
      </c>
      <c r="E154" s="5" t="inlineStr">
        <is>
          <t>PSV-78x-001</t>
        </is>
      </c>
      <c r="F154" s="6" t="inlineStr">
        <is>
          <t>Dodávka Lindab Round Downpipe 150/100 Antique White, vč. kolen a spojek</t>
        </is>
      </c>
      <c r="G154" s="4" t="inlineStr">
        <is>
          <t>ks</t>
        </is>
      </c>
      <c r="H154" s="4" t="n">
        <v>4</v>
      </c>
      <c r="I154" s="6" t="inlineStr">
        <is>
          <t>4 ks (A104 DXF count working, ABMV_20: A101=3 vs A104=4)  [výkres:A104]</t>
        </is>
      </c>
      <c r="J154" s="6" t="inlineStr">
        <is>
          <t>ABMV:ABMV_20</t>
        </is>
      </c>
    </row>
    <row r="155">
      <c r="A155" s="7" t="n">
        <v>99</v>
      </c>
      <c r="B155" s="8" t="inlineStr"/>
      <c r="C155" s="7" t="n">
        <v>6</v>
      </c>
      <c r="D155" s="8" t="inlineStr">
        <is>
          <t>PSV-78x</t>
        </is>
      </c>
      <c r="E155" s="8" t="inlineStr">
        <is>
          <t>PSV-78x-002</t>
        </is>
      </c>
      <c r="F155" s="9" t="inlineStr">
        <is>
          <t>Montáž svodů Lindab — příchytky, kotvení do fasády</t>
        </is>
      </c>
      <c r="G155" s="7" t="inlineStr">
        <is>
          <t>kpl</t>
        </is>
      </c>
      <c r="H155" s="7" t="n">
        <v>4</v>
      </c>
      <c r="I155" s="9" t="inlineStr">
        <is>
          <t>4 kpl (jeden na každý svod)</t>
        </is>
      </c>
      <c r="J155" s="9" t="inlineStr">
        <is>
          <t>ABMV:ABMV_20</t>
        </is>
      </c>
    </row>
    <row r="156">
      <c r="A156" s="3" t="inlineStr">
        <is>
          <t>→ Wavin Tegra střešní vpusti — dodávka + montáž</t>
        </is>
      </c>
    </row>
    <row r="157">
      <c r="A157" s="7" t="n">
        <v>100</v>
      </c>
      <c r="B157" s="8" t="inlineStr"/>
      <c r="C157" s="7" t="n">
        <v>6</v>
      </c>
      <c r="D157" s="8" t="inlineStr">
        <is>
          <t>PSV-78x</t>
        </is>
      </c>
      <c r="E157" s="8" t="inlineStr">
        <is>
          <t>PSV-78x-003</t>
        </is>
      </c>
      <c r="F157" s="9" t="inlineStr">
        <is>
          <t>Wavin Tegra střešní vpust Round Iron Cover + Concrete Ring DN300</t>
        </is>
      </c>
      <c r="G157" s="7" t="inlineStr">
        <is>
          <t>ks</t>
        </is>
      </c>
      <c r="H157" s="7" t="n">
        <v>3</v>
      </c>
      <c r="I157" s="9" t="inlineStr">
        <is>
          <t>3 ks (A101 INSERT Wavin × 3 dle DXF parse)  [výkres:A101]</t>
        </is>
      </c>
      <c r="J157" s="9" t="inlineStr"/>
    </row>
    <row r="158">
      <c r="A158" s="7" t="n">
        <v>101</v>
      </c>
      <c r="B158" s="8" t="inlineStr"/>
      <c r="C158" s="7" t="n">
        <v>6</v>
      </c>
      <c r="D158" s="8" t="inlineStr">
        <is>
          <t>PSV-78x</t>
        </is>
      </c>
      <c r="E158" s="8" t="inlineStr">
        <is>
          <t>PSV-78x-004</t>
        </is>
      </c>
      <c r="F158" s="9" t="inlineStr">
        <is>
          <t>Montáž střešních vpustí Wavin Tegra — osazení, napojení na svody</t>
        </is>
      </c>
      <c r="G158" s="7" t="inlineStr">
        <is>
          <t>ks</t>
        </is>
      </c>
      <c r="H158" s="7" t="n">
        <v>3</v>
      </c>
      <c r="I158" s="9">
        <f> dodávka</f>
        <v/>
      </c>
      <c r="J158" s="9" t="inlineStr"/>
    </row>
    <row r="159">
      <c r="A159" s="3" t="inlineStr">
        <is>
          <t>→ MEA Mearin liniový žlab + mřížka</t>
        </is>
      </c>
    </row>
    <row r="160">
      <c r="A160" s="7" t="n">
        <v>102</v>
      </c>
      <c r="B160" s="8" t="inlineStr"/>
      <c r="C160" s="7" t="n">
        <v>6</v>
      </c>
      <c r="D160" s="8" t="inlineStr">
        <is>
          <t>PSV-78x</t>
        </is>
      </c>
      <c r="E160" s="8" t="inlineStr">
        <is>
          <t>PSV-78x-005</t>
        </is>
      </c>
      <c r="F160" s="9" t="inlineStr">
        <is>
          <t>MEA Mearin Plus 3000 NW300 liniový žlab — podél JZ a SZ fasády</t>
        </is>
      </c>
      <c r="G160" s="7" t="inlineStr">
        <is>
          <t>bm</t>
        </is>
      </c>
      <c r="H160" s="7" t="n">
        <v>30</v>
      </c>
      <c r="I160" s="9" t="inlineStr">
        <is>
          <t>~30.0 bm podél JZ + SZ fasády (RE-RUN §3.7)  [výkres:A105]</t>
        </is>
      </c>
      <c r="J160" s="9" t="inlineStr"/>
    </row>
    <row r="161">
      <c r="A161" s="7" t="n">
        <v>103</v>
      </c>
      <c r="B161" s="8" t="inlineStr"/>
      <c r="C161" s="7" t="n">
        <v>6</v>
      </c>
      <c r="D161" s="8" t="inlineStr">
        <is>
          <t>PSV-78x</t>
        </is>
      </c>
      <c r="E161" s="8" t="inlineStr">
        <is>
          <t>PSV-78x-006</t>
        </is>
      </c>
      <c r="F161" s="9" t="inlineStr">
        <is>
          <t>Mřížka MEA Mearin Plus 3000 + osazovací rám — pochozí provedení</t>
        </is>
      </c>
      <c r="G161" s="7" t="inlineStr">
        <is>
          <t>bm</t>
        </is>
      </c>
      <c r="H161" s="7" t="n">
        <v>30</v>
      </c>
      <c r="I161" s="9">
        <f> liniový žlab</f>
        <v/>
      </c>
      <c r="J161" s="9" t="inlineStr"/>
    </row>
    <row r="162">
      <c r="A162" s="3" t="inlineStr">
        <is>
          <t>→ Ostatní oplechování (parapety, lemy)</t>
        </is>
      </c>
    </row>
    <row r="163">
      <c r="A163" s="4" t="n">
        <v>104</v>
      </c>
      <c r="B163" s="5" t="inlineStr"/>
      <c r="C163" s="4" t="n">
        <v>6</v>
      </c>
      <c r="D163" s="5" t="inlineStr">
        <is>
          <t>PSV-78x</t>
        </is>
      </c>
      <c r="E163" s="5" t="inlineStr">
        <is>
          <t>PSV-78x-011</t>
        </is>
      </c>
      <c r="F163" s="6" t="inlineStr">
        <is>
          <t>Ostatní oplechování — parapety střešních vpustí, lemy prostupů</t>
        </is>
      </c>
      <c r="G163" s="4" t="inlineStr">
        <is>
          <t>bm</t>
        </is>
      </c>
      <c r="H163" s="4" t="n">
        <v>25</v>
      </c>
      <c r="I163" s="6" t="inlineStr">
        <is>
          <t>placeholder ~25 bm (vpusti + prostupy)</t>
        </is>
      </c>
      <c r="J163" s="6" t="inlineStr"/>
    </row>
    <row r="164" ht="22" customHeight="1">
      <c r="A164" s="2" t="inlineStr">
        <is>
          <t>═══ FÁZE 7: VÝPLNĚ OTVORŮ ═══</t>
        </is>
      </c>
    </row>
    <row r="165">
      <c r="A165" s="3" t="inlineStr">
        <is>
          <t>→ Okna plastová — dodávka (fixní + otvíravé) + montáž + parapet + lemy</t>
        </is>
      </c>
    </row>
    <row r="166">
      <c r="A166" s="4" t="n">
        <v>105</v>
      </c>
      <c r="B166" s="5" t="inlineStr"/>
      <c r="C166" s="4" t="n">
        <v>7</v>
      </c>
      <c r="D166" s="5" t="inlineStr">
        <is>
          <t>PSV-76x</t>
        </is>
      </c>
      <c r="E166" s="5" t="inlineStr">
        <is>
          <t>PSV-76x-001</t>
        </is>
      </c>
      <c r="F166" s="6" t="inlineStr">
        <is>
          <t>Dodávka okno plastové fixní 1000 × 1000 mm, izol. dvojsklo Ug ≤ 1.1, barva šedá</t>
        </is>
      </c>
      <c r="G166" s="4" t="inlineStr">
        <is>
          <t>ks</t>
        </is>
      </c>
      <c r="H166" s="4" t="n">
        <v>29</v>
      </c>
      <c r="I166" s="6" t="inlineStr">
        <is>
          <t>29 ks fixních (z 34 oken celkem; 5 otvíravých v PSV-76x-013) — Úprava dveří POHLED OSA A/F/06/01  [výkres:A101, výkres:Hala HK_Úprava dveří]</t>
        </is>
      </c>
      <c r="J166" s="6" t="inlineStr"/>
    </row>
    <row r="167">
      <c r="A167" s="10" t="n">
        <v>106</v>
      </c>
      <c r="B167" s="11" t="inlineStr"/>
      <c r="C167" s="10" t="n">
        <v>7</v>
      </c>
      <c r="D167" s="11" t="inlineStr">
        <is>
          <t>PSV-76x</t>
        </is>
      </c>
      <c r="E167" s="11" t="inlineStr">
        <is>
          <t>PSV-76x-013</t>
        </is>
      </c>
      <c r="F167" s="12" t="inlineStr">
        <is>
          <t>Dodávka okno plastové otvíravé 1000 × 1000 mm, izol. dvojsklo Ug ≤ 1.1, barva šedá, kování pro mikroventilaci</t>
        </is>
      </c>
      <c r="G167" s="10" t="inlineStr">
        <is>
          <t>ks</t>
        </is>
      </c>
      <c r="H167" s="10" t="n">
        <v>5</v>
      </c>
      <c r="I167" s="12" t="inlineStr">
        <is>
          <t>5 ks otvíravých z 34 oken celkem — Úprava dveří POHLED OSA A/F/06/01 user-confirmed split  [výkres:Hala HK_Úprava dveří]  · was 5.0: Úprava dveří revision — first appearance</t>
        </is>
      </c>
      <c r="J167" s="12" t="inlineStr"/>
    </row>
    <row r="168">
      <c r="A168" s="4" t="n">
        <v>107</v>
      </c>
      <c r="B168" s="5" t="inlineStr"/>
      <c r="C168" s="4" t="n">
        <v>7</v>
      </c>
      <c r="D168" s="5" t="inlineStr">
        <is>
          <t>PSV-76x</t>
        </is>
      </c>
      <c r="E168" s="5" t="inlineStr">
        <is>
          <t>PSV-76x-002</t>
        </is>
      </c>
      <c r="F168" s="6" t="inlineStr">
        <is>
          <t>Montáž okna plastového 1000 × 1000 mm (fixní i otvíravé) do osazovacího otvoru, vč. kotvení a pěny</t>
        </is>
      </c>
      <c r="G168" s="4" t="inlineStr">
        <is>
          <t>ks</t>
        </is>
      </c>
      <c r="H168" s="4" t="n">
        <v>34</v>
      </c>
      <c r="I168" s="6" t="inlineStr">
        <is>
          <t>34 ks celkem (29 fixní + 5 otvíravé) — Úprava dveří POHLED OSA A/F/06/01  [výkres:Hala HK_Úprava dveří]</t>
        </is>
      </c>
      <c r="J168" s="6" t="inlineStr"/>
    </row>
    <row r="169">
      <c r="A169" s="10" t="n">
        <v>108</v>
      </c>
      <c r="B169" s="11" t="inlineStr"/>
      <c r="C169" s="10" t="n">
        <v>7</v>
      </c>
      <c r="D169" s="11" t="inlineStr">
        <is>
          <t>PSV-76x</t>
        </is>
      </c>
      <c r="E169" s="11" t="inlineStr">
        <is>
          <t>PSV-76x-003</t>
        </is>
      </c>
      <c r="F169" s="12" t="inlineStr">
        <is>
          <t>Vnější parapet pozinkovaný plech, š. 200 mm, s krytkami</t>
        </is>
      </c>
      <c r="G169" s="10" t="inlineStr">
        <is>
          <t>bm</t>
        </is>
      </c>
      <c r="H169" s="10" t="n">
        <v>35.7</v>
      </c>
      <c r="I169" s="12" t="inlineStr">
        <is>
          <t>34 ks × 1.05 m (šířka okna + přesah) = 35.7 bm — Úprava dveří 34 oken  [výkres:Hala HK_Úprava dveří]</t>
        </is>
      </c>
      <c r="J169" s="12" t="inlineStr"/>
    </row>
    <row r="170">
      <c r="A170" s="7" t="n">
        <v>109</v>
      </c>
      <c r="B170" s="8" t="inlineStr"/>
      <c r="C170" s="7" t="n">
        <v>7</v>
      </c>
      <c r="D170" s="8" t="inlineStr">
        <is>
          <t>PSV-76x</t>
        </is>
      </c>
      <c r="E170" s="8" t="inlineStr">
        <is>
          <t>PSV-76x-004</t>
        </is>
      </c>
      <c r="F170" s="9" t="inlineStr">
        <is>
          <t>Vnější okenní lemy plastové — rohové + nadokenní</t>
        </is>
      </c>
      <c r="G170" s="7" t="inlineStr">
        <is>
          <t>bm</t>
        </is>
      </c>
      <c r="H170" s="7" t="n">
        <v>102</v>
      </c>
      <c r="I170" s="9" t="inlineStr">
        <is>
          <t>34 ks × 3 bm (perimetr 3 stran, parapet samostatně) = 102 bm — Úprava dveří 34 oken  [výkres:Hala HK_Úprava dveří]</t>
        </is>
      </c>
      <c r="J170" s="9" t="inlineStr"/>
    </row>
    <row r="171">
      <c r="A171" s="3" t="inlineStr">
        <is>
          <t>→ Sekční vrata 3500×4000 — dodávka + pohon + montáž</t>
        </is>
      </c>
    </row>
    <row r="172">
      <c r="A172" s="4" t="n">
        <v>110</v>
      </c>
      <c r="B172" s="5" t="inlineStr"/>
      <c r="C172" s="4" t="n">
        <v>7</v>
      </c>
      <c r="D172" s="5" t="inlineStr">
        <is>
          <t>PSV-76x</t>
        </is>
      </c>
      <c r="E172" s="5" t="inlineStr">
        <is>
          <t>PSV-76x-005</t>
        </is>
      </c>
      <c r="F172" s="6" t="inlineStr">
        <is>
          <t>Dodávka sekční vrata 3500 × 4000 mm (š × v) s tepelněizolační výplní, motorická</t>
        </is>
      </c>
      <c r="G172" s="4" t="inlineStr">
        <is>
          <t>ks</t>
        </is>
      </c>
      <c r="H172" s="4" t="n">
        <v>4</v>
      </c>
      <c r="I172" s="6" t="inlineStr">
        <is>
          <t>4 ks (DXF A101 INSERT 'Vrata sekční' = 4)  [výkres:A101, TZ:3.2]</t>
        </is>
      </c>
      <c r="J172" s="6" t="inlineStr"/>
    </row>
    <row r="173">
      <c r="A173" s="7" t="n">
        <v>111</v>
      </c>
      <c r="B173" s="8" t="inlineStr"/>
      <c r="C173" s="7" t="n">
        <v>7</v>
      </c>
      <c r="D173" s="8" t="inlineStr">
        <is>
          <t>PSV-76x</t>
        </is>
      </c>
      <c r="E173" s="8" t="inlineStr">
        <is>
          <t>PSV-76x-006</t>
        </is>
      </c>
      <c r="F173" s="9" t="inlineStr">
        <is>
          <t>Elektrický pohon vrat sekčních s dálkovým ovládáním + nouzové odblokování</t>
        </is>
      </c>
      <c r="G173" s="7" t="inlineStr">
        <is>
          <t>ks</t>
        </is>
      </c>
      <c r="H173" s="7" t="n">
        <v>4</v>
      </c>
      <c r="I173" s="9" t="inlineStr">
        <is>
          <t>4 ks pohon (jeden na každá vrata)</t>
        </is>
      </c>
      <c r="J173" s="9" t="inlineStr"/>
    </row>
    <row r="174">
      <c r="A174" s="7" t="n">
        <v>112</v>
      </c>
      <c r="B174" s="8" t="inlineStr"/>
      <c r="C174" s="7" t="n">
        <v>7</v>
      </c>
      <c r="D174" s="8" t="inlineStr">
        <is>
          <t>PSV-76x</t>
        </is>
      </c>
      <c r="E174" s="8" t="inlineStr">
        <is>
          <t>PSV-76x-007</t>
        </is>
      </c>
      <c r="F174" s="9" t="inlineStr">
        <is>
          <t>Nouzové ruční odblokování vrat sekčních — pro výpadek el.</t>
        </is>
      </c>
      <c r="G174" s="7" t="inlineStr">
        <is>
          <t>ks</t>
        </is>
      </c>
      <c r="H174" s="7" t="n">
        <v>4</v>
      </c>
      <c r="I174" s="9" t="inlineStr">
        <is>
          <t>4 ks ruční odblok</t>
        </is>
      </c>
      <c r="J174" s="9" t="inlineStr"/>
    </row>
    <row r="175">
      <c r="A175" s="7" t="n">
        <v>113</v>
      </c>
      <c r="B175" s="8" t="inlineStr"/>
      <c r="C175" s="7" t="n">
        <v>7</v>
      </c>
      <c r="D175" s="8" t="inlineStr">
        <is>
          <t>PSV-76x</t>
        </is>
      </c>
      <c r="E175" s="8" t="inlineStr">
        <is>
          <t>PSV-76x-008</t>
        </is>
      </c>
      <c r="F175" s="9" t="inlineStr">
        <is>
          <t>Montáž sekčních vrat — osazení do otvoru, ukotvení, nastavení</t>
        </is>
      </c>
      <c r="G175" s="7" t="inlineStr">
        <is>
          <t>ks</t>
        </is>
      </c>
      <c r="H175" s="7" t="n">
        <v>4</v>
      </c>
      <c r="I175" s="9">
        <f> dodávka vrat</f>
        <v/>
      </c>
      <c r="J175" s="9" t="inlineStr"/>
    </row>
    <row r="176">
      <c r="A176" s="3" t="inlineStr">
        <is>
          <t>→ Vnější 2-křídlé dveře — dodávka + montáž + zámek + práh</t>
        </is>
      </c>
    </row>
    <row r="177">
      <c r="A177" s="7" t="n">
        <v>114</v>
      </c>
      <c r="B177" s="8" t="inlineStr"/>
      <c r="C177" s="7" t="n">
        <v>7</v>
      </c>
      <c r="D177" s="8" t="inlineStr">
        <is>
          <t>PSV-76x</t>
        </is>
      </c>
      <c r="E177" s="8" t="inlineStr">
        <is>
          <t>PSV-76x-009</t>
        </is>
      </c>
      <c r="F177" s="9" t="inlineStr">
        <is>
          <t>Dodávka vnější dvoukřídlé dveře plastové 1050 × 2100 mm, izol. plnostěnné, klika a zámek</t>
        </is>
      </c>
      <c r="G177" s="7" t="inlineStr">
        <is>
          <t>ks</t>
        </is>
      </c>
      <c r="H177" s="7" t="n">
        <v>2</v>
      </c>
      <c r="I177" s="9" t="inlineStr">
        <is>
          <t>2 ks (Úprava dveří potvrzeno) — materiál plastové dle user expectation, čeká finální potvrzení projektantem  [výkres:A101, výkres:Hala HK_Úprava dveří]</t>
        </is>
      </c>
      <c r="J177" s="9" t="inlineStr"/>
    </row>
    <row r="178">
      <c r="A178" s="7" t="n">
        <v>115</v>
      </c>
      <c r="B178" s="8" t="inlineStr"/>
      <c r="C178" s="7" t="n">
        <v>7</v>
      </c>
      <c r="D178" s="8" t="inlineStr">
        <is>
          <t>PSV-76x</t>
        </is>
      </c>
      <c r="E178" s="8" t="inlineStr">
        <is>
          <t>PSV-76x-010</t>
        </is>
      </c>
      <c r="F178" s="9" t="inlineStr">
        <is>
          <t>Montáž vnějších 2-křídlých dveří — osazení, kotvení, pěna</t>
        </is>
      </c>
      <c r="G178" s="7" t="inlineStr">
        <is>
          <t>ks</t>
        </is>
      </c>
      <c r="H178" s="7" t="n">
        <v>2</v>
      </c>
      <c r="I178" s="9">
        <f> dodávka dveří</f>
        <v/>
      </c>
      <c r="J178" s="9" t="inlineStr"/>
    </row>
    <row r="179">
      <c r="A179" s="7" t="n">
        <v>116</v>
      </c>
      <c r="B179" s="8" t="inlineStr"/>
      <c r="C179" s="7" t="n">
        <v>7</v>
      </c>
      <c r="D179" s="8" t="inlineStr">
        <is>
          <t>PSV-76x</t>
        </is>
      </c>
      <c r="E179" s="8" t="inlineStr">
        <is>
          <t>PSV-76x-011</t>
        </is>
      </c>
      <c r="F179" s="9" t="inlineStr">
        <is>
          <t>Kompletní zámkový systém + klika pro vnější 2-křídlé dveře</t>
        </is>
      </c>
      <c r="G179" s="7" t="inlineStr">
        <is>
          <t>kpl</t>
        </is>
      </c>
      <c r="H179" s="7" t="n">
        <v>2</v>
      </c>
      <c r="I179" s="9" t="inlineStr">
        <is>
          <t>2 kpl</t>
        </is>
      </c>
      <c r="J179" s="9" t="inlineStr"/>
    </row>
    <row r="180">
      <c r="A180" s="10" t="n">
        <v>117</v>
      </c>
      <c r="B180" s="11" t="inlineStr"/>
      <c r="C180" s="10" t="n">
        <v>7</v>
      </c>
      <c r="D180" s="11" t="inlineStr">
        <is>
          <t>PSV-76x</t>
        </is>
      </c>
      <c r="E180" s="11" t="inlineStr">
        <is>
          <t>PSV-76x-012</t>
        </is>
      </c>
      <c r="F180" s="12" t="inlineStr">
        <is>
          <t>Práh + lemování ostění vnějších dveří — pozink plech</t>
        </is>
      </c>
      <c r="G180" s="10" t="inlineStr">
        <is>
          <t>kpl</t>
        </is>
      </c>
      <c r="H180" s="10" t="n">
        <v>2</v>
      </c>
      <c r="I180" s="12" t="inlineStr">
        <is>
          <t>2 kpl</t>
        </is>
      </c>
      <c r="J180" s="12" t="inlineStr"/>
    </row>
    <row r="181" ht="22" customHeight="1">
      <c r="A181" s="2" t="inlineStr">
        <is>
          <t>═══ FÁZE 8: IZOLACE + SOKL ═══</t>
        </is>
      </c>
    </row>
    <row r="182">
      <c r="A182" s="3" t="inlineStr">
        <is>
          <t>→ Penetrace soklu</t>
        </is>
      </c>
    </row>
    <row r="183">
      <c r="A183" s="4" t="n">
        <v>118</v>
      </c>
      <c r="B183" s="5" t="inlineStr"/>
      <c r="C183" s="4" t="n">
        <v>8</v>
      </c>
      <c r="D183" s="5" t="inlineStr">
        <is>
          <t>PSV-71x</t>
        </is>
      </c>
      <c r="E183" s="5" t="inlineStr">
        <is>
          <t>PSV-71x-001</t>
        </is>
      </c>
      <c r="F183" s="6" t="inlineStr">
        <is>
          <t>Penetrace soklu — penetrační nátěr pod hydroizolaci</t>
        </is>
      </c>
      <c r="G183" s="4" t="inlineStr">
        <is>
          <t>m²</t>
        </is>
      </c>
      <c r="H183" s="4" t="n">
        <v>28.5</v>
      </c>
      <c r="I183" s="6" t="inlineStr">
        <is>
          <t>95.0 bm × 0.3 m = 28.5 m²</t>
        </is>
      </c>
      <c r="J183" s="6" t="inlineStr"/>
    </row>
    <row r="184">
      <c r="A184" s="3" t="inlineStr">
        <is>
          <t>→ Hydroizolace svislá soklu — SBS pás</t>
        </is>
      </c>
    </row>
    <row r="185">
      <c r="A185" s="4" t="n">
        <v>119</v>
      </c>
      <c r="B185" s="5" t="inlineStr"/>
      <c r="C185" s="4" t="n">
        <v>8</v>
      </c>
      <c r="D185" s="5" t="inlineStr">
        <is>
          <t>PSV-71x</t>
        </is>
      </c>
      <c r="E185" s="5" t="inlineStr">
        <is>
          <t>PSV-71x-002</t>
        </is>
      </c>
      <c r="F185" s="6" t="inlineStr">
        <is>
          <t>Hydroizolace svislá soklu — SBS modifikovaný asfaltový pás, natavený</t>
        </is>
      </c>
      <c r="G185" s="4" t="inlineStr">
        <is>
          <t>m²</t>
        </is>
      </c>
      <c r="H185" s="4" t="n">
        <v>28.5</v>
      </c>
      <c r="I185" s="6" t="inlineStr">
        <is>
          <t>95.0 bm × 0.3 m = 28.5 m²  [TZ:B]</t>
        </is>
      </c>
      <c r="J185" s="6" t="inlineStr"/>
    </row>
    <row r="186">
      <c r="A186" s="3" t="inlineStr">
        <is>
          <t>→ Hydroizolační lišty rohové + napojení</t>
        </is>
      </c>
    </row>
    <row r="187">
      <c r="A187" s="7" t="n">
        <v>120</v>
      </c>
      <c r="B187" s="8" t="inlineStr"/>
      <c r="C187" s="7" t="n">
        <v>8</v>
      </c>
      <c r="D187" s="8" t="inlineStr">
        <is>
          <t>PSV-71x</t>
        </is>
      </c>
      <c r="E187" s="8" t="inlineStr">
        <is>
          <t>PSV-71x-003</t>
        </is>
      </c>
      <c r="F187" s="9" t="inlineStr">
        <is>
          <t>Hydroizolační lišty rohové + napojení svislé na vodorovnou pásku</t>
        </is>
      </c>
      <c r="G187" s="7" t="inlineStr">
        <is>
          <t>bm</t>
        </is>
      </c>
      <c r="H187" s="7" t="n">
        <v>95</v>
      </c>
      <c r="I187" s="9" t="inlineStr">
        <is>
          <t>obvod 95.0 bm</t>
        </is>
      </c>
      <c r="J187" s="9" t="inlineStr"/>
    </row>
    <row r="188">
      <c r="A188" s="3" t="inlineStr">
        <is>
          <t>→ Ochranná vrstva — nopová folie HDPE</t>
        </is>
      </c>
    </row>
    <row r="189">
      <c r="A189" s="7" t="n">
        <v>121</v>
      </c>
      <c r="B189" s="8" t="inlineStr"/>
      <c r="C189" s="7" t="n">
        <v>8</v>
      </c>
      <c r="D189" s="8" t="inlineStr">
        <is>
          <t>PSV-71x</t>
        </is>
      </c>
      <c r="E189" s="8" t="inlineStr">
        <is>
          <t>PSV-71x-004</t>
        </is>
      </c>
      <c r="F189" s="9" t="inlineStr">
        <is>
          <t>Ochranná vrstva hydroizolace — nopová folie HDPE, š. 0.5 m</t>
        </is>
      </c>
      <c r="G189" s="7" t="inlineStr">
        <is>
          <t>m²</t>
        </is>
      </c>
      <c r="H189" s="7" t="n">
        <v>47.5</v>
      </c>
      <c r="I189" s="9" t="inlineStr">
        <is>
          <t>95.0 bm × 0.5 m</t>
        </is>
      </c>
      <c r="J189" s="9" t="inlineStr"/>
    </row>
    <row r="190" ht="22" customHeight="1">
      <c r="A190" s="2" t="inlineStr">
        <is>
          <t>═══ FÁZE 9: PODLAHA PRŮMYSLOVÁ ═══</t>
        </is>
      </c>
    </row>
    <row r="191">
      <c r="A191" s="3" t="inlineStr">
        <is>
          <t>→ Penetrace + primer pod stěrku</t>
        </is>
      </c>
    </row>
    <row r="192">
      <c r="A192" s="4" t="n">
        <v>122</v>
      </c>
      <c r="B192" s="5" t="inlineStr"/>
      <c r="C192" s="4" t="n">
        <v>9</v>
      </c>
      <c r="D192" s="5" t="inlineStr">
        <is>
          <t>PSV-77x</t>
        </is>
      </c>
      <c r="E192" s="5" t="inlineStr">
        <is>
          <t>PSV-77x-001</t>
        </is>
      </c>
      <c r="F192" s="6" t="inlineStr">
        <is>
          <t>Penetrace + primer pod průmyslovou stěrku podlahy</t>
        </is>
      </c>
      <c r="G192" s="4" t="inlineStr">
        <is>
          <t>m²</t>
        </is>
      </c>
      <c r="H192" s="4" t="n">
        <v>495</v>
      </c>
      <c r="I192" s="6" t="inlineStr">
        <is>
          <t>495.0 m² (celá plocha podlahy)</t>
        </is>
      </c>
      <c r="J192" s="6" t="inlineStr"/>
    </row>
    <row r="193">
      <c r="A193" s="3" t="inlineStr">
        <is>
          <t>→ Epoxidová / PU stěrka 4–5 mm</t>
        </is>
      </c>
    </row>
    <row r="194">
      <c r="A194" s="7" t="n">
        <v>123</v>
      </c>
      <c r="B194" s="8" t="inlineStr"/>
      <c r="C194" s="7" t="n">
        <v>9</v>
      </c>
      <c r="D194" s="8" t="inlineStr">
        <is>
          <t>PSV-77x</t>
        </is>
      </c>
      <c r="E194" s="8" t="inlineStr">
        <is>
          <t>PSV-77x-002</t>
        </is>
      </c>
      <c r="F194" s="9" t="inlineStr">
        <is>
          <t>Průmyslová epoxidová / PU stěrka podlahy tl. 4-5 mm, zatížení 1600 kg/m²</t>
        </is>
      </c>
      <c r="G194" s="7" t="inlineStr">
        <is>
          <t>m²</t>
        </is>
      </c>
      <c r="H194" s="7" t="n">
        <v>495</v>
      </c>
      <c r="I194" s="9" t="inlineStr">
        <is>
          <t>495.0 m²  [TZ:podlaha]</t>
        </is>
      </c>
      <c r="J194" s="9" t="inlineStr">
        <is>
          <t>ABMV:ABMV_10</t>
        </is>
      </c>
    </row>
    <row r="195">
      <c r="A195" s="3" t="inlineStr">
        <is>
          <t>→ Lokální zesílení anchorage zón strojů</t>
        </is>
      </c>
    </row>
    <row r="196">
      <c r="A196" s="4" t="n">
        <v>124</v>
      </c>
      <c r="B196" s="5" t="inlineStr"/>
      <c r="C196" s="4" t="n">
        <v>9</v>
      </c>
      <c r="D196" s="5" t="inlineStr">
        <is>
          <t>PSV-77x</t>
        </is>
      </c>
      <c r="E196" s="5" t="inlineStr">
        <is>
          <t>PSV-77x-003</t>
        </is>
      </c>
      <c r="F196" s="6" t="inlineStr">
        <is>
          <t>Lokální zesílení podlahy v anchorage zónách strojů — vyšší tl. stěrky 8 mm</t>
        </is>
      </c>
      <c r="G196" s="4" t="inlineStr">
        <is>
          <t>m²</t>
        </is>
      </c>
      <c r="H196" s="4" t="n">
        <v>30</v>
      </c>
      <c r="I196" s="6" t="inlineStr">
        <is>
          <t>placeholder ~30 m² (3 stroje × ~10 m² každé anchorage zóna)  [výkres:A107]</t>
        </is>
      </c>
      <c r="J196" s="6" t="inlineStr">
        <is>
          <t>ABMV:ABMV_3,ABMV_16</t>
        </is>
      </c>
    </row>
    <row r="197">
      <c r="A197" s="3" t="inlineStr">
        <is>
          <t>→ Dilatace + lemy + protiskluz</t>
        </is>
      </c>
    </row>
    <row r="198">
      <c r="A198" s="7" t="n">
        <v>125</v>
      </c>
      <c r="B198" s="8" t="inlineStr"/>
      <c r="C198" s="7" t="n">
        <v>9</v>
      </c>
      <c r="D198" s="8" t="inlineStr">
        <is>
          <t>PSV-77x</t>
        </is>
      </c>
      <c r="E198" s="8" t="inlineStr">
        <is>
          <t>PSV-77x-004</t>
        </is>
      </c>
      <c r="F198" s="9" t="inlineStr">
        <is>
          <t>Dilatační lišty podlahy — kovové, řezané spáry á 6 m</t>
        </is>
      </c>
      <c r="G198" s="7" t="inlineStr">
        <is>
          <t>bm</t>
        </is>
      </c>
      <c r="H198" s="7" t="n">
        <v>60</v>
      </c>
      <c r="I198" s="9" t="inlineStr">
        <is>
          <t>placeholder ~60 bm (pole dilatace á 6 m na 495 m² ploše)</t>
        </is>
      </c>
      <c r="J198" s="9" t="inlineStr"/>
    </row>
    <row r="199">
      <c r="A199" s="7" t="n">
        <v>126</v>
      </c>
      <c r="B199" s="8" t="inlineStr"/>
      <c r="C199" s="7" t="n">
        <v>9</v>
      </c>
      <c r="D199" s="8" t="inlineStr">
        <is>
          <t>PSV-77x</t>
        </is>
      </c>
      <c r="E199" s="8" t="inlineStr">
        <is>
          <t>PSV-77x-005</t>
        </is>
      </c>
      <c r="F199" s="9" t="inlineStr">
        <is>
          <t>Lemovací úhelníky podlahy — pozink po obvodu stěrky</t>
        </is>
      </c>
      <c r="G199" s="7" t="inlineStr">
        <is>
          <t>bm</t>
        </is>
      </c>
      <c r="H199" s="7" t="n">
        <v>95</v>
      </c>
      <c r="I199" s="9" t="inlineStr">
        <is>
          <t>obvod desky 95 bm</t>
        </is>
      </c>
      <c r="J199" s="9" t="inlineStr"/>
    </row>
    <row r="200">
      <c r="A200" s="7" t="n">
        <v>127</v>
      </c>
      <c r="B200" s="8" t="inlineStr"/>
      <c r="C200" s="7" t="n">
        <v>9</v>
      </c>
      <c r="D200" s="8" t="inlineStr">
        <is>
          <t>PSV-77x</t>
        </is>
      </c>
      <c r="E200" s="8" t="inlineStr">
        <is>
          <t>PSV-77x-006</t>
        </is>
      </c>
      <c r="F200" s="9" t="inlineStr">
        <is>
          <t>Protiskluzový posyp křemičitým pískem — pro PU variantu</t>
        </is>
      </c>
      <c r="G200" s="7" t="inlineStr">
        <is>
          <t>m²</t>
        </is>
      </c>
      <c r="H200" s="7" t="n">
        <v>495</v>
      </c>
      <c r="I200" s="9" t="inlineStr">
        <is>
          <t>495.0 m² (pokud zvolena PU varianta)</t>
        </is>
      </c>
      <c r="J200" s="9" t="inlineStr">
        <is>
          <t>ABMV:ABMV_10</t>
        </is>
      </c>
    </row>
    <row r="201" ht="22" customHeight="1">
      <c r="A201" s="2" t="inlineStr">
        <is>
          <t>═══ FÁZE 9.5: TZB INSTALACE — VYTÁPĚNÍ ═══</t>
        </is>
      </c>
    </row>
    <row r="202">
      <c r="A202" s="3" t="inlineStr">
        <is>
          <t>→ Doprava topidel + přesun hmot ÚT</t>
        </is>
      </c>
    </row>
    <row r="203">
      <c r="A203" s="4" t="n">
        <v>128</v>
      </c>
      <c r="B203" s="5" t="inlineStr"/>
      <c r="C203" s="4" t="n">
        <v>9.5</v>
      </c>
      <c r="D203" s="5" t="inlineStr">
        <is>
          <t>M-UT</t>
        </is>
      </c>
      <c r="E203" s="5" t="inlineStr">
        <is>
          <t>M-UT-012</t>
        </is>
      </c>
      <c r="F203" s="6" t="inlineStr">
        <is>
          <t>Doprava zařízení + přesun hmot pro M-UT kapitolu</t>
        </is>
      </c>
      <c r="G203" s="4" t="inlineStr">
        <is>
          <t>soubor</t>
        </is>
      </c>
      <c r="H203" s="4" t="n">
        <v>1</v>
      </c>
      <c r="I203" s="6" t="inlineStr">
        <is>
          <t>1 soubor  [TZ:8, document:UT_HalaHK_TZ_DPS.doc, document:UT_HalaHK_TZ_VM_DPS_E.pdf]</t>
        </is>
      </c>
      <c r="J203" s="6" t="inlineStr"/>
    </row>
    <row r="204">
      <c r="A204" s="3" t="inlineStr">
        <is>
          <t>→ Montážní plošina pro práci ve výšce 5 m (ECOSUN)</t>
        </is>
      </c>
    </row>
    <row r="205">
      <c r="A205" s="4" t="n">
        <v>129</v>
      </c>
      <c r="B205" s="5" t="inlineStr"/>
      <c r="C205" s="4" t="n">
        <v>9.5</v>
      </c>
      <c r="D205" s="5" t="inlineStr">
        <is>
          <t>M-UT</t>
        </is>
      </c>
      <c r="E205" s="5" t="inlineStr">
        <is>
          <t>M-UT-009</t>
        </is>
      </c>
      <c r="F205" s="6" t="inlineStr">
        <is>
          <t>Montážní plošina / práce ve výšce pro montáž topidel ve výšce 5 m</t>
        </is>
      </c>
      <c r="G205" s="4" t="inlineStr">
        <is>
          <t>soubor</t>
        </is>
      </c>
      <c r="H205" s="4" t="n">
        <v>1</v>
      </c>
      <c r="I205" s="6" t="inlineStr">
        <is>
          <t>1 soubor  [TZ:8, document:UT_HalaHK_TZ_DPS.doc, document:UT_HalaHK_TZ_VM_DPS_E.pdf]</t>
        </is>
      </c>
      <c r="J205" s="6" t="inlineStr"/>
    </row>
    <row r="206">
      <c r="A206" s="3" t="inlineStr">
        <is>
          <t>→ ECOSUN S+ 12 — dodávka + závěs + montáž na strop haly</t>
        </is>
      </c>
    </row>
    <row r="207">
      <c r="A207" s="4" t="n">
        <v>130</v>
      </c>
      <c r="B207" s="5" t="inlineStr"/>
      <c r="C207" s="4" t="n">
        <v>9.5</v>
      </c>
      <c r="D207" s="5" t="inlineStr">
        <is>
          <t>M-UT</t>
        </is>
      </c>
      <c r="E207" s="5" t="inlineStr">
        <is>
          <t>M-UT-001</t>
        </is>
      </c>
      <c r="F207" s="6" t="inlineStr">
        <is>
          <t>Dodávka el. sálavý panel Fénix ECOSUN S+ 12, 1200 W, č.kat. 5401542</t>
        </is>
      </c>
      <c r="G207" s="4" t="inlineStr">
        <is>
          <t>ks</t>
        </is>
      </c>
      <c r="H207" s="4" t="n">
        <v>20</v>
      </c>
      <c r="I207" s="6" t="inlineStr">
        <is>
          <t>20 ks  [TZ:8, document:UT_HalaHK_TZ_DPS.doc, document:UT_HalaHK_TZ_VM_DPS_E.pdf]</t>
        </is>
      </c>
      <c r="J207" s="6" t="inlineStr"/>
    </row>
    <row r="208">
      <c r="A208" s="10" t="n">
        <v>131</v>
      </c>
      <c r="B208" s="11" t="inlineStr"/>
      <c r="C208" s="10" t="n">
        <v>9.5</v>
      </c>
      <c r="D208" s="11" t="inlineStr">
        <is>
          <t>M-UT</t>
        </is>
      </c>
      <c r="E208" s="11" t="inlineStr">
        <is>
          <t>M-UT-003</t>
        </is>
      </c>
      <c r="F208" s="12" t="inlineStr">
        <is>
          <t>Závěsný materiál pro panely ECOSUN — řetízky prům. délka 5 m/ks</t>
        </is>
      </c>
      <c r="G208" s="10" t="inlineStr">
        <is>
          <t>sada</t>
        </is>
      </c>
      <c r="H208" s="10" t="n">
        <v>20</v>
      </c>
      <c r="I208" s="12" t="inlineStr">
        <is>
          <t>20 sad  [TZ:8, document:UT_HalaHK_TZ_DPS.doc, document:UT_HalaHK_TZ_VM_DPS_E.pdf]</t>
        </is>
      </c>
      <c r="J208" s="12" t="inlineStr"/>
    </row>
    <row r="209">
      <c r="A209" s="4" t="n">
        <v>132</v>
      </c>
      <c r="B209" s="5" t="inlineStr"/>
      <c r="C209" s="4" t="n">
        <v>9.5</v>
      </c>
      <c r="D209" s="5" t="inlineStr">
        <is>
          <t>M-UT</t>
        </is>
      </c>
      <c r="E209" s="5" t="inlineStr">
        <is>
          <t>M-UT-002</t>
        </is>
      </c>
      <c r="F209" s="6" t="inlineStr">
        <is>
          <t>Montáž el. sálavý panel ECOSUN S+ 12 ve výšce 5 m na stropní konstrukci</t>
        </is>
      </c>
      <c r="G209" s="4" t="inlineStr">
        <is>
          <t>ks</t>
        </is>
      </c>
      <c r="H209" s="4" t="n">
        <v>20</v>
      </c>
      <c r="I209" s="6" t="inlineStr">
        <is>
          <t>20 ks  [TZ:8, document:UT_HalaHK_TZ_DPS.doc, document:UT_HalaHK_TZ_VM_DPS_E.pdf]</t>
        </is>
      </c>
      <c r="J209" s="6" t="inlineStr"/>
    </row>
    <row r="210">
      <c r="A210" s="3" t="inlineStr">
        <is>
          <t>→ Dalap E-HP 9 kW — dodávka + montáž v rozích haly</t>
        </is>
      </c>
    </row>
    <row r="211">
      <c r="A211" s="4" t="n">
        <v>133</v>
      </c>
      <c r="B211" s="5" t="inlineStr"/>
      <c r="C211" s="4" t="n">
        <v>9.5</v>
      </c>
      <c r="D211" s="5" t="inlineStr">
        <is>
          <t>M-UT</t>
        </is>
      </c>
      <c r="E211" s="5" t="inlineStr">
        <is>
          <t>M-UT-004</t>
        </is>
      </c>
      <c r="F211" s="6" t="inlineStr">
        <is>
          <t>Dodávka nástěnný el. ohřívač s ventilátorem Dalap E-HP 9 kW</t>
        </is>
      </c>
      <c r="G211" s="4" t="inlineStr">
        <is>
          <t>ks</t>
        </is>
      </c>
      <c r="H211" s="4" t="n">
        <v>4</v>
      </c>
      <c r="I211" s="6" t="inlineStr">
        <is>
          <t>4 ks  [TZ:8, document:UT_HalaHK_TZ_DPS.doc, document:UT_HalaHK_TZ_VM_DPS_E.pdf]</t>
        </is>
      </c>
      <c r="J211" s="6" t="inlineStr"/>
    </row>
    <row r="212">
      <c r="A212" s="10" t="n">
        <v>134</v>
      </c>
      <c r="B212" s="11" t="inlineStr"/>
      <c r="C212" s="10" t="n">
        <v>9.5</v>
      </c>
      <c r="D212" s="11" t="inlineStr">
        <is>
          <t>M-UT</t>
        </is>
      </c>
      <c r="E212" s="11" t="inlineStr">
        <is>
          <t>M-UT-005</t>
        </is>
      </c>
      <c r="F212" s="12" t="inlineStr">
        <is>
          <t>Montáž nástěnný el. ohřívač Dalap E-HP 9 kW v rozích haly</t>
        </is>
      </c>
      <c r="G212" s="10" t="inlineStr">
        <is>
          <t>ks</t>
        </is>
      </c>
      <c r="H212" s="10" t="n">
        <v>4</v>
      </c>
      <c r="I212" s="12" t="inlineStr">
        <is>
          <t>4 ks  [TZ:8, document:UT_HalaHK_TZ_DPS.doc, document:UT_HalaHK_TZ_VM_DPS_E.pdf]</t>
        </is>
      </c>
      <c r="J212" s="12" t="inlineStr"/>
    </row>
    <row r="213">
      <c r="A213" s="3" t="inlineStr">
        <is>
          <t>→ Regulace — UET 15D + prostorové termostaty</t>
        </is>
      </c>
    </row>
    <row r="214">
      <c r="A214" s="4" t="n">
        <v>135</v>
      </c>
      <c r="B214" s="5" t="inlineStr"/>
      <c r="C214" s="4" t="n">
        <v>9.5</v>
      </c>
      <c r="D214" s="5" t="inlineStr">
        <is>
          <t>M-UT</t>
        </is>
      </c>
      <c r="E214" s="5" t="inlineStr">
        <is>
          <t>M-UT-006</t>
        </is>
      </c>
      <c r="F214" s="6" t="inlineStr">
        <is>
          <t>Dodávka + osazení řídicí jednotka UET 15D pro Dalap</t>
        </is>
      </c>
      <c r="G214" s="4" t="inlineStr">
        <is>
          <t>ks</t>
        </is>
      </c>
      <c r="H214" s="4" t="n">
        <v>4</v>
      </c>
      <c r="I214" s="6" t="inlineStr">
        <is>
          <t>4 ks  [TZ:8, document:UT_HalaHK_TZ_DPS.doc, document:UT_HalaHK_TZ_VM_DPS_E.pdf]</t>
        </is>
      </c>
      <c r="J214" s="6" t="inlineStr"/>
    </row>
    <row r="215">
      <c r="A215" s="10" t="n">
        <v>136</v>
      </c>
      <c r="B215" s="11" t="inlineStr"/>
      <c r="C215" s="10" t="n">
        <v>9.5</v>
      </c>
      <c r="D215" s="11" t="inlineStr">
        <is>
          <t>M-UT</t>
        </is>
      </c>
      <c r="E215" s="11" t="inlineStr">
        <is>
          <t>M-UT-007</t>
        </is>
      </c>
      <c r="F215" s="12" t="inlineStr">
        <is>
          <t>Dodávka + osazení prostorový termostat</t>
        </is>
      </c>
      <c r="G215" s="10" t="inlineStr">
        <is>
          <t>ks</t>
        </is>
      </c>
      <c r="H215" s="10" t="n">
        <v>8</v>
      </c>
      <c r="I215" s="12" t="inlineStr">
        <is>
          <t>4 + 4 = 8 ks  [TZ:8, document:UT_HalaHK_TZ_DPS.doc, document:UT_HalaHK_TZ_VM_DPS_E.pdf]</t>
        </is>
      </c>
      <c r="J215" s="12" t="inlineStr"/>
    </row>
    <row r="216">
      <c r="A216" s="3" t="inlineStr">
        <is>
          <t>→ Pomocný montážní + kotevní materiál ÚT</t>
        </is>
      </c>
    </row>
    <row r="217">
      <c r="A217" s="4" t="n">
        <v>137</v>
      </c>
      <c r="B217" s="5" t="inlineStr"/>
      <c r="C217" s="4" t="n">
        <v>9.5</v>
      </c>
      <c r="D217" s="5" t="inlineStr">
        <is>
          <t>M-UT</t>
        </is>
      </c>
      <c r="E217" s="5" t="inlineStr">
        <is>
          <t>M-UT-008</t>
        </is>
      </c>
      <c r="F217" s="6" t="inlineStr">
        <is>
          <t>Pomocný montážní + kotevní materiál ÚT</t>
        </is>
      </c>
      <c r="G217" s="4" t="inlineStr">
        <is>
          <t>soubor</t>
        </is>
      </c>
      <c r="H217" s="4" t="n">
        <v>1</v>
      </c>
      <c r="I217" s="6" t="inlineStr">
        <is>
          <t>1 soubor  [TZ:8, document:UT_HalaHK_TZ_DPS.doc, document:UT_HalaHK_TZ_VM_DPS_E.pdf]</t>
        </is>
      </c>
      <c r="J217" s="6" t="inlineStr"/>
    </row>
    <row r="218">
      <c r="A218" s="3" t="inlineStr">
        <is>
          <t>→ Funkční zkouška + nastavení systému vytápění</t>
        </is>
      </c>
    </row>
    <row r="219">
      <c r="A219" s="4" t="n">
        <v>138</v>
      </c>
      <c r="B219" s="5" t="inlineStr"/>
      <c r="C219" s="4" t="n">
        <v>9.5</v>
      </c>
      <c r="D219" s="5" t="inlineStr">
        <is>
          <t>M-UT</t>
        </is>
      </c>
      <c r="E219" s="5" t="inlineStr">
        <is>
          <t>M-UT-010</t>
        </is>
      </c>
      <c r="F219" s="6" t="inlineStr">
        <is>
          <t>Funkční zkouška + nastavení systému vytápění</t>
        </is>
      </c>
      <c r="G219" s="4" t="inlineStr">
        <is>
          <t>soubor</t>
        </is>
      </c>
      <c r="H219" s="4" t="n">
        <v>1</v>
      </c>
      <c r="I219" s="6" t="inlineStr">
        <is>
          <t>1 soubor  [TZ:8, document:UT_HalaHK_TZ_DPS.doc, document:UT_HalaHK_TZ_VM_DPS_E.pdf]</t>
        </is>
      </c>
      <c r="J219" s="6" t="inlineStr"/>
    </row>
    <row r="220">
      <c r="A220" s="3" t="inlineStr">
        <is>
          <t>→ Předání dokumentace + zaškolení obsluhy ÚT</t>
        </is>
      </c>
    </row>
    <row r="221">
      <c r="A221" s="4" t="n">
        <v>139</v>
      </c>
      <c r="B221" s="5" t="inlineStr"/>
      <c r="C221" s="4" t="n">
        <v>9.5</v>
      </c>
      <c r="D221" s="5" t="inlineStr">
        <is>
          <t>M-UT</t>
        </is>
      </c>
      <c r="E221" s="5" t="inlineStr">
        <is>
          <t>M-UT-011</t>
        </is>
      </c>
      <c r="F221" s="6" t="inlineStr">
        <is>
          <t>Předání dokumentace + zaškolení obsluhy</t>
        </is>
      </c>
      <c r="G221" s="4" t="inlineStr">
        <is>
          <t>soubor</t>
        </is>
      </c>
      <c r="H221" s="4" t="n">
        <v>1</v>
      </c>
      <c r="I221" s="6" t="inlineStr">
        <is>
          <t>1 soubor  [TZ:8, document:UT_HalaHK_TZ_DPS.doc, document:UT_HalaHK_TZ_VM_DPS_E.pdf]</t>
        </is>
      </c>
      <c r="J221" s="6" t="inlineStr"/>
    </row>
    <row r="222" ht="22" customHeight="1">
      <c r="A222" s="2" t="inlineStr">
        <is>
          <t>═══ FÁZE 10: OSTATNÍ + PŘESUN HMOT ═══</t>
        </is>
      </c>
    </row>
    <row r="223">
      <c r="A223" s="3" t="inlineStr">
        <is>
          <t>→ Přesun hmot HSV vodorovně</t>
        </is>
      </c>
    </row>
    <row r="224">
      <c r="A224" s="4" t="n">
        <v>140</v>
      </c>
      <c r="B224" s="5" t="inlineStr"/>
      <c r="C224" s="4" t="n">
        <v>10</v>
      </c>
      <c r="D224" s="5" t="inlineStr">
        <is>
          <t>HSV-9</t>
        </is>
      </c>
      <c r="E224" s="5" t="inlineStr">
        <is>
          <t>HSV-9-001</t>
        </is>
      </c>
      <c r="F224" s="6" t="inlineStr">
        <is>
          <t>Přesun hmot HSV vodorovně — beton, výztuž, ocel, klempířina</t>
        </is>
      </c>
      <c r="G224" s="4" t="inlineStr">
        <is>
          <t>t·km</t>
        </is>
      </c>
      <c r="H224" s="4" t="n">
        <v>200</v>
      </c>
      <c r="I224" s="6" t="inlineStr">
        <is>
          <t>placeholder 200 t·km (in-site přesuny, default)</t>
        </is>
      </c>
      <c r="J224" s="6" t="inlineStr"/>
    </row>
    <row r="225">
      <c r="A225" s="3" t="inlineStr">
        <is>
          <t>→ Doprava materiálu na stavbu — paušál</t>
        </is>
      </c>
    </row>
    <row r="226">
      <c r="A226" s="4" t="n">
        <v>141</v>
      </c>
      <c r="B226" s="5" t="inlineStr"/>
      <c r="C226" s="4" t="n">
        <v>10</v>
      </c>
      <c r="D226" s="5" t="inlineStr">
        <is>
          <t>VRN</t>
        </is>
      </c>
      <c r="E226" s="5" t="inlineStr">
        <is>
          <t>VRN-013</t>
        </is>
      </c>
      <c r="F226" s="6" t="inlineStr">
        <is>
          <t>Doprava materiálu na stavbu vodorovně — paušál pro veškerou montáž</t>
        </is>
      </c>
      <c r="G226" s="4" t="inlineStr">
        <is>
          <t>t·km</t>
        </is>
      </c>
      <c r="H226" s="4" t="n">
        <v>1500</v>
      </c>
      <c r="I226" s="6" t="inlineStr">
        <is>
          <t>placeholder ~1500 t·km (30 t materiálů × 50 km)</t>
        </is>
      </c>
      <c r="J226" s="6" t="inlineStr"/>
    </row>
    <row r="227" ht="22" customHeight="1">
      <c r="A227" s="2" t="inlineStr">
        <is>
          <t>═══ FÁZE 11: DOKONČENÍ + REVIZE + ODEVZDÁNÍ ═══</t>
        </is>
      </c>
    </row>
    <row r="228">
      <c r="A228" s="3" t="inlineStr">
        <is>
          <t>→ Revize TZB (elektro, hydrant, hromosvod)</t>
        </is>
      </c>
    </row>
    <row r="229">
      <c r="A229" s="7" t="n">
        <v>142</v>
      </c>
      <c r="B229" s="8" t="inlineStr"/>
      <c r="C229" s="7" t="n">
        <v>11</v>
      </c>
      <c r="D229" s="8" t="inlineStr">
        <is>
          <t>VRN</t>
        </is>
      </c>
      <c r="E229" s="8" t="inlineStr">
        <is>
          <t>VRN-020</t>
        </is>
      </c>
      <c r="F229" s="9" t="inlineStr">
        <is>
          <t>Revize elektroinstalace + protokol</t>
        </is>
      </c>
      <c r="G229" s="7" t="inlineStr">
        <is>
          <t>paušál</t>
        </is>
      </c>
      <c r="H229" s="7" t="n">
        <v>1</v>
      </c>
      <c r="I229" s="9" t="inlineStr">
        <is>
          <t>paušál (Rožmitál 00523 R precedent)  [csn]</t>
        </is>
      </c>
      <c r="J229" s="9" t="inlineStr"/>
    </row>
    <row r="230">
      <c r="A230" s="7" t="n">
        <v>143</v>
      </c>
      <c r="B230" s="8" t="inlineStr"/>
      <c r="C230" s="7" t="n">
        <v>11</v>
      </c>
      <c r="D230" s="8" t="inlineStr">
        <is>
          <t>VRN</t>
        </is>
      </c>
      <c r="E230" s="8" t="inlineStr">
        <is>
          <t>VRN-021</t>
        </is>
      </c>
      <c r="F230" s="9" t="inlineStr">
        <is>
          <t>Revize hydrantového systému + tlaková zkouška</t>
        </is>
      </c>
      <c r="G230" s="7" t="inlineStr">
        <is>
          <t>paušál</t>
        </is>
      </c>
      <c r="H230" s="7" t="n">
        <v>1</v>
      </c>
      <c r="I230" s="9" t="inlineStr">
        <is>
          <t>paušál  [csn]</t>
        </is>
      </c>
      <c r="J230" s="9" t="inlineStr"/>
    </row>
    <row r="231">
      <c r="A231" s="7" t="n">
        <v>144</v>
      </c>
      <c r="B231" s="8" t="inlineStr"/>
      <c r="C231" s="7" t="n">
        <v>11</v>
      </c>
      <c r="D231" s="8" t="inlineStr">
        <is>
          <t>VRN</t>
        </is>
      </c>
      <c r="E231" s="8" t="inlineStr">
        <is>
          <t>VRN-022</t>
        </is>
      </c>
      <c r="F231" s="9" t="inlineStr">
        <is>
          <t>Revize hromosvodu / LPS — měření ekvipotenciality, zemniče, svody</t>
        </is>
      </c>
      <c r="G231" s="7" t="inlineStr">
        <is>
          <t>paušál</t>
        </is>
      </c>
      <c r="H231" s="7" t="n">
        <v>1</v>
      </c>
      <c r="I231" s="9" t="inlineStr">
        <is>
          <t>paušál  [csn]</t>
        </is>
      </c>
      <c r="J231" s="9" t="inlineStr"/>
    </row>
    <row r="232">
      <c r="A232" s="3" t="inlineStr">
        <is>
          <t>→ Likvidace odpadů O + N</t>
        </is>
      </c>
    </row>
    <row r="233">
      <c r="A233" s="4" t="n">
        <v>145</v>
      </c>
      <c r="B233" s="5" t="inlineStr"/>
      <c r="C233" s="4" t="n">
        <v>11</v>
      </c>
      <c r="D233" s="5" t="inlineStr">
        <is>
          <t>VRN</t>
        </is>
      </c>
      <c r="E233" s="5" t="inlineStr">
        <is>
          <t>VRN-011</t>
        </is>
      </c>
      <c r="F233" s="6" t="inlineStr">
        <is>
          <t>Likvidace odpadů kategorie O (běžný) — kontejner + odvoz + skládkovné</t>
        </is>
      </c>
      <c r="G233" s="4" t="inlineStr">
        <is>
          <t>m³</t>
        </is>
      </c>
      <c r="H233" s="4" t="n">
        <v>30</v>
      </c>
      <c r="I233" s="6" t="inlineStr">
        <is>
          <t>placeholder ~30 m³ stavebního odpadu kat. O</t>
        </is>
      </c>
      <c r="J233" s="6" t="inlineStr"/>
    </row>
    <row r="234">
      <c r="A234" s="7" t="n">
        <v>146</v>
      </c>
      <c r="B234" s="8" t="inlineStr"/>
      <c r="C234" s="7" t="n">
        <v>11</v>
      </c>
      <c r="D234" s="8" t="inlineStr">
        <is>
          <t>VRN</t>
        </is>
      </c>
      <c r="E234" s="8" t="inlineStr">
        <is>
          <t>VRN-012</t>
        </is>
      </c>
      <c r="F234" s="9" t="inlineStr">
        <is>
          <t>Likvidace odpadů kategorie N (nebezpečné — barvy, oleje, tmely)</t>
        </is>
      </c>
      <c r="G234" s="7" t="inlineStr">
        <is>
          <t>m³</t>
        </is>
      </c>
      <c r="H234" s="7" t="n">
        <v>2</v>
      </c>
      <c r="I234" s="9" t="inlineStr">
        <is>
          <t>placeholder ~2 m³ kat. N</t>
        </is>
      </c>
      <c r="J234" s="9" t="inlineStr"/>
    </row>
    <row r="235">
      <c r="A235" s="3" t="inlineStr">
        <is>
          <t>→ Geodetické zaměření DSPS</t>
        </is>
      </c>
    </row>
    <row r="236">
      <c r="A236" s="4" t="n">
        <v>147</v>
      </c>
      <c r="B236" s="5" t="inlineStr"/>
      <c r="C236" s="4" t="n">
        <v>11</v>
      </c>
      <c r="D236" s="5" t="inlineStr">
        <is>
          <t>VRN</t>
        </is>
      </c>
      <c r="E236" s="5" t="inlineStr">
        <is>
          <t>VRN-015</t>
        </is>
      </c>
      <c r="F236" s="6" t="inlineStr">
        <is>
          <t>Geodetické zaměření skutečného provedení (DSPS) — po dokončení stavby</t>
        </is>
      </c>
      <c r="G236" s="4" t="inlineStr">
        <is>
          <t>paušál</t>
        </is>
      </c>
      <c r="H236" s="4" t="n">
        <v>1</v>
      </c>
      <c r="I236" s="6" t="inlineStr">
        <is>
          <t>paušál</t>
        </is>
      </c>
      <c r="J236" s="6" t="inlineStr"/>
    </row>
    <row r="237">
      <c r="A237" s="3" t="inlineStr">
        <is>
          <t>→ Předávací protokoly + kolaudace</t>
        </is>
      </c>
    </row>
    <row r="238">
      <c r="A238" s="7" t="n">
        <v>148</v>
      </c>
      <c r="B238" s="8" t="inlineStr"/>
      <c r="C238" s="7" t="n">
        <v>11</v>
      </c>
      <c r="D238" s="8" t="inlineStr">
        <is>
          <t>VRN</t>
        </is>
      </c>
      <c r="E238" s="8" t="inlineStr">
        <is>
          <t>VRN-018</t>
        </is>
      </c>
      <c r="F238" s="9" t="inlineStr">
        <is>
          <t>Předávací protokoly + dokumentace skutečného provedení (DSPS)</t>
        </is>
      </c>
      <c r="G238" s="7" t="inlineStr">
        <is>
          <t>paušál</t>
        </is>
      </c>
      <c r="H238" s="7" t="n">
        <v>1</v>
      </c>
      <c r="I238" s="9" t="inlineStr">
        <is>
          <t>paušál</t>
        </is>
      </c>
      <c r="J238" s="9" t="inlineStr"/>
    </row>
    <row r="239">
      <c r="A239" s="7" t="n">
        <v>149</v>
      </c>
      <c r="B239" s="8" t="inlineStr"/>
      <c r="C239" s="7" t="n">
        <v>11</v>
      </c>
      <c r="D239" s="8" t="inlineStr">
        <is>
          <t>VRN</t>
        </is>
      </c>
      <c r="E239" s="8" t="inlineStr">
        <is>
          <t>VRN-019</t>
        </is>
      </c>
      <c r="F239" s="9" t="inlineStr">
        <is>
          <t>Kolaudační řízení — příprava + účast na jednání + revize dokumentace</t>
        </is>
      </c>
      <c r="G239" s="7" t="inlineStr">
        <is>
          <t>paušál</t>
        </is>
      </c>
      <c r="H239" s="7" t="n">
        <v>1</v>
      </c>
      <c r="I239" s="9" t="inlineStr">
        <is>
          <t>paušál</t>
        </is>
      </c>
      <c r="J239" s="9" t="inlineStr"/>
    </row>
    <row r="240">
      <c r="A240" s="3" t="inlineStr">
        <is>
          <t>→ Náhradní výsadba dřevin (po dokončení)</t>
        </is>
      </c>
    </row>
    <row r="241">
      <c r="A241" s="4" t="n">
        <v>150</v>
      </c>
      <c r="B241" s="5" t="inlineStr"/>
      <c r="C241" s="4" t="n">
        <v>11</v>
      </c>
      <c r="D241" s="5" t="inlineStr">
        <is>
          <t>HSV-1</t>
        </is>
      </c>
      <c r="E241" s="5" t="inlineStr">
        <is>
          <t>HSV-1-024</t>
        </is>
      </c>
      <c r="F241" s="6" t="inlineStr">
        <is>
          <t>Náhradní výsadba dřevin per rozhodnutí orgánu životního prostředí</t>
        </is>
      </c>
      <c r="G241" s="4" t="inlineStr">
        <is>
          <t>ks</t>
        </is>
      </c>
      <c r="H241" s="4" t="n">
        <v>2</v>
      </c>
      <c r="I241" s="6" t="inlineStr">
        <is>
          <t>2 ks (per TZ B m.7.b náhradní výsadba)  [TZ:7.b]</t>
        </is>
      </c>
      <c r="J241" s="6" t="inlineStr"/>
    </row>
    <row r="242" ht="22" customHeight="1">
      <c r="A242" s="2" t="inlineStr">
        <is>
          <t>═══ FÁZE 12: VENKOVNÍ ÚPRAVY (SO-13) ═══</t>
        </is>
      </c>
    </row>
    <row r="243">
      <c r="A243" s="3" t="inlineStr">
        <is>
          <t>→ Externí přípojky — výkop + potrubí (paralelně se ZS)</t>
        </is>
      </c>
    </row>
    <row r="244">
      <c r="A244" s="4" t="n">
        <v>151</v>
      </c>
      <c r="B244" s="5" t="inlineStr"/>
      <c r="C244" s="4" t="n">
        <v>12</v>
      </c>
      <c r="D244" s="5" t="inlineStr">
        <is>
          <t>M-VK</t>
        </is>
      </c>
      <c r="E244" s="5" t="inlineStr">
        <is>
          <t>M-VK-005</t>
        </is>
      </c>
      <c r="F244" s="6" t="inlineStr">
        <is>
          <t>Přípojka kanalizace dešťové KG PVC SN8 DN200 — potrubí + uložení v pískovém loži + zásyp + napojení</t>
        </is>
      </c>
      <c r="G244" s="4" t="inlineStr">
        <is>
          <t>m</t>
        </is>
      </c>
      <c r="H244" s="4" t="n">
        <v>40</v>
      </c>
      <c r="I244" s="6" t="inlineStr">
        <is>
          <t>40 m  [document:C.3 KOO situace, document:A101 půdorys 1NP, document:A103 řez A-B]</t>
        </is>
      </c>
      <c r="J244" s="6" t="inlineStr"/>
    </row>
    <row r="245">
      <c r="A245" s="10" t="n">
        <v>152</v>
      </c>
      <c r="B245" s="11" t="inlineStr"/>
      <c r="C245" s="10" t="n">
        <v>12</v>
      </c>
      <c r="D245" s="11" t="inlineStr">
        <is>
          <t>M-VK</t>
        </is>
      </c>
      <c r="E245" s="11" t="inlineStr">
        <is>
          <t>M-VK-006</t>
        </is>
      </c>
      <c r="F245" s="12" t="inlineStr">
        <is>
          <t>Přípojka kanalizace splaškové KG PVC SN8 DN150 — potrubí + uložení + zásyp + napojení</t>
        </is>
      </c>
      <c r="G245" s="10" t="inlineStr">
        <is>
          <t>m</t>
        </is>
      </c>
      <c r="H245" s="10" t="n">
        <v>30</v>
      </c>
      <c r="I245" s="12" t="inlineStr">
        <is>
          <t>30 m  [document:C.3 KOO situace, document:A101 půdorys 1NP, document:A103 řez A-B]</t>
        </is>
      </c>
      <c r="J245" s="12" t="inlineStr"/>
    </row>
    <row r="246">
      <c r="A246" s="4" t="n">
        <v>153</v>
      </c>
      <c r="B246" s="5" t="inlineStr"/>
      <c r="C246" s="4" t="n">
        <v>12</v>
      </c>
      <c r="D246" s="5" t="inlineStr">
        <is>
          <t>M-VK</t>
        </is>
      </c>
      <c r="E246" s="5" t="inlineStr">
        <is>
          <t>M-VK-008</t>
        </is>
      </c>
      <c r="F246" s="6" t="inlineStr">
        <is>
          <t>Přípojka NN — chránička HDPE Ø110 mm + pomocné výkopy + pískové lože + zásyp + výstražná páska</t>
        </is>
      </c>
      <c r="G246" s="4" t="inlineStr">
        <is>
          <t>m</t>
        </is>
      </c>
      <c r="H246" s="4" t="n">
        <v>40</v>
      </c>
      <c r="I246" s="6" t="inlineStr">
        <is>
          <t>40 m  [document:C.3 KOO situace, document:A101 půdorys 1NP, document:A103 řez A-B]</t>
        </is>
      </c>
      <c r="J246" s="6" t="inlineStr"/>
    </row>
    <row r="247">
      <c r="A247" s="10" t="n">
        <v>154</v>
      </c>
      <c r="B247" s="11" t="inlineStr"/>
      <c r="C247" s="10" t="n">
        <v>12</v>
      </c>
      <c r="D247" s="11" t="inlineStr">
        <is>
          <t>M-VK</t>
        </is>
      </c>
      <c r="E247" s="11" t="inlineStr">
        <is>
          <t>M-VK-007</t>
        </is>
      </c>
      <c r="F247" s="12" t="inlineStr">
        <is>
          <t>Revizní šachta betonová Ø1000 mm, h ~1.5-2.0 m, vč. poklopu litinového B125 a vnitřních stupadel</t>
        </is>
      </c>
      <c r="G247" s="10" t="inlineStr">
        <is>
          <t>ks</t>
        </is>
      </c>
      <c r="H247" s="10" t="n">
        <v>3</v>
      </c>
      <c r="I247" s="12" t="inlineStr">
        <is>
          <t>3 ks  [document:C.3 KOO situace, document:A101 půdorys 1NP, document:A103 řez A-B]</t>
        </is>
      </c>
      <c r="J247" s="12" t="inlineStr"/>
    </row>
    <row r="248">
      <c r="A248" s="3" t="inlineStr">
        <is>
          <t>→ Přeložka vodovodního řadu (PODMÍNĚNÁ — pending ABMV_23)</t>
        </is>
      </c>
    </row>
    <row r="249">
      <c r="A249" s="7" t="n">
        <v>155</v>
      </c>
      <c r="B249" s="8" t="inlineStr"/>
      <c r="C249" s="7" t="n">
        <v>12</v>
      </c>
      <c r="D249" s="8" t="inlineStr">
        <is>
          <t>M-VK</t>
        </is>
      </c>
      <c r="E249" s="8" t="inlineStr">
        <is>
          <t>M-VK-009</t>
        </is>
      </c>
      <c r="F249" s="9" t="inlineStr">
        <is>
          <t>Přeložka stávajícího vodovodního řadu (rerouting) — kompletní práce vč. potrubí, výkop, napojení, tlakové zkoušky</t>
        </is>
      </c>
      <c r="G249" s="7" t="inlineStr">
        <is>
          <t>kpl</t>
        </is>
      </c>
      <c r="H249" s="7" t="n">
        <v>1</v>
      </c>
      <c r="I249" s="9" t="inlineStr">
        <is>
          <t>1 kpl  [document:C.3 KOO situace, document:A101 půdorys 1NP, document:A103 řez A-B]</t>
        </is>
      </c>
      <c r="J249" s="9" t="inlineStr">
        <is>
          <t>ABMV:ABMV_23</t>
        </is>
      </c>
    </row>
    <row r="250">
      <c r="A250" s="3" t="inlineStr">
        <is>
          <t>→ Retenční nádrž 30 m³ prefab betonová (pending ABMV_24)</t>
        </is>
      </c>
    </row>
    <row r="251">
      <c r="A251" s="4" t="n">
        <v>156</v>
      </c>
      <c r="B251" s="5" t="inlineStr"/>
      <c r="C251" s="4" t="n">
        <v>12</v>
      </c>
      <c r="D251" s="5" t="inlineStr">
        <is>
          <t>M-VK</t>
        </is>
      </c>
      <c r="E251" s="5" t="inlineStr">
        <is>
          <t>M-VK-011</t>
        </is>
      </c>
      <c r="F251" s="6" t="inlineStr">
        <is>
          <t>Retenční nádrž 30 m³ — prefabrikovaná betonová, rozměry 6.15×2.75×2.0 m, vč. usazení do připraveného výkopu a napojení na dešťovou kanalizaci</t>
        </is>
      </c>
      <c r="G251" s="4" t="inlineStr">
        <is>
          <t>ks</t>
        </is>
      </c>
      <c r="H251" s="4" t="n">
        <v>1</v>
      </c>
      <c r="I251" s="6" t="inlineStr">
        <is>
          <t>1 ks prefab  [document:C.3 KOO situace, document:A101 půdorys 1NP, document:A103 řez A-B]</t>
        </is>
      </c>
      <c r="J251" s="6" t="inlineStr">
        <is>
          <t>ABMV:ABMV_24</t>
        </is>
      </c>
    </row>
    <row r="252">
      <c r="A252" s="3" t="inlineStr">
        <is>
          <t>→ Hydrant podzemní DN80 + napojení</t>
        </is>
      </c>
    </row>
    <row r="253">
      <c r="A253" s="4" t="n">
        <v>157</v>
      </c>
      <c r="B253" s="5" t="inlineStr"/>
      <c r="C253" s="4" t="n">
        <v>12</v>
      </c>
      <c r="D253" s="5" t="inlineStr">
        <is>
          <t>M-VK</t>
        </is>
      </c>
      <c r="E253" s="5" t="inlineStr">
        <is>
          <t>M-VK-010</t>
        </is>
      </c>
      <c r="F253" s="6" t="inlineStr">
        <is>
          <t>Hydrant podzemní DN80 vč. uzávěru, šoupátka, zemní soupravy, poklopu litinového a napojení na vodovodní řad</t>
        </is>
      </c>
      <c r="G253" s="4" t="inlineStr">
        <is>
          <t>ks</t>
        </is>
      </c>
      <c r="H253" s="4" t="n">
        <v>1</v>
      </c>
      <c r="I253" s="6" t="inlineStr">
        <is>
          <t>1 ks  [document:C.3 KOO situace, document:A101 půdorys 1NP, document:A103 řez A-B]</t>
        </is>
      </c>
      <c r="J253" s="6" t="inlineStr"/>
    </row>
    <row r="254">
      <c r="A254" s="3" t="inlineStr">
        <is>
          <t>→ Rampy 4× (R1-R4) — podklad ŠD + výztuž + bednění + beton + obrubník</t>
        </is>
      </c>
    </row>
    <row r="255">
      <c r="A255" s="4" t="n">
        <v>158</v>
      </c>
      <c r="B255" s="5" t="inlineStr"/>
      <c r="C255" s="4" t="n">
        <v>12</v>
      </c>
      <c r="D255" s="5" t="inlineStr">
        <is>
          <t>M-VK</t>
        </is>
      </c>
      <c r="E255" s="5" t="inlineStr">
        <is>
          <t>M-VK-003</t>
        </is>
      </c>
      <c r="F255" s="6" t="inlineStr">
        <is>
          <t>Drcený štěrk ŠD 32/63 podklad rampy + okapní pas tl 200 mm</t>
        </is>
      </c>
      <c r="G255" s="4" t="inlineStr">
        <is>
          <t>m³</t>
        </is>
      </c>
      <c r="H255" s="4" t="n">
        <v>8.66</v>
      </c>
      <c r="I255" s="6" t="inlineStr">
        <is>
          <t>43.32 × 0.20 = 8.66 m³  [document:C.3 KOO situace, document:A101 půdorys 1NP, document:A103 řez A-B]</t>
        </is>
      </c>
      <c r="J255" s="6" t="inlineStr"/>
    </row>
    <row r="256">
      <c r="A256" s="10" t="n">
        <v>159</v>
      </c>
      <c r="B256" s="11" t="inlineStr"/>
      <c r="C256" s="10" t="n">
        <v>12</v>
      </c>
      <c r="D256" s="11" t="inlineStr">
        <is>
          <t>M-VK</t>
        </is>
      </c>
      <c r="E256" s="11" t="inlineStr">
        <is>
          <t>M-VK-002</t>
        </is>
      </c>
      <c r="F256" s="12" t="inlineStr">
        <is>
          <t>Výztuž KARI síť Q188 + bednění boční rampy 4 lokality</t>
        </is>
      </c>
      <c r="G256" s="10" t="inlineStr">
        <is>
          <t>m²</t>
        </is>
      </c>
      <c r="H256" s="10" t="n">
        <v>43.32</v>
      </c>
      <c r="I256" s="12" t="inlineStr">
        <is>
          <t>4 lokality rampy = 43.32 m²  [document:C.3 KOO situace, document:A101 půdorys 1NP, document:A103 řez A-B]</t>
        </is>
      </c>
      <c r="J256" s="12" t="inlineStr"/>
    </row>
    <row r="257">
      <c r="A257" s="4" t="n">
        <v>160</v>
      </c>
      <c r="B257" s="5" t="inlineStr"/>
      <c r="C257" s="4" t="n">
        <v>12</v>
      </c>
      <c r="D257" s="5" t="inlineStr">
        <is>
          <t>M-VK</t>
        </is>
      </c>
      <c r="E257" s="5" t="inlineStr">
        <is>
          <t>M-VK-001</t>
        </is>
      </c>
      <c r="F257" s="6" t="inlineStr">
        <is>
          <t>Beton C25/30 XF3 — vstupní/nájezdové rampy tl 150 mm, 4 lokality (R1 sever, R2+R3 jih, R4 západ bezbariérová)</t>
        </is>
      </c>
      <c r="G257" s="4" t="inlineStr">
        <is>
          <t>m³</t>
        </is>
      </c>
      <c r="H257" s="4" t="n">
        <v>6.5</v>
      </c>
      <c r="I257" s="6" t="inlineStr">
        <is>
          <t>(9.2+11.5+9.2+13.42) × 0.15 = 6.50 m³  [document:C.3 KOO situace, document:A101 půdorys 1NP, document:A103 řez A-B]</t>
        </is>
      </c>
      <c r="J257" s="6" t="inlineStr"/>
    </row>
    <row r="258">
      <c r="A258" s="10" t="n">
        <v>161</v>
      </c>
      <c r="B258" s="11" t="inlineStr"/>
      <c r="C258" s="10" t="n">
        <v>12</v>
      </c>
      <c r="D258" s="11" t="inlineStr">
        <is>
          <t>M-VK</t>
        </is>
      </c>
      <c r="E258" s="11" t="inlineStr">
        <is>
          <t>M-VK-004</t>
        </is>
      </c>
      <c r="F258" s="12" t="inlineStr">
        <is>
          <t>Obrubník betonový ABO 100×250×1000 kolem ramp + lůžko z betonu C16/20</t>
        </is>
      </c>
      <c r="G258" s="10" t="inlineStr">
        <is>
          <t>m</t>
        </is>
      </c>
      <c r="H258" s="10" t="n">
        <v>30</v>
      </c>
      <c r="I258" s="12" t="inlineStr">
        <is>
          <t>~30.0 m  [document:C.3 KOO situace, document:A101 půdorys 1NP, document:A103 řez A-B]</t>
        </is>
      </c>
      <c r="J258" s="12" t="inlineStr"/>
    </row>
    <row r="259">
      <c r="A259" s="3" t="inlineStr">
        <is>
          <t>→ Zpevněné plochy — podklad ŠD + asfalt + obrubník + napojení</t>
        </is>
      </c>
    </row>
    <row r="260">
      <c r="A260" s="4" t="n">
        <v>162</v>
      </c>
      <c r="B260" s="5" t="inlineStr"/>
      <c r="C260" s="4" t="n">
        <v>12</v>
      </c>
      <c r="D260" s="5" t="inlineStr">
        <is>
          <t>M-VK</t>
        </is>
      </c>
      <c r="E260" s="5" t="inlineStr">
        <is>
          <t>M-VK-013</t>
        </is>
      </c>
      <c r="F260" s="6" t="inlineStr">
        <is>
          <t>Drcené kamenivo ŠD 32/63 podklad zpevněných ploch tl 200 mm</t>
        </is>
      </c>
      <c r="G260" s="4" t="inlineStr">
        <is>
          <t>m³</t>
        </is>
      </c>
      <c r="H260" s="4" t="n">
        <v>65</v>
      </c>
      <c r="I260" s="6" t="inlineStr">
        <is>
          <t>325.0 × 0.20 = 65.0 m³  [document:C.3 KOO situace, document:A101 půdorys 1NP, document:A103 řez A-B]</t>
        </is>
      </c>
      <c r="J260" s="6" t="inlineStr"/>
    </row>
    <row r="261">
      <c r="A261" s="10" t="n">
        <v>163</v>
      </c>
      <c r="B261" s="11" t="inlineStr"/>
      <c r="C261" s="10" t="n">
        <v>12</v>
      </c>
      <c r="D261" s="11" t="inlineStr">
        <is>
          <t>M-VK</t>
        </is>
      </c>
      <c r="E261" s="11" t="inlineStr">
        <is>
          <t>M-VK-014</t>
        </is>
      </c>
      <c r="F261" s="12" t="inlineStr">
        <is>
          <t>Asfaltový beton ACO 11+ tl 50 mm obrusná vrstva — parkoviště + manipulace</t>
        </is>
      </c>
      <c r="G261" s="10" t="inlineStr">
        <is>
          <t>m²</t>
        </is>
      </c>
      <c r="H261" s="10" t="n">
        <v>325</v>
      </c>
      <c r="I261" s="12" t="inlineStr">
        <is>
          <t>125.0+150.0+50.0 = 325.0 m²  [document:C.3 KOO situace, document:A101 půdorys 1NP, document:A103 řez A-B]</t>
        </is>
      </c>
      <c r="J261" s="12" t="inlineStr"/>
    </row>
    <row r="262">
      <c r="A262" s="4" t="n">
        <v>164</v>
      </c>
      <c r="B262" s="5" t="inlineStr"/>
      <c r="C262" s="4" t="n">
        <v>12</v>
      </c>
      <c r="D262" s="5" t="inlineStr">
        <is>
          <t>M-VK</t>
        </is>
      </c>
      <c r="E262" s="5" t="inlineStr">
        <is>
          <t>M-VK-015</t>
        </is>
      </c>
      <c r="F262" s="6" t="inlineStr">
        <is>
          <t>Obrubník betonový silniční ABO 100×250×1000 mm + lůžko z betonu C16/20</t>
        </is>
      </c>
      <c r="G262" s="4" t="inlineStr">
        <is>
          <t>m</t>
        </is>
      </c>
      <c r="H262" s="4" t="n">
        <v>90</v>
      </c>
      <c r="I262" s="6" t="inlineStr">
        <is>
          <t>~90.0 m  [document:C.3 KOO situace, document:A101 půdorys 1NP, document:A103 řez A-B]</t>
        </is>
      </c>
      <c r="J262" s="6" t="inlineStr"/>
    </row>
    <row r="263">
      <c r="A263" s="10" t="n">
        <v>165</v>
      </c>
      <c r="B263" s="11" t="inlineStr"/>
      <c r="C263" s="10" t="n">
        <v>12</v>
      </c>
      <c r="D263" s="11" t="inlineStr">
        <is>
          <t>M-VK</t>
        </is>
      </c>
      <c r="E263" s="11" t="inlineStr">
        <is>
          <t>M-VK-017</t>
        </is>
      </c>
      <c r="F263" s="12" t="inlineStr">
        <is>
          <t>Komunikační napojení na stávající vozovku — vč. úpravy navazujícího pásu asfaltu, frézování styčné spáry, zalévací zálivka</t>
        </is>
      </c>
      <c r="G263" s="10" t="inlineStr">
        <is>
          <t>m²</t>
        </is>
      </c>
      <c r="H263" s="10" t="n">
        <v>50</v>
      </c>
      <c r="I263" s="12" t="inlineStr">
        <is>
          <t>50.0 m²  [document:C.3 KOO situace, document:A101 půdorys 1NP, document:A103 řez A-B]</t>
        </is>
      </c>
      <c r="J263" s="12" t="inlineStr"/>
    </row>
    <row r="264">
      <c r="A264" s="3" t="inlineStr">
        <is>
          <t>→ Liniový žlab pojízdný B125 — venkovní plochy</t>
        </is>
      </c>
    </row>
    <row r="265">
      <c r="A265" s="4" t="n">
        <v>166</v>
      </c>
      <c r="B265" s="5" t="inlineStr"/>
      <c r="C265" s="4" t="n">
        <v>12</v>
      </c>
      <c r="D265" s="5" t="inlineStr">
        <is>
          <t>M-VK</t>
        </is>
      </c>
      <c r="E265" s="5" t="inlineStr">
        <is>
          <t>M-VK-012</t>
        </is>
      </c>
      <c r="F265" s="6" t="inlineStr">
        <is>
          <t>Liniový žlab POJÍZDNÝ tř. zatížení B125 — odvodnění zpevněných ploch parkoviště + manipulace, vč. mřížky</t>
        </is>
      </c>
      <c r="G265" s="4" t="inlineStr">
        <is>
          <t>m</t>
        </is>
      </c>
      <c r="H265" s="4" t="n">
        <v>40</v>
      </c>
      <c r="I265" s="6" t="inlineStr">
        <is>
          <t>40 m  [document:C.3 KOO situace, document:A101 půdorys 1NP, document:A103 řez A-B]</t>
        </is>
      </c>
      <c r="J265" s="6" t="inlineStr"/>
    </row>
    <row r="266">
      <c r="A266" s="3" t="inlineStr">
        <is>
          <t>→ Vodorovné značení 10× parkovacích stání</t>
        </is>
      </c>
    </row>
    <row r="267">
      <c r="A267" s="4" t="n">
        <v>167</v>
      </c>
      <c r="B267" s="5" t="inlineStr"/>
      <c r="C267" s="4" t="n">
        <v>12</v>
      </c>
      <c r="D267" s="5" t="inlineStr">
        <is>
          <t>M-VK</t>
        </is>
      </c>
      <c r="E267" s="5" t="inlineStr">
        <is>
          <t>M-VK-016</t>
        </is>
      </c>
      <c r="F267" s="6" t="inlineStr">
        <is>
          <t>Vodorovné značení parkovacích stání — symbol P + krajní čáry, barva bílá nestripovaná retroflexní</t>
        </is>
      </c>
      <c r="G267" s="4" t="inlineStr">
        <is>
          <t>ks</t>
        </is>
      </c>
      <c r="H267" s="4" t="n">
        <v>10</v>
      </c>
      <c r="I267" s="6" t="inlineStr">
        <is>
          <t>10 ks  [document:C.3 KOO situace, document:A101 půdorys 1NP, document:A103 řez A-B]</t>
        </is>
      </c>
      <c r="J267" s="6" t="inlineStr"/>
    </row>
    <row r="268">
      <c r="A268" s="3" t="inlineStr">
        <is>
          <t>→ Vyspádování okolního terénu k odvodnění</t>
        </is>
      </c>
    </row>
    <row r="269">
      <c r="A269" s="4" t="n">
        <v>168</v>
      </c>
      <c r="B269" s="5" t="inlineStr"/>
      <c r="C269" s="4" t="n">
        <v>12</v>
      </c>
      <c r="D269" s="5" t="inlineStr">
        <is>
          <t>M-VK</t>
        </is>
      </c>
      <c r="E269" s="5" t="inlineStr">
        <is>
          <t>M-VK-019</t>
        </is>
      </c>
      <c r="F269" s="6" t="inlineStr">
        <is>
          <t>Vyspádování okolního terénu k odvodňovacím prvkům (žlabům, retenční nádrži) — hutněná zemina, finální úprava</t>
        </is>
      </c>
      <c r="G269" s="4" t="inlineStr">
        <is>
          <t>m²</t>
        </is>
      </c>
      <c r="H269" s="4" t="n">
        <v>300</v>
      </c>
      <c r="I269" s="6" t="inlineStr">
        <is>
          <t>300 m²  [document:C.3 KOO situace, document:A101 půdorys 1NP, document:A103 řez A-B]</t>
        </is>
      </c>
      <c r="J269" s="6" t="inlineStr"/>
    </row>
    <row r="270">
      <c r="A270" s="3" t="inlineStr">
        <is>
          <t>→ Ohumusování + osetí travou zbytkových ploch</t>
        </is>
      </c>
    </row>
    <row r="271">
      <c r="A271" s="4" t="n">
        <v>169</v>
      </c>
      <c r="B271" s="5" t="inlineStr"/>
      <c r="C271" s="4" t="n">
        <v>12</v>
      </c>
      <c r="D271" s="5" t="inlineStr">
        <is>
          <t>M-VK</t>
        </is>
      </c>
      <c r="E271" s="5" t="inlineStr">
        <is>
          <t>M-VK-018</t>
        </is>
      </c>
      <c r="F271" s="6" t="inlineStr">
        <is>
          <t>Ohumusování tl 100 mm + osetí trávou parkové směsi — rekultivace zbytkových ploch okolo haly</t>
        </is>
      </c>
      <c r="G271" s="4" t="inlineStr">
        <is>
          <t>m²</t>
        </is>
      </c>
      <c r="H271" s="4" t="n">
        <v>500</v>
      </c>
      <c r="I271" s="6" t="inlineStr">
        <is>
          <t>500 m²  [document:C.3 KOO situace, document:A101 půdorys 1NP, document:A103 řez A-B]</t>
        </is>
      </c>
      <c r="J271" s="6" t="inlineStr"/>
    </row>
  </sheetData>
  <mergeCells count="101">
    <mergeCell ref="A181:J181"/>
    <mergeCell ref="A184:J184"/>
    <mergeCell ref="A156:J156"/>
    <mergeCell ref="A171:J171"/>
    <mergeCell ref="A52:J52"/>
    <mergeCell ref="A165:J165"/>
    <mergeCell ref="A220:J220"/>
    <mergeCell ref="A34:J34"/>
    <mergeCell ref="A83:J83"/>
    <mergeCell ref="A270:J270"/>
    <mergeCell ref="A222:J222"/>
    <mergeCell ref="A49:J49"/>
    <mergeCell ref="A138:J138"/>
    <mergeCell ref="A132:J132"/>
    <mergeCell ref="A36:J36"/>
    <mergeCell ref="A6:J6"/>
    <mergeCell ref="A119:J119"/>
    <mergeCell ref="A264:J264"/>
    <mergeCell ref="A3:J3"/>
    <mergeCell ref="A95:J95"/>
    <mergeCell ref="A248:J248"/>
    <mergeCell ref="A14:J14"/>
    <mergeCell ref="A159:J159"/>
    <mergeCell ref="A29:J29"/>
    <mergeCell ref="A96:J96"/>
    <mergeCell ref="A147:J147"/>
    <mergeCell ref="A121:J121"/>
    <mergeCell ref="A202:J202"/>
    <mergeCell ref="A58:J58"/>
    <mergeCell ref="A186:J186"/>
    <mergeCell ref="A24:J24"/>
    <mergeCell ref="A201:J201"/>
    <mergeCell ref="A266:J266"/>
    <mergeCell ref="A250:J250"/>
    <mergeCell ref="A197:J197"/>
    <mergeCell ref="A110:J110"/>
    <mergeCell ref="A228:J228"/>
    <mergeCell ref="A124:J124"/>
    <mergeCell ref="A237:J237"/>
    <mergeCell ref="A16:J16"/>
    <mergeCell ref="A243:J243"/>
    <mergeCell ref="A252:J252"/>
    <mergeCell ref="A223:J223"/>
    <mergeCell ref="A204:J204"/>
    <mergeCell ref="A2:J2"/>
    <mergeCell ref="A42:J42"/>
    <mergeCell ref="A213:J213"/>
    <mergeCell ref="A151:J151"/>
    <mergeCell ref="A254:J254"/>
    <mergeCell ref="A22:J22"/>
    <mergeCell ref="A135:J135"/>
    <mergeCell ref="A206:J206"/>
    <mergeCell ref="A144:J144"/>
    <mergeCell ref="A122:J122"/>
    <mergeCell ref="A190:J190"/>
    <mergeCell ref="A72:J72"/>
    <mergeCell ref="A112:J112"/>
    <mergeCell ref="A176:J176"/>
    <mergeCell ref="A114:J114"/>
    <mergeCell ref="A182:J182"/>
    <mergeCell ref="A98:J98"/>
    <mergeCell ref="A191:J191"/>
    <mergeCell ref="A225:J225"/>
    <mergeCell ref="A70:J70"/>
    <mergeCell ref="A153:J153"/>
    <mergeCell ref="A162:J162"/>
    <mergeCell ref="A227:J227"/>
    <mergeCell ref="A268:J268"/>
    <mergeCell ref="A164:J164"/>
    <mergeCell ref="A145:J145"/>
    <mergeCell ref="A242:J242"/>
    <mergeCell ref="A195:J195"/>
    <mergeCell ref="A76:J76"/>
    <mergeCell ref="A33:J33"/>
    <mergeCell ref="A85:J85"/>
    <mergeCell ref="A116:J116"/>
    <mergeCell ref="A8:J8"/>
    <mergeCell ref="A188:J188"/>
    <mergeCell ref="A126:J126"/>
    <mergeCell ref="A100:J100"/>
    <mergeCell ref="A259:J259"/>
    <mergeCell ref="A140:J140"/>
    <mergeCell ref="A240:J240"/>
    <mergeCell ref="A10:J10"/>
    <mergeCell ref="A19:J19"/>
    <mergeCell ref="A68:J68"/>
    <mergeCell ref="A102:J102"/>
    <mergeCell ref="A39:J39"/>
    <mergeCell ref="A232:J232"/>
    <mergeCell ref="A142:J142"/>
    <mergeCell ref="A216:J216"/>
    <mergeCell ref="A65:J65"/>
    <mergeCell ref="A218:J218"/>
    <mergeCell ref="A193:J193"/>
    <mergeCell ref="A80:J80"/>
    <mergeCell ref="A46:J46"/>
    <mergeCell ref="A89:J89"/>
    <mergeCell ref="A57:J57"/>
    <mergeCell ref="A235:J235"/>
    <mergeCell ref="A210:J210"/>
    <mergeCell ref="A129:J1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2026-05-27T16:55:26Z</dcterms:created>
  <dcterms:modified xsi:type="dcterms:W3CDTF">2026-05-27T16:55:26Z</dcterms:modified>
</cp:coreProperties>
</file>
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up stavb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1E3A8A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B923C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8FAFC"/>
      </patternFill>
    </fill>
    <fill>
      <patternFill patternType="solid">
        <fgColor rgb="00FED7AA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/>
    </xf>
    <xf numFmtId="0" fontId="0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" customWidth="1" min="2" max="2"/>
    <col width="6" customWidth="1" min="3" max="3"/>
    <col width="10" customWidth="1" min="4" max="4"/>
    <col width="14" customWidth="1" min="5" max="5"/>
    <col width="60" customWidth="1" min="6" max="6"/>
    <col width="8" customWidth="1" min="7" max="7"/>
    <col width="11" customWidth="1" min="8" max="8"/>
    <col width="55" customWidth="1" min="9" max="9"/>
    <col width="26" customWidth="1" min="10" max="10"/>
  </cols>
  <sheetData>
    <row r="1">
      <c r="A1" s="1" t="inlineStr">
        <is>
          <t>#</t>
        </is>
      </c>
      <c r="B1" s="1" t="inlineStr">
        <is>
          <t>Krok</t>
        </is>
      </c>
      <c r="C1" s="1" t="inlineStr">
        <is>
          <t>Fáze</t>
        </is>
      </c>
      <c r="D1" s="1" t="inlineStr">
        <is>
          <t>Kapitola</t>
        </is>
      </c>
      <c r="E1" s="1" t="inlineStr">
        <is>
          <t>ID</t>
        </is>
      </c>
      <c r="F1" s="1" t="inlineStr">
        <is>
          <t>Položka (popis)</t>
        </is>
      </c>
      <c r="G1" s="1" t="inlineStr">
        <is>
          <t>MJ</t>
        </is>
      </c>
      <c r="H1" s="1" t="inlineStr">
        <is>
          <t>Mnozstvi</t>
        </is>
      </c>
      <c r="I1" s="1" t="inlineStr">
        <is>
          <t>Vzorec / Zdroj výměry</t>
        </is>
      </c>
      <c r="J1" s="1" t="inlineStr">
        <is>
          <t>Pozn.</t>
        </is>
      </c>
    </row>
    <row r="2" ht="22" customHeight="1">
      <c r="A2" s="2" t="inlineStr">
        <is>
          <t>═══ FÁZE 1: PŘÍPRAVA STAVENIŠTĚ + GEODÉZIE ═══</t>
        </is>
      </c>
    </row>
    <row r="3">
      <c r="A3" s="3" t="inlineStr">
        <is>
          <t>→ Geodetické vytýčení + vytýčení sítí</t>
        </is>
      </c>
    </row>
    <row r="4">
      <c r="A4" s="4" t="n">
        <v>1</v>
      </c>
      <c r="B4" s="5" t="inlineStr"/>
      <c r="C4" s="4" t="n">
        <v>1</v>
      </c>
      <c r="D4" s="5" t="inlineStr">
        <is>
          <t>VRN</t>
        </is>
      </c>
      <c r="E4" s="5" t="inlineStr">
        <is>
          <t>VRN-014</t>
        </is>
      </c>
      <c r="F4" s="6" t="inlineStr">
        <is>
          <t>Geodetické zaměření před zahájením stavby — vytýčení</t>
        </is>
      </c>
      <c r="G4" s="4" t="inlineStr">
        <is>
          <t>paušál</t>
        </is>
      </c>
      <c r="H4" s="4" t="n">
        <v>1</v>
      </c>
      <c r="I4" s="6" t="inlineStr">
        <is>
          <t>paušál (Rožmitál URS 00511 R)</t>
        </is>
      </c>
      <c r="J4" s="6" t="inlineStr"/>
    </row>
    <row r="5">
      <c r="A5" s="7" t="n">
        <v>2</v>
      </c>
      <c r="B5" s="8" t="inlineStr"/>
      <c r="C5" s="7" t="n">
        <v>1</v>
      </c>
      <c r="D5" s="8" t="inlineStr">
        <is>
          <t>VRN</t>
        </is>
      </c>
      <c r="E5" s="8" t="inlineStr">
        <is>
          <t>VRN-017</t>
        </is>
      </c>
      <c r="F5" s="9" t="inlineStr">
        <is>
          <t>Vytýčení stávajících sítí na povrchu před zahájením výkopů</t>
        </is>
      </c>
      <c r="G5" s="7" t="inlineStr">
        <is>
          <t>bm</t>
        </is>
      </c>
      <c r="H5" s="7" t="n">
        <v>200</v>
      </c>
      <c r="I5" s="9" t="inlineStr">
        <is>
          <t>placeholder ~200 bm trasování sítí na pozemku</t>
        </is>
      </c>
      <c r="J5" s="9" t="inlineStr"/>
    </row>
    <row r="6">
      <c r="A6" s="3" t="inlineStr">
        <is>
          <t>→ Vyjádření správců sítí</t>
        </is>
      </c>
    </row>
    <row r="7">
      <c r="A7" s="7" t="n">
        <v>3</v>
      </c>
      <c r="B7" s="8" t="inlineStr"/>
      <c r="C7" s="7" t="n">
        <v>1</v>
      </c>
      <c r="D7" s="8" t="inlineStr">
        <is>
          <t>VRN</t>
        </is>
      </c>
      <c r="E7" s="8" t="inlineStr">
        <is>
          <t>VRN-016</t>
        </is>
      </c>
      <c r="F7" s="9" t="inlineStr">
        <is>
          <t>Vyjádření správců sítí — komplet pro 8-12 sítí (RWE/CETIN/ČEZ/Opatovice/Pošta/atd.)</t>
        </is>
      </c>
      <c r="G7" s="7" t="inlineStr">
        <is>
          <t>kpl</t>
        </is>
      </c>
      <c r="H7" s="7" t="n">
        <v>1</v>
      </c>
      <c r="I7" s="9" t="inlineStr">
        <is>
          <t>1 kpl pro všech 8-12 správců sítí (per RE-RUN §6)  [výkres:C3]</t>
        </is>
      </c>
      <c r="J7" s="9" t="inlineStr"/>
    </row>
    <row r="8">
      <c r="A8" s="3" t="inlineStr">
        <is>
          <t>→ Oplocení staveniště</t>
        </is>
      </c>
    </row>
    <row r="9">
      <c r="A9" s="4" t="n">
        <v>4</v>
      </c>
      <c r="B9" s="5" t="inlineStr"/>
      <c r="C9" s="4" t="n">
        <v>1</v>
      </c>
      <c r="D9" s="5" t="inlineStr">
        <is>
          <t>VRN</t>
        </is>
      </c>
      <c r="E9" s="5" t="inlineStr">
        <is>
          <t>VRN-004</t>
        </is>
      </c>
      <c r="F9" s="6" t="inlineStr">
        <is>
          <t>Oplocení staveniště — provizorní, výška 2 m, vstupní brána</t>
        </is>
      </c>
      <c r="G9" s="4" t="inlineStr">
        <is>
          <t>bm</t>
        </is>
      </c>
      <c r="H9" s="4" t="n">
        <v>150</v>
      </c>
      <c r="I9" s="6" t="inlineStr">
        <is>
          <t>placeholder ~150 bm (perimetr staveniště + pomocné plochy)</t>
        </is>
      </c>
      <c r="J9" s="6" t="inlineStr"/>
    </row>
    <row r="10">
      <c r="A10" s="3" t="inlineStr">
        <is>
          <t>→ Zařízení staveniště — buňky</t>
        </is>
      </c>
    </row>
    <row r="11">
      <c r="A11" s="4" t="n">
        <v>5</v>
      </c>
      <c r="B11" s="5" t="inlineStr"/>
      <c r="C11" s="4" t="n">
        <v>1</v>
      </c>
      <c r="D11" s="5" t="inlineStr">
        <is>
          <t>VRN</t>
        </is>
      </c>
      <c r="E11" s="5" t="inlineStr">
        <is>
          <t>VRN-001</t>
        </is>
      </c>
      <c r="F11" s="6" t="inlineStr">
        <is>
          <t>Zařízení staveniště — buňka kancelář stavbyvedoucího + technika</t>
        </is>
      </c>
      <c r="G11" s="4" t="inlineStr">
        <is>
          <t>měsíc</t>
        </is>
      </c>
      <c r="H11" s="4" t="n">
        <v>4</v>
      </c>
      <c r="I11" s="6" t="inlineStr">
        <is>
          <t>4 měsíců × 1 ks</t>
        </is>
      </c>
      <c r="J11" s="6" t="inlineStr"/>
    </row>
    <row r="12">
      <c r="A12" s="10" t="n">
        <v>6</v>
      </c>
      <c r="B12" s="11" t="inlineStr"/>
      <c r="C12" s="10" t="n">
        <v>1</v>
      </c>
      <c r="D12" s="11" t="inlineStr">
        <is>
          <t>VRN</t>
        </is>
      </c>
      <c r="E12" s="11" t="inlineStr">
        <is>
          <t>VRN-002</t>
        </is>
      </c>
      <c r="F12" s="12" t="inlineStr">
        <is>
          <t>Zařízení staveniště — buňka sociální / šatna / WC</t>
        </is>
      </c>
      <c r="G12" s="10" t="inlineStr">
        <is>
          <t>měsíc</t>
        </is>
      </c>
      <c r="H12" s="10" t="n">
        <v>4</v>
      </c>
      <c r="I12" s="12" t="inlineStr">
        <is>
          <t>4 měsíců × 1 ks</t>
        </is>
      </c>
      <c r="J12" s="12" t="inlineStr"/>
    </row>
    <row r="13">
      <c r="A13" s="4" t="n">
        <v>7</v>
      </c>
      <c r="B13" s="5" t="inlineStr"/>
      <c r="C13" s="4" t="n">
        <v>1</v>
      </c>
      <c r="D13" s="5" t="inlineStr">
        <is>
          <t>VRN</t>
        </is>
      </c>
      <c r="E13" s="5" t="inlineStr">
        <is>
          <t>VRN-003</t>
        </is>
      </c>
      <c r="F13" s="6" t="inlineStr">
        <is>
          <t>Zařízení staveniště — buňka sklad materiálu + nářadí</t>
        </is>
      </c>
      <c r="G13" s="4" t="inlineStr">
        <is>
          <t>měsíc</t>
        </is>
      </c>
      <c r="H13" s="4" t="n">
        <v>4</v>
      </c>
      <c r="I13" s="6" t="inlineStr">
        <is>
          <t>4 měsíců × 1 ks</t>
        </is>
      </c>
      <c r="J13" s="6" t="inlineStr"/>
    </row>
    <row r="14">
      <c r="A14" s="3" t="inlineStr">
        <is>
          <t>→ Mobilní WC pro pracovníky</t>
        </is>
      </c>
    </row>
    <row r="15">
      <c r="A15" s="7" t="n">
        <v>8</v>
      </c>
      <c r="B15" s="8" t="inlineStr"/>
      <c r="C15" s="7" t="n">
        <v>1</v>
      </c>
      <c r="D15" s="8" t="inlineStr">
        <is>
          <t>VRN</t>
        </is>
      </c>
      <c r="E15" s="8" t="inlineStr">
        <is>
          <t>VRN-007</t>
        </is>
      </c>
      <c r="F15" s="9" t="inlineStr">
        <is>
          <t>WC mobilní pro pracovníky — 2 ks</t>
        </is>
      </c>
      <c r="G15" s="7" t="inlineStr">
        <is>
          <t>měsíc</t>
        </is>
      </c>
      <c r="H15" s="7" t="n">
        <v>8</v>
      </c>
      <c r="I15" s="9" t="inlineStr">
        <is>
          <t>2 ks × 4 měsíců</t>
        </is>
      </c>
      <c r="J15" s="9" t="inlineStr"/>
    </row>
    <row r="16">
      <c r="A16" s="3" t="inlineStr">
        <is>
          <t>→ Přípojky pro stavbu (voda + elektro)</t>
        </is>
      </c>
    </row>
    <row r="17">
      <c r="A17" s="4" t="n">
        <v>9</v>
      </c>
      <c r="B17" s="5" t="inlineStr"/>
      <c r="C17" s="4" t="n">
        <v>1</v>
      </c>
      <c r="D17" s="5" t="inlineStr">
        <is>
          <t>VRN</t>
        </is>
      </c>
      <c r="E17" s="5" t="inlineStr">
        <is>
          <t>VRN-005</t>
        </is>
      </c>
      <c r="F17" s="6" t="inlineStr">
        <is>
          <t>Vodovodní přípojka pro stavbu — vytvoření + měření spotřeby</t>
        </is>
      </c>
      <c r="G17" s="4" t="inlineStr">
        <is>
          <t>paušál</t>
        </is>
      </c>
      <c r="H17" s="4" t="n">
        <v>1</v>
      </c>
      <c r="I17" s="6" t="inlineStr">
        <is>
          <t>paušál</t>
        </is>
      </c>
      <c r="J17" s="6" t="inlineStr"/>
    </row>
    <row r="18">
      <c r="A18" s="7" t="n">
        <v>10</v>
      </c>
      <c r="B18" s="8" t="inlineStr"/>
      <c r="C18" s="7" t="n">
        <v>1</v>
      </c>
      <c r="D18" s="8" t="inlineStr">
        <is>
          <t>VRN</t>
        </is>
      </c>
      <c r="E18" s="8" t="inlineStr">
        <is>
          <t>VRN-006</t>
        </is>
      </c>
      <c r="F18" s="9" t="inlineStr">
        <is>
          <t>Elektrická přípojka pro stavbu — staveništní rozvaděč + měření</t>
        </is>
      </c>
      <c r="G18" s="7" t="inlineStr">
        <is>
          <t>paušál</t>
        </is>
      </c>
      <c r="H18" s="7" t="n">
        <v>1</v>
      </c>
      <c r="I18" s="9" t="inlineStr">
        <is>
          <t>paušál</t>
        </is>
      </c>
      <c r="J18" s="9" t="inlineStr"/>
    </row>
    <row r="19">
      <c r="A19" s="3" t="inlineStr">
        <is>
          <t>→ BOZP plán + koordinátor</t>
        </is>
      </c>
    </row>
    <row r="20">
      <c r="A20" s="4" t="n">
        <v>11</v>
      </c>
      <c r="B20" s="5" t="inlineStr"/>
      <c r="C20" s="4" t="n">
        <v>1</v>
      </c>
      <c r="D20" s="5" t="inlineStr">
        <is>
          <t>VRN</t>
        </is>
      </c>
      <c r="E20" s="5" t="inlineStr">
        <is>
          <t>VRN-009</t>
        </is>
      </c>
      <c r="F20" s="6" t="inlineStr">
        <is>
          <t>Plán BOZP + dokumentace bezpečnosti práce</t>
        </is>
      </c>
      <c r="G20" s="4" t="inlineStr">
        <is>
          <t>paušál</t>
        </is>
      </c>
      <c r="H20" s="4" t="n">
        <v>1</v>
      </c>
      <c r="I20" s="6" t="inlineStr">
        <is>
          <t>paušál</t>
        </is>
      </c>
      <c r="J20" s="6" t="inlineStr"/>
    </row>
    <row r="21">
      <c r="A21" s="7" t="n">
        <v>12</v>
      </c>
      <c r="B21" s="8" t="inlineStr"/>
      <c r="C21" s="7" t="n">
        <v>1</v>
      </c>
      <c r="D21" s="8" t="inlineStr">
        <is>
          <t>VRN</t>
        </is>
      </c>
      <c r="E21" s="8" t="inlineStr">
        <is>
          <t>VRN-008</t>
        </is>
      </c>
      <c r="F21" s="9" t="inlineStr">
        <is>
          <t>BOZP koordinace na stavbě — koordinátor BOZP průběžně</t>
        </is>
      </c>
      <c r="G21" s="7" t="inlineStr">
        <is>
          <t>měsíc</t>
        </is>
      </c>
      <c r="H21" s="7" t="n">
        <v>4</v>
      </c>
      <c r="I21" s="9" t="inlineStr">
        <is>
          <t>4 měsíců</t>
        </is>
      </c>
      <c r="J21" s="9" t="inlineStr"/>
    </row>
    <row r="22">
      <c r="A22" s="3" t="inlineStr">
        <is>
          <t>→ Pojištění stavby</t>
        </is>
      </c>
    </row>
    <row r="23">
      <c r="A23" s="4" t="n">
        <v>13</v>
      </c>
      <c r="B23" s="5" t="inlineStr"/>
      <c r="C23" s="4" t="n">
        <v>1</v>
      </c>
      <c r="D23" s="5" t="inlineStr">
        <is>
          <t>VRN</t>
        </is>
      </c>
      <c r="E23" s="5" t="inlineStr">
        <is>
          <t>VRN-010</t>
        </is>
      </c>
      <c r="F23" s="6" t="inlineStr">
        <is>
          <t>Pojištění stavby + odpovědnostní pojistka</t>
        </is>
      </c>
      <c r="G23" s="4" t="inlineStr">
        <is>
          <t>paušál</t>
        </is>
      </c>
      <c r="H23" s="4" t="n">
        <v>1</v>
      </c>
      <c r="I23" s="6" t="inlineStr">
        <is>
          <t>paušál</t>
        </is>
      </c>
      <c r="J23" s="6" t="inlineStr"/>
    </row>
    <row r="24">
      <c r="A24" s="3" t="inlineStr">
        <is>
          <t>→ Kácení dřevin + frézování pařezů</t>
        </is>
      </c>
    </row>
    <row r="25">
      <c r="A25" s="7" t="n">
        <v>14</v>
      </c>
      <c r="B25" s="8" t="inlineStr"/>
      <c r="C25" s="7" t="n">
        <v>1</v>
      </c>
      <c r="D25" s="8" t="inlineStr">
        <is>
          <t>HSV-1</t>
        </is>
      </c>
      <c r="E25" s="8" t="inlineStr">
        <is>
          <t>HSV-1-020</t>
        </is>
      </c>
      <c r="F25" s="9" t="inlineStr">
        <is>
          <t>Kácení vzrostlých stromů Ø &lt; 80 cm — bříza, dub červený</t>
        </is>
      </c>
      <c r="G25" s="7" t="inlineStr">
        <is>
          <t>ks</t>
        </is>
      </c>
      <c r="H25" s="7" t="n">
        <v>2</v>
      </c>
      <c r="I25" s="9" t="inlineStr">
        <is>
          <t>2 ks (TZ B m.7.b)  [výkres:C3, TZ:chapter]</t>
        </is>
      </c>
      <c r="J25" s="9" t="inlineStr"/>
    </row>
    <row r="26">
      <c r="A26" s="7" t="n">
        <v>15</v>
      </c>
      <c r="B26" s="8" t="inlineStr"/>
      <c r="C26" s="7" t="n">
        <v>1</v>
      </c>
      <c r="D26" s="8" t="inlineStr">
        <is>
          <t>HSV-1</t>
        </is>
      </c>
      <c r="E26" s="8" t="inlineStr">
        <is>
          <t>HSV-1-021</t>
        </is>
      </c>
      <c r="F26" s="9" t="inlineStr">
        <is>
          <t>Kácení drobných dřevin a semenáčků — javor klen, dub letní</t>
        </is>
      </c>
      <c r="G26" s="7" t="inlineStr">
        <is>
          <t>ks</t>
        </is>
      </c>
      <c r="H26" s="7" t="n">
        <v>5</v>
      </c>
      <c r="I26" s="9" t="inlineStr">
        <is>
          <t>placeholder 5 ks (TZ B m.7.b)  [výkres:C3, TZ:B]</t>
        </is>
      </c>
      <c r="J26" s="9" t="inlineStr"/>
    </row>
    <row r="27">
      <c r="A27" s="4" t="n">
        <v>16</v>
      </c>
      <c r="B27" s="5" t="inlineStr"/>
      <c r="C27" s="4" t="n">
        <v>1</v>
      </c>
      <c r="D27" s="5" t="inlineStr">
        <is>
          <t>HSV-1</t>
        </is>
      </c>
      <c r="E27" s="5" t="inlineStr">
        <is>
          <t>HSV-1-022</t>
        </is>
      </c>
      <c r="F27" s="6" t="inlineStr">
        <is>
          <t>Frézování pařezů po kácení dřevin</t>
        </is>
      </c>
      <c r="G27" s="4" t="inlineStr">
        <is>
          <t>ks</t>
        </is>
      </c>
      <c r="H27" s="4" t="n">
        <v>7</v>
      </c>
      <c r="I27" s="6" t="inlineStr">
        <is>
          <t>2 vzrostlé + 5 drobné = 7 pařezů</t>
        </is>
      </c>
      <c r="J27" s="6" t="inlineStr"/>
    </row>
    <row r="28">
      <c r="A28" s="7" t="n">
        <v>17</v>
      </c>
      <c r="B28" s="8" t="inlineStr"/>
      <c r="C28" s="7" t="n">
        <v>1</v>
      </c>
      <c r="D28" s="8" t="inlineStr">
        <is>
          <t>HSV-1</t>
        </is>
      </c>
      <c r="E28" s="8" t="inlineStr">
        <is>
          <t>HSV-1-023</t>
        </is>
      </c>
      <c r="F28" s="9" t="inlineStr">
        <is>
          <t>Odvoz dřevní hmoty po kácení a likvidace</t>
        </is>
      </c>
      <c r="G28" s="7" t="inlineStr">
        <is>
          <t>m³</t>
        </is>
      </c>
      <c r="H28" s="7" t="n">
        <v>6</v>
      </c>
      <c r="I28" s="9" t="inlineStr">
        <is>
          <t>placeholder ~6 m³ dřevní hmoty</t>
        </is>
      </c>
      <c r="J28" s="9" t="inlineStr"/>
    </row>
    <row r="29">
      <c r="A29" s="3" t="inlineStr">
        <is>
          <t>→ Odstranění asfaltové vrstvy + odvoz suti</t>
        </is>
      </c>
    </row>
    <row r="30">
      <c r="A30" s="7" t="n">
        <v>18</v>
      </c>
      <c r="B30" s="8" t="inlineStr"/>
      <c r="C30" s="7" t="n">
        <v>1</v>
      </c>
      <c r="D30" s="8" t="inlineStr">
        <is>
          <t>HSV-1</t>
        </is>
      </c>
      <c r="E30" s="8" t="inlineStr">
        <is>
          <t>HSV-1-025</t>
        </is>
      </c>
      <c r="F30" s="9" t="inlineStr">
        <is>
          <t>Odstranění stávající asfaltové vrstvy + podkladu, tl. do 250 mm</t>
        </is>
      </c>
      <c r="G30" s="7" t="inlineStr">
        <is>
          <t>m²</t>
        </is>
      </c>
      <c r="H30" s="7" t="n">
        <v>540</v>
      </c>
      <c r="I30" s="9" t="inlineStr">
        <is>
          <t>placeholder ~540 m² (z C3 situace + plocha pod halou)  [výkres:C3, phase:Phase 0b RE-RUN §3.10]</t>
        </is>
      </c>
      <c r="J30" s="9" t="inlineStr">
        <is>
          <t>ABMV:ABMV_17</t>
        </is>
      </c>
    </row>
    <row r="31">
      <c r="A31" s="10" t="n">
        <v>19</v>
      </c>
      <c r="B31" s="11" t="inlineStr"/>
      <c r="C31" s="10" t="n">
        <v>1</v>
      </c>
      <c r="D31" s="11" t="inlineStr">
        <is>
          <t>HSV-1</t>
        </is>
      </c>
      <c r="E31" s="11" t="inlineStr">
        <is>
          <t>HSV-1-026</t>
        </is>
      </c>
      <c r="F31" s="12" t="inlineStr">
        <is>
          <t>Nakládání stavební suti na dopravní prostředek</t>
        </is>
      </c>
      <c r="G31" s="10" t="inlineStr">
        <is>
          <t>t</t>
        </is>
      </c>
      <c r="H31" s="10" t="n">
        <v>80</v>
      </c>
      <c r="I31" s="12" t="inlineStr">
        <is>
          <t>placeholder 540 m² × 0.25 m × 2 t/m³ × 30% = ~80 t</t>
        </is>
      </c>
      <c r="J31" s="12" t="inlineStr">
        <is>
          <t>ABMV:ABMV_17</t>
        </is>
      </c>
    </row>
    <row r="32">
      <c r="A32" s="4" t="n">
        <v>20</v>
      </c>
      <c r="B32" s="5" t="inlineStr"/>
      <c r="C32" s="4" t="n">
        <v>1</v>
      </c>
      <c r="D32" s="5" t="inlineStr">
        <is>
          <t>HSV-1</t>
        </is>
      </c>
      <c r="E32" s="5" t="inlineStr">
        <is>
          <t>HSV-1-027</t>
        </is>
      </c>
      <c r="F32" s="6" t="inlineStr">
        <is>
          <t>Odvoz stavební suti k recyklaci — vč. skládkovného</t>
        </is>
      </c>
      <c r="G32" s="4" t="inlineStr">
        <is>
          <t>t</t>
        </is>
      </c>
      <c r="H32" s="4" t="n">
        <v>80</v>
      </c>
      <c r="I32" s="6">
        <f> nakládání suti</f>
        <v/>
      </c>
      <c r="J32" s="6" t="inlineStr">
        <is>
          <t>ABMV:ABMV_17</t>
        </is>
      </c>
    </row>
    <row r="33" ht="22" customHeight="1">
      <c r="A33" s="2" t="inlineStr">
        <is>
          <t>═══ FÁZE 2: ZEMNÍ PRÁCE ═══</t>
        </is>
      </c>
    </row>
    <row r="34">
      <c r="A34" s="3" t="inlineStr">
        <is>
          <t>→ Hlavní výkop figury pod desku</t>
        </is>
      </c>
    </row>
    <row r="35">
      <c r="A35" s="4" t="n">
        <v>21</v>
      </c>
      <c r="B35" s="5" t="inlineStr"/>
      <c r="C35" s="4" t="n">
        <v>2</v>
      </c>
      <c r="D35" s="5" t="inlineStr">
        <is>
          <t>HSV-1</t>
        </is>
      </c>
      <c r="E35" s="5" t="inlineStr">
        <is>
          <t>HSV-1-001</t>
        </is>
      </c>
      <c r="F35" s="6" t="inlineStr">
        <is>
          <t>Hloubení figury pod základovou desku + sejmutí navážek aktivní zóny, hor. tř. 1, stroj.</t>
        </is>
      </c>
      <c r="G35" s="4" t="inlineStr">
        <is>
          <t>m³</t>
        </is>
      </c>
      <c r="H35" s="4" t="n">
        <v>210</v>
      </c>
      <c r="I35" s="6" t="inlineStr">
        <is>
          <t>Zone-by-zone: 100 + 24 + 54 + 7 + 25 = 210 m³ (main_floor + perimeter_pas + patky_pits + kanalizace + svahy_rezerva)  [výkres:A102, TZ:10.g, phase:Phase 0b RE-RUN §3.10]  · was TBD: DXF layer scan A106/A201 for exact po…</t>
        </is>
      </c>
      <c r="J35" s="6" t="inlineStr"/>
    </row>
    <row r="36">
      <c r="A36" s="3" t="inlineStr">
        <is>
          <t>→ Ruční výkop v ochranných pásmech sítí</t>
        </is>
      </c>
    </row>
    <row r="37">
      <c r="A37" s="7" t="n">
        <v>22</v>
      </c>
      <c r="B37" s="8" t="inlineStr"/>
      <c r="C37" s="7" t="n">
        <v>2</v>
      </c>
      <c r="D37" s="8" t="inlineStr">
        <is>
          <t>HSV-1</t>
        </is>
      </c>
      <c r="E37" s="8" t="inlineStr">
        <is>
          <t>HSV-1-006</t>
        </is>
      </c>
      <c r="F37" s="9" t="inlineStr">
        <is>
          <t>Ruční výkop v ochranných pásmech stávajících sítí DN300, hor. tř. 3</t>
        </is>
      </c>
      <c r="G37" s="7" t="inlineStr">
        <is>
          <t>m³</t>
        </is>
      </c>
      <c r="H37" s="7" t="n">
        <v>30</v>
      </c>
      <c r="I37" s="9" t="inlineStr">
        <is>
          <t>2 křížení × 5 m délka × 1.5 m š × 2.0 m h  [výkres:A201, TZ:10.g]</t>
        </is>
      </c>
      <c r="J37" s="9" t="inlineStr">
        <is>
          <t>ABMV:ABMV_17</t>
        </is>
      </c>
    </row>
    <row r="38">
      <c r="A38" s="7" t="n">
        <v>23</v>
      </c>
      <c r="B38" s="8" t="inlineStr"/>
      <c r="C38" s="7" t="n">
        <v>2</v>
      </c>
      <c r="D38" s="8" t="inlineStr">
        <is>
          <t>HSV-1</t>
        </is>
      </c>
      <c r="E38" s="8" t="inlineStr">
        <is>
          <t>HSV-1-007</t>
        </is>
      </c>
      <c r="F38" s="9" t="inlineStr">
        <is>
          <t>Příplatek za stížené podmínky — ruční výkop u stávajících sítí</t>
        </is>
      </c>
      <c r="G38" s="7" t="inlineStr">
        <is>
          <t>m³</t>
        </is>
      </c>
      <c r="H38" s="7" t="n">
        <v>30</v>
      </c>
      <c r="I38" s="9">
        <f> ruční výkop u sítí (m³)</f>
        <v/>
      </c>
      <c r="J38" s="9" t="inlineStr">
        <is>
          <t>ABMV:ABMV_17</t>
        </is>
      </c>
    </row>
    <row r="39">
      <c r="A39" s="3" t="inlineStr">
        <is>
          <t>→ Obetonování stávajícího potrubí (po odkrytí)</t>
        </is>
      </c>
    </row>
    <row r="40">
      <c r="A40" s="4" t="n">
        <v>24</v>
      </c>
      <c r="B40" s="5" t="inlineStr"/>
      <c r="C40" s="4" t="n">
        <v>2</v>
      </c>
      <c r="D40" s="5" t="inlineStr">
        <is>
          <t>HSV-1</t>
        </is>
      </c>
      <c r="E40" s="5" t="inlineStr">
        <is>
          <t>HSV-1-009</t>
        </is>
      </c>
      <c r="F40" s="6" t="inlineStr">
        <is>
          <t>Obetonování stávajícího potrubí splaškové kanalizace DN300 betonem C16/20</t>
        </is>
      </c>
      <c r="G40" s="4" t="inlineStr">
        <is>
          <t>m³</t>
        </is>
      </c>
      <c r="H40" s="4" t="n">
        <v>5</v>
      </c>
      <c r="I40" s="6" t="inlineStr">
        <is>
          <t>placeholder ~5 m³ (úsek 5 m × tlouš. 0.3 m × š. 0.8 m + ofset)  [výkres:A201, TZ:10.g]</t>
        </is>
      </c>
      <c r="J40" s="6" t="inlineStr">
        <is>
          <t>ABMV:ABMV_17</t>
        </is>
      </c>
    </row>
    <row r="41">
      <c r="A41" s="10" t="n">
        <v>25</v>
      </c>
      <c r="B41" s="11" t="inlineStr"/>
      <c r="C41" s="10" t="n">
        <v>2</v>
      </c>
      <c r="D41" s="11" t="inlineStr">
        <is>
          <t>HSV-1</t>
        </is>
      </c>
      <c r="E41" s="11" t="inlineStr">
        <is>
          <t>HSV-1-010</t>
        </is>
      </c>
      <c r="F41" s="12" t="inlineStr">
        <is>
          <t>Obetonování stávajícího potrubí dešťové kanalizace DN300 betonem C16/20</t>
        </is>
      </c>
      <c r="G41" s="10" t="inlineStr">
        <is>
          <t>m³</t>
        </is>
      </c>
      <c r="H41" s="10" t="n">
        <v>5</v>
      </c>
      <c r="I41" s="12" t="inlineStr">
        <is>
          <t>placeholder ~5 m³ (úsek 5 m × 0.3 × 0.8 + ofset)  [výkres:A201, TZ:10.g]</t>
        </is>
      </c>
      <c r="J41" s="12" t="inlineStr">
        <is>
          <t>ABMV:ABMV_17</t>
        </is>
      </c>
    </row>
    <row r="42">
      <c r="A42" s="3" t="inlineStr">
        <is>
          <t>→ Dohloubky pro patky a pasy</t>
        </is>
      </c>
    </row>
    <row r="43">
      <c r="A43" s="7" t="n">
        <v>26</v>
      </c>
      <c r="B43" s="8" t="inlineStr"/>
      <c r="C43" s="7" t="n">
        <v>2</v>
      </c>
      <c r="D43" s="8" t="inlineStr">
        <is>
          <t>HSV-1</t>
        </is>
      </c>
      <c r="E43" s="8" t="inlineStr">
        <is>
          <t>HSV-1-002</t>
        </is>
      </c>
      <c r="F43" s="9" t="inlineStr">
        <is>
          <t>Hloubení dohloubek pro patky rámové, hor. tř. 3, do 1 m hloubky</t>
        </is>
      </c>
      <c r="G43" s="7" t="inlineStr">
        <is>
          <t>m³</t>
        </is>
      </c>
      <c r="H43" s="7" t="n">
        <v>31.5</v>
      </c>
      <c r="I43" s="9" t="inlineStr">
        <is>
          <t>14 ks × 1.5 m × 1.5 m × 1.0 m (od úr. figury -0.45 do -1.45/-1.90)  [výkres:A105]</t>
        </is>
      </c>
      <c r="J43" s="9" t="inlineStr">
        <is>
          <t>ABMV:ABMV_17</t>
        </is>
      </c>
    </row>
    <row r="44">
      <c r="A44" s="7" t="n">
        <v>27</v>
      </c>
      <c r="B44" s="8" t="inlineStr"/>
      <c r="C44" s="7" t="n">
        <v>2</v>
      </c>
      <c r="D44" s="8" t="inlineStr">
        <is>
          <t>HSV-1</t>
        </is>
      </c>
      <c r="E44" s="8" t="inlineStr">
        <is>
          <t>HSV-1-003</t>
        </is>
      </c>
      <c r="F44" s="9" t="inlineStr">
        <is>
          <t>Hloubení dohloubek pro patky štítové, hor. tř. 3, do 0.5 m hloubky</t>
        </is>
      </c>
      <c r="G44" s="7" t="inlineStr">
        <is>
          <t>m³</t>
        </is>
      </c>
      <c r="H44" s="7" t="n">
        <v>1.28</v>
      </c>
      <c r="I44" s="9" t="inlineStr">
        <is>
          <t>8 ks × 0.8 × 0.8 × 0.25 m (od figury -0.45 do -0.70)  [výkres:A105]</t>
        </is>
      </c>
      <c r="J44" s="9" t="inlineStr">
        <is>
          <t>ABMV:ABMV_17</t>
        </is>
      </c>
    </row>
    <row r="45">
      <c r="A45" s="7" t="n">
        <v>28</v>
      </c>
      <c r="B45" s="8" t="inlineStr"/>
      <c r="C45" s="7" t="n">
        <v>2</v>
      </c>
      <c r="D45" s="8" t="inlineStr">
        <is>
          <t>HSV-1</t>
        </is>
      </c>
      <c r="E45" s="8" t="inlineStr">
        <is>
          <t>HSV-1-005</t>
        </is>
      </c>
      <c r="F45" s="9" t="inlineStr">
        <is>
          <t>Hloubení rýh pro krátké pasy mezi patkami, hor. tř. 3, do 0.6 m hloubky</t>
        </is>
      </c>
      <c r="G45" s="7" t="inlineStr">
        <is>
          <t>m³</t>
        </is>
      </c>
      <c r="H45" s="7" t="n">
        <v>7.2</v>
      </c>
      <c r="I45" s="9" t="inlineStr">
        <is>
          <t>~30 bm × 0.4 m × 0.6 m (krátké propojovací pasy)  [výkres:A105, phase:Phase 0b RE-RUN §3.10]</t>
        </is>
      </c>
      <c r="J45" s="9" t="inlineStr">
        <is>
          <t>ABMV:ABMV_17</t>
        </is>
      </c>
    </row>
    <row r="46">
      <c r="A46" s="3" t="inlineStr">
        <is>
          <t>→ Atypický základ (varianta pilota) + pažení</t>
        </is>
      </c>
    </row>
    <row r="47">
      <c r="A47" s="7" t="n">
        <v>29</v>
      </c>
      <c r="B47" s="8" t="inlineStr"/>
      <c r="C47" s="7" t="n">
        <v>2</v>
      </c>
      <c r="D47" s="8" t="inlineStr">
        <is>
          <t>HSV-1</t>
        </is>
      </c>
      <c r="E47" s="8" t="inlineStr">
        <is>
          <t>HSV-1-004</t>
        </is>
      </c>
      <c r="F47" s="9" t="inlineStr">
        <is>
          <t>Hloubení atypického základu — varianta jako pilota Ø800 / L=8 m</t>
        </is>
      </c>
      <c r="G47" s="7" t="inlineStr">
        <is>
          <t>m³</t>
        </is>
      </c>
      <c r="H47" s="7" t="n">
        <v>12</v>
      </c>
      <c r="I47" s="9" t="inlineStr">
        <is>
          <t>placeholder 12 m³ (vrt + zaplnění; variantní řešení per A105 mtext)  [výkres:A105]</t>
        </is>
      </c>
      <c r="J47" s="9" t="inlineStr">
        <is>
          <t>ABMV:ABMV_11,ABMV_17</t>
        </is>
      </c>
    </row>
    <row r="48">
      <c r="A48" s="7" t="n">
        <v>30</v>
      </c>
      <c r="B48" s="8" t="inlineStr"/>
      <c r="C48" s="7" t="n">
        <v>2</v>
      </c>
      <c r="D48" s="8" t="inlineStr">
        <is>
          <t>HSV-1</t>
        </is>
      </c>
      <c r="E48" s="8" t="inlineStr">
        <is>
          <t>HSV-1-008</t>
        </is>
      </c>
      <c r="F48" s="9" t="inlineStr">
        <is>
          <t>Pažení výkopů hloubky nad 1.3 m — atypický základ</t>
        </is>
      </c>
      <c r="G48" s="7" t="inlineStr">
        <is>
          <t>m²</t>
        </is>
      </c>
      <c r="H48" s="7" t="n">
        <v>20</v>
      </c>
      <c r="I48" s="9" t="inlineStr">
        <is>
          <t>placeholder 20 m² (perimetr atypického základu × hloubka)  [csn, phase:Phase 0b RE-RUN §3.10]</t>
        </is>
      </c>
      <c r="J48" s="9" t="inlineStr">
        <is>
          <t>ABMV:ABMV_11,ABMV_17</t>
        </is>
      </c>
    </row>
    <row r="49">
      <c r="A49" s="3" t="inlineStr">
        <is>
          <t>→ Výkopy pro nové přípojky</t>
        </is>
      </c>
    </row>
    <row r="50">
      <c r="A50" s="7" t="n">
        <v>31</v>
      </c>
      <c r="B50" s="8" t="inlineStr"/>
      <c r="C50" s="7" t="n">
        <v>2</v>
      </c>
      <c r="D50" s="8" t="inlineStr">
        <is>
          <t>HSV-1</t>
        </is>
      </c>
      <c r="E50" s="8" t="inlineStr">
        <is>
          <t>HSV-1-011</t>
        </is>
      </c>
      <c r="F50" s="9" t="inlineStr">
        <is>
          <t>Pomocné výkopy pro novou přípojku vodovod DN150 LT</t>
        </is>
      </c>
      <c r="G50" s="7" t="inlineStr">
        <is>
          <t>m³</t>
        </is>
      </c>
      <c r="H50" s="7" t="n">
        <v>8</v>
      </c>
      <c r="I50" s="9" t="inlineStr">
        <is>
          <t>cca 16 m × 0.5 m š × 1.0 m h (TZ B m.10.g + RE-RUN §6)</t>
        </is>
      </c>
      <c r="J50" s="9" t="inlineStr">
        <is>
          <t>ABMV:ABMV_17</t>
        </is>
      </c>
    </row>
    <row r="51">
      <c r="A51" s="7" t="n">
        <v>32</v>
      </c>
      <c r="B51" s="8" t="inlineStr"/>
      <c r="C51" s="7" t="n">
        <v>2</v>
      </c>
      <c r="D51" s="8" t="inlineStr">
        <is>
          <t>HSV-1</t>
        </is>
      </c>
      <c r="E51" s="8" t="inlineStr">
        <is>
          <t>HSV-1-012</t>
        </is>
      </c>
      <c r="F51" s="9" t="inlineStr">
        <is>
          <t>Pomocné výkopy pro novou areálovou kanalizaci DN200</t>
        </is>
      </c>
      <c r="G51" s="7" t="inlineStr">
        <is>
          <t>m³</t>
        </is>
      </c>
      <c r="H51" s="7" t="n">
        <v>49.2</v>
      </c>
      <c r="I51" s="9" t="inlineStr">
        <is>
          <t>82 m gravitační × 0.5 m š × 1.2 m h</t>
        </is>
      </c>
      <c r="J51" s="9" t="inlineStr">
        <is>
          <t>ABMV:ABMV_17</t>
        </is>
      </c>
    </row>
    <row r="52">
      <c r="A52" s="3" t="inlineStr">
        <is>
          <t>→ Nakládání + vodorovné přemístění + odvoz zeminy</t>
        </is>
      </c>
    </row>
    <row r="53">
      <c r="A53" s="7" t="n">
        <v>33</v>
      </c>
      <c r="B53" s="8" t="inlineStr"/>
      <c r="C53" s="7" t="n">
        <v>2</v>
      </c>
      <c r="D53" s="8" t="inlineStr">
        <is>
          <t>HSV-1</t>
        </is>
      </c>
      <c r="E53" s="8" t="inlineStr">
        <is>
          <t>HSV-1-016</t>
        </is>
      </c>
      <c r="F53" s="9" t="inlineStr">
        <is>
          <t>Nakládání zeminy hor. tř. 1-4 na dopravní prostředek</t>
        </is>
      </c>
      <c r="G53" s="7" t="inlineStr">
        <is>
          <t>m³</t>
        </is>
      </c>
      <c r="H53" s="7" t="n">
        <v>350</v>
      </c>
      <c r="I53" s="9">
        <f> celkový objem výkopu 350 m³ (Phase 0b baseline)  [phase:Phase 0b RE-RUN §3.10]</f>
        <v/>
      </c>
      <c r="J53" s="9" t="inlineStr">
        <is>
          <t>ABMV:ABMV_17</t>
        </is>
      </c>
    </row>
    <row r="54">
      <c r="A54" s="7" t="n">
        <v>34</v>
      </c>
      <c r="B54" s="8" t="inlineStr"/>
      <c r="C54" s="7" t="n">
        <v>2</v>
      </c>
      <c r="D54" s="8" t="inlineStr">
        <is>
          <t>HSV-1</t>
        </is>
      </c>
      <c r="E54" s="8" t="inlineStr">
        <is>
          <t>HSV-1-017</t>
        </is>
      </c>
      <c r="F54" s="9" t="inlineStr">
        <is>
          <t>Vodorovné přemístění zeminy do 5000 m, sklon do 5 %</t>
        </is>
      </c>
      <c r="G54" s="7" t="inlineStr">
        <is>
          <t>m³</t>
        </is>
      </c>
      <c r="H54" s="7" t="n">
        <v>350</v>
      </c>
      <c r="I54" s="9">
        <f> 350 m³ × 1 (default 5 km deponie)</f>
        <v/>
      </c>
      <c r="J54" s="9" t="inlineStr">
        <is>
          <t>ABMV:ABMV_17</t>
        </is>
      </c>
    </row>
    <row r="55">
      <c r="A55" s="7" t="n">
        <v>35</v>
      </c>
      <c r="B55" s="8" t="inlineStr"/>
      <c r="C55" s="7" t="n">
        <v>2</v>
      </c>
      <c r="D55" s="8" t="inlineStr">
        <is>
          <t>HSV-1</t>
        </is>
      </c>
      <c r="E55" s="8" t="inlineStr">
        <is>
          <t>HSV-1-018</t>
        </is>
      </c>
      <c r="F55" s="9" t="inlineStr">
        <is>
          <t>Odvoz výkopu na deponii / skládku — kontejnerová doprava</t>
        </is>
      </c>
      <c r="G55" s="7" t="inlineStr">
        <is>
          <t>m³</t>
        </is>
      </c>
      <c r="H55" s="7" t="n">
        <v>350</v>
      </c>
      <c r="I55" s="9">
        <f> 350 m³</f>
        <v/>
      </c>
      <c r="J55" s="9" t="inlineStr">
        <is>
          <t>ABMV:ABMV_17</t>
        </is>
      </c>
    </row>
    <row r="56">
      <c r="A56" s="7" t="n">
        <v>36</v>
      </c>
      <c r="B56" s="8" t="inlineStr"/>
      <c r="C56" s="7" t="n">
        <v>2</v>
      </c>
      <c r="D56" s="8" t="inlineStr">
        <is>
          <t>HSV-1</t>
        </is>
      </c>
      <c r="E56" s="8" t="inlineStr">
        <is>
          <t>HSV-1-019</t>
        </is>
      </c>
      <c r="F56" s="9" t="inlineStr">
        <is>
          <t>Skládkovné — uložení vytěžené zeminy na řízené skládce</t>
        </is>
      </c>
      <c r="G56" s="7" t="inlineStr">
        <is>
          <t>t</t>
        </is>
      </c>
      <c r="H56" s="7" t="n">
        <v>630</v>
      </c>
      <c r="I56" s="9" t="inlineStr">
        <is>
          <t>350 m³ × 1.8 t/m³ (zhutněná zemina)</t>
        </is>
      </c>
      <c r="J56" s="9" t="inlineStr">
        <is>
          <t>ABMV:ABMV_17</t>
        </is>
      </c>
    </row>
    <row r="57" ht="22" customHeight="1">
      <c r="A57" s="2" t="inlineStr">
        <is>
          <t>═══ FÁZE 3: ZÁKLADY ═══</t>
        </is>
      </c>
    </row>
    <row r="58">
      <c r="A58" s="3" t="inlineStr">
        <is>
          <t>→ Výměna aktivní zóny pláně</t>
        </is>
      </c>
    </row>
    <row r="59">
      <c r="A59" s="4" t="n">
        <v>37</v>
      </c>
      <c r="B59" s="5" t="inlineStr"/>
      <c r="C59" s="4" t="n">
        <v>3</v>
      </c>
      <c r="D59" s="5" t="inlineStr">
        <is>
          <t>HSV-1</t>
        </is>
      </c>
      <c r="E59" s="5" t="inlineStr">
        <is>
          <t>HSV-1-028</t>
        </is>
      </c>
      <c r="F59" s="6" t="inlineStr">
        <is>
          <t>Výměna aktivní zóny pláně — odstranění navážek GT1 + nahrazení hutněným štěrkem tl. 0.5 m, Edef2 ≥ 45 MPa (Edef2/Edef1 &lt; 2.2)</t>
        </is>
      </c>
      <c r="G59" s="4" t="inlineStr">
        <is>
          <t>m³</t>
        </is>
      </c>
      <c r="H59" s="4" t="n">
        <v>265.61</v>
      </c>
      <c r="I59" s="6" t="inlineStr">
        <is>
          <t>531.22 m² × 0.5 m = 265.61 m³ × 2 operace  [igp_section:4.4, igp_document:inputs/dokumentace/IGP_ALTAGEO_526026.md, Step3]</t>
        </is>
      </c>
      <c r="J59" s="6" t="inlineStr"/>
    </row>
    <row r="60">
      <c r="A60" s="3" t="inlineStr">
        <is>
          <t>→ Štěrkové lože + zhutnění podloží</t>
        </is>
      </c>
    </row>
    <row r="61">
      <c r="A61" s="7" t="n">
        <v>38</v>
      </c>
      <c r="B61" s="8" t="inlineStr"/>
      <c r="C61" s="7" t="n">
        <v>3</v>
      </c>
      <c r="D61" s="8" t="inlineStr">
        <is>
          <t>HSV-1</t>
        </is>
      </c>
      <c r="E61" s="8" t="inlineStr">
        <is>
          <t>HSV-1-013</t>
        </is>
      </c>
      <c r="F61" s="9" t="inlineStr">
        <is>
          <t>Štěrkové lože pod základovou deskou, tl. 250 mm, frakce 0/63</t>
        </is>
      </c>
      <c r="G61" s="7" t="inlineStr">
        <is>
          <t>m³</t>
        </is>
      </c>
      <c r="H61" s="7" t="n">
        <v>123.75</v>
      </c>
      <c r="I61" s="9" t="inlineStr">
        <is>
          <t>495 m² × 0.25 m  [TZ:B]</t>
        </is>
      </c>
      <c r="J61" s="9" t="inlineStr">
        <is>
          <t>ABMV:ABMV_17</t>
        </is>
      </c>
    </row>
    <row r="62">
      <c r="A62" s="7" t="n">
        <v>39</v>
      </c>
      <c r="B62" s="8" t="inlineStr"/>
      <c r="C62" s="7" t="n">
        <v>3</v>
      </c>
      <c r="D62" s="8" t="inlineStr">
        <is>
          <t>HSV-1</t>
        </is>
      </c>
      <c r="E62" s="8" t="inlineStr">
        <is>
          <t>HSV-1-014</t>
        </is>
      </c>
      <c r="F62" s="9" t="inlineStr">
        <is>
          <t>Zhutnění podloží Edef,2 ≥ 45 MPa, Edef2/Ede &lt; 1.75</t>
        </is>
      </c>
      <c r="G62" s="7" t="inlineStr">
        <is>
          <t>m²</t>
        </is>
      </c>
      <c r="H62" s="7" t="n">
        <v>495</v>
      </c>
      <c r="I62" s="9">
        <f> plocha desky  [TZ:B]</f>
        <v/>
      </c>
      <c r="J62" s="9" t="inlineStr">
        <is>
          <t>ABMV:ABMV_17</t>
        </is>
      </c>
    </row>
    <row r="63">
      <c r="A63" s="3" t="inlineStr">
        <is>
          <t>→ Hydroizolace plošná pod desku</t>
        </is>
      </c>
    </row>
    <row r="64">
      <c r="A64" s="4" t="n">
        <v>40</v>
      </c>
      <c r="B64" s="5" t="inlineStr"/>
      <c r="C64" s="4" t="n">
        <v>3</v>
      </c>
      <c r="D64" s="5" t="inlineStr">
        <is>
          <t>HSV-2</t>
        </is>
      </c>
      <c r="E64" s="5" t="inlineStr">
        <is>
          <t>HSV-2-018</t>
        </is>
      </c>
      <c r="F64" s="6" t="inlineStr">
        <is>
          <t>Hydroizolace plošná pod podlahovou desku — 1× SBS modifikovaný asfaltový pás</t>
        </is>
      </c>
      <c r="G64" s="4" t="inlineStr">
        <is>
          <t>m²</t>
        </is>
      </c>
      <c r="H64" s="4" t="n">
        <v>495</v>
      </c>
      <c r="I64" s="6">
        <f> plocha desky  [TZ:B]</f>
        <v/>
      </c>
      <c r="J64" s="6" t="inlineStr"/>
    </row>
    <row r="65">
      <c r="A65" s="3" t="inlineStr">
        <is>
          <t>→ Výztuž patek a pasů</t>
        </is>
      </c>
    </row>
    <row r="66">
      <c r="A66" s="7" t="n">
        <v>41</v>
      </c>
      <c r="B66" s="8" t="inlineStr"/>
      <c r="C66" s="7" t="n">
        <v>3</v>
      </c>
      <c r="D66" s="8" t="inlineStr">
        <is>
          <t>HSV-2</t>
        </is>
      </c>
      <c r="E66" s="8" t="inlineStr">
        <is>
          <t>HSV-2-009</t>
        </is>
      </c>
      <c r="F66" s="9" t="inlineStr">
        <is>
          <t>Výztuž patek a pasů ze svařovaných sítí + vázaná B500B</t>
        </is>
      </c>
      <c r="G66" s="7" t="inlineStr">
        <is>
          <t>kg</t>
        </is>
      </c>
      <c r="H66" s="7" t="n">
        <v>600</v>
      </c>
      <c r="I66" s="9" t="inlineStr">
        <is>
          <t>placeholder 600 kg per RE-RUN §3.4 statika dimensioning</t>
        </is>
      </c>
      <c r="J66" s="9" t="inlineStr"/>
    </row>
    <row r="67">
      <c r="A67" s="3" t="inlineStr">
        <is>
          <t>→ Patky rámové — bednění + beton + odbednění</t>
        </is>
      </c>
    </row>
    <row r="68">
      <c r="A68" s="7" t="n">
        <v>42</v>
      </c>
      <c r="B68" s="8" t="inlineStr"/>
      <c r="C68" s="7" t="n">
        <v>3</v>
      </c>
      <c r="D68" s="8" t="inlineStr">
        <is>
          <t>HSV-2</t>
        </is>
      </c>
      <c r="E68" s="8" t="inlineStr">
        <is>
          <t>HSV-2-002</t>
        </is>
      </c>
      <c r="F68" s="9" t="inlineStr">
        <is>
          <t>Bednění patek rámových dvoustupňových — zřízení</t>
        </is>
      </c>
      <c r="G68" s="7" t="inlineStr">
        <is>
          <t>m²</t>
        </is>
      </c>
      <c r="H68" s="7" t="n">
        <v>66</v>
      </c>
      <c r="I68" s="9" t="inlineStr">
        <is>
          <t>10 × (3.6 + 3.0) = 66.0 m²  [výkres:A105, TZ:D.1.2 (statika) — Návrh opláštění, měřeno:A105]</t>
        </is>
      </c>
      <c r="J68" s="9" t="inlineStr"/>
    </row>
    <row r="69">
      <c r="A69" s="10" t="n">
        <v>43</v>
      </c>
      <c r="B69" s="11" t="inlineStr"/>
      <c r="C69" s="10" t="n">
        <v>3</v>
      </c>
      <c r="D69" s="11" t="inlineStr">
        <is>
          <t>HSV-2</t>
        </is>
      </c>
      <c r="E69" s="11" t="inlineStr">
        <is>
          <t>HSV-2-001</t>
        </is>
      </c>
      <c r="F69" s="12" t="inlineStr">
        <is>
          <t>Beton patek rámových C16/20 XC0 prostý, dvoustupňové</t>
        </is>
      </c>
      <c r="G69" s="10" t="inlineStr">
        <is>
          <t>m³</t>
        </is>
      </c>
      <c r="H69" s="10" t="n">
        <v>22.875</v>
      </c>
      <c r="I69" s="12" t="inlineStr">
        <is>
          <t>10 × (1.5²×0.6 + 1.25²×0.6) = 10 × (1.35 + 0.9375) = 22.875 m³  [výkres:A105, TZ:D.1.1 p3, statika:D.1.2 p29-30]</t>
        </is>
      </c>
      <c r="J69" s="12" t="inlineStr"/>
    </row>
    <row r="70">
      <c r="A70" s="7" t="n">
        <v>44</v>
      </c>
      <c r="B70" s="8" t="inlineStr"/>
      <c r="C70" s="7" t="n">
        <v>3</v>
      </c>
      <c r="D70" s="8" t="inlineStr">
        <is>
          <t>HSV-2</t>
        </is>
      </c>
      <c r="E70" s="8" t="inlineStr">
        <is>
          <t>HSV-2-003</t>
        </is>
      </c>
      <c r="F70" s="9" t="inlineStr">
        <is>
          <t>Bednění patek rámových dvoustupňových — odstranění</t>
        </is>
      </c>
      <c r="G70" s="7" t="inlineStr">
        <is>
          <t>m²</t>
        </is>
      </c>
      <c r="H70" s="7" t="n">
        <v>66</v>
      </c>
      <c r="I70" s="9">
        <f> HSV-2-002 = 66.0 m²  [TZ:D.1.2 (statika) — Návrh opláštění, měřeno:A105]</f>
        <v/>
      </c>
      <c r="J70" s="9" t="inlineStr"/>
    </row>
    <row r="71">
      <c r="A71" s="3" t="inlineStr">
        <is>
          <t>→ Patky štítové — bednění + beton + odbednění</t>
        </is>
      </c>
    </row>
    <row r="72">
      <c r="A72" s="7" t="n">
        <v>45</v>
      </c>
      <c r="B72" s="8" t="inlineStr"/>
      <c r="C72" s="7" t="n">
        <v>3</v>
      </c>
      <c r="D72" s="8" t="inlineStr">
        <is>
          <t>HSV-2</t>
        </is>
      </c>
      <c r="E72" s="8" t="inlineStr">
        <is>
          <t>HSV-2-005</t>
        </is>
      </c>
      <c r="F72" s="9" t="inlineStr">
        <is>
          <t>Bednění patek štítových — zřízení</t>
        </is>
      </c>
      <c r="G72" s="7" t="inlineStr">
        <is>
          <t>m²</t>
        </is>
      </c>
      <c r="H72" s="7" t="n">
        <v>30.72</v>
      </c>
      <c r="I72" s="9" t="inlineStr">
        <is>
          <t>8 × 4 × 0.8 × 1.2 = 30.72 m²  [výkres:A105, tz_typo_resolution]</t>
        </is>
      </c>
      <c r="J72" s="9" t="inlineStr"/>
    </row>
    <row r="73">
      <c r="A73" s="7" t="n">
        <v>46</v>
      </c>
      <c r="B73" s="8" t="inlineStr"/>
      <c r="C73" s="7" t="n">
        <v>3</v>
      </c>
      <c r="D73" s="8" t="inlineStr">
        <is>
          <t>HSV-2</t>
        </is>
      </c>
      <c r="E73" s="8" t="inlineStr">
        <is>
          <t>HSV-2-004</t>
        </is>
      </c>
      <c r="F73" s="9" t="inlineStr">
        <is>
          <t>Beton patek štítových C16/20 XC0 prostý, dvoustupňové</t>
        </is>
      </c>
      <c r="G73" s="7" t="inlineStr">
        <is>
          <t>m³</t>
        </is>
      </c>
      <c r="H73" s="7" t="n">
        <v>6.144</v>
      </c>
      <c r="I73" s="9" t="inlineStr">
        <is>
          <t>8 ks × 0.8 × 0.8 × 1.2 m = 6.144 m³  [výkres:A105, tz_typo_resolution]</t>
        </is>
      </c>
      <c r="J73" s="9" t="inlineStr"/>
    </row>
    <row r="74">
      <c r="A74" s="7" t="n">
        <v>47</v>
      </c>
      <c r="B74" s="8" t="inlineStr"/>
      <c r="C74" s="7" t="n">
        <v>3</v>
      </c>
      <c r="D74" s="8" t="inlineStr">
        <is>
          <t>HSV-2</t>
        </is>
      </c>
      <c r="E74" s="8" t="inlineStr">
        <is>
          <t>HSV-2-006</t>
        </is>
      </c>
      <c r="F74" s="9" t="inlineStr">
        <is>
          <t>Bednění patek štítových — odstranění</t>
        </is>
      </c>
      <c r="G74" s="7" t="inlineStr">
        <is>
          <t>m²</t>
        </is>
      </c>
      <c r="H74" s="7" t="n">
        <v>30.72</v>
      </c>
      <c r="I74" s="9">
        <f> HSV-2-005 = 30.72 m²  [tz_typo_resolution]</f>
        <v/>
      </c>
      <c r="J74" s="9" t="inlineStr"/>
    </row>
    <row r="75">
      <c r="A75" s="3" t="inlineStr">
        <is>
          <t>→ Pasy ŽB — bednění + beton</t>
        </is>
      </c>
    </row>
    <row r="76">
      <c r="A76" s="7" t="n">
        <v>48</v>
      </c>
      <c r="B76" s="8" t="inlineStr"/>
      <c r="C76" s="7" t="n">
        <v>3</v>
      </c>
      <c r="D76" s="8" t="inlineStr">
        <is>
          <t>HSV-2</t>
        </is>
      </c>
      <c r="E76" s="8" t="inlineStr">
        <is>
          <t>HSV-2-008</t>
        </is>
      </c>
      <c r="F76" s="9" t="inlineStr">
        <is>
          <t>Bednění pasů — zřízení</t>
        </is>
      </c>
      <c r="G76" s="7" t="inlineStr">
        <is>
          <t>m²</t>
        </is>
      </c>
      <c r="H76" s="7" t="n">
        <v>36</v>
      </c>
      <c r="I76" s="9" t="inlineStr">
        <is>
          <t>~30 bm × 2 × 0.6 m boční plocha = 36 m²  [výkres:A105]</t>
        </is>
      </c>
      <c r="J76" s="9" t="inlineStr"/>
    </row>
    <row r="77">
      <c r="A77" s="7" t="n">
        <v>49</v>
      </c>
      <c r="B77" s="8" t="inlineStr"/>
      <c r="C77" s="7" t="n">
        <v>3</v>
      </c>
      <c r="D77" s="8" t="inlineStr">
        <is>
          <t>HSV-2</t>
        </is>
      </c>
      <c r="E77" s="8" t="inlineStr">
        <is>
          <t>HSV-2-007</t>
        </is>
      </c>
      <c r="F77" s="9" t="inlineStr">
        <is>
          <t>Beton krátkých pasů v rozích a propojení mezi patkami C16/20 XC0</t>
        </is>
      </c>
      <c r="G77" s="7" t="inlineStr">
        <is>
          <t>m³</t>
        </is>
      </c>
      <c r="H77" s="7" t="n">
        <v>7.2</v>
      </c>
      <c r="I77" s="9" t="inlineStr">
        <is>
          <t>~30 bm × 0.4 × 0.6 m = 7.2 m³  [výkres:A105]</t>
        </is>
      </c>
      <c r="J77" s="9" t="inlineStr"/>
    </row>
    <row r="78">
      <c r="A78" s="3" t="inlineStr">
        <is>
          <t>→ Zásyp výkopů kolem patek</t>
        </is>
      </c>
    </row>
    <row r="79">
      <c r="A79" s="4" t="n">
        <v>50</v>
      </c>
      <c r="B79" s="5" t="inlineStr"/>
      <c r="C79" s="4" t="n">
        <v>3</v>
      </c>
      <c r="D79" s="5" t="inlineStr">
        <is>
          <t>HSV-1</t>
        </is>
      </c>
      <c r="E79" s="5" t="inlineStr">
        <is>
          <t>HSV-1-015</t>
        </is>
      </c>
      <c r="F79" s="6" t="inlineStr">
        <is>
          <t>Zásyp výkopů kolem patek + okolo obetonovaných sítí, zhutněný</t>
        </is>
      </c>
      <c r="G79" s="4" t="inlineStr">
        <is>
          <t>m³</t>
        </is>
      </c>
      <c r="H79" s="4" t="n">
        <v>30</v>
      </c>
      <c r="I79" s="6" t="inlineStr">
        <is>
          <t>placeholder ~30 m³ (zásypy okolo patek + nad obetonovanými sítěmi)  [phase:Phase 0b RE-RUN §3.10]</t>
        </is>
      </c>
      <c r="J79" s="6" t="inlineStr">
        <is>
          <t>ABMV:ABMV_17</t>
        </is>
      </c>
    </row>
    <row r="80">
      <c r="A80" s="3" t="inlineStr">
        <is>
          <t>→ VARIANTA — pilota Ø800 / L=8 m (alternativa)</t>
        </is>
      </c>
    </row>
    <row r="81">
      <c r="A81" s="7" t="n">
        <v>51</v>
      </c>
      <c r="B81" s="8" t="inlineStr"/>
      <c r="C81" s="7" t="n">
        <v>3</v>
      </c>
      <c r="D81" s="8" t="inlineStr">
        <is>
          <t>HSV-2</t>
        </is>
      </c>
      <c r="E81" s="8" t="inlineStr">
        <is>
          <t>HSV-2-010</t>
        </is>
      </c>
      <c r="F81" s="9" t="inlineStr">
        <is>
          <t>VARIANTA — pilota Ø800 / L=8 m C25/30 XC4 vrtná</t>
        </is>
      </c>
      <c r="G81" s="7" t="inlineStr">
        <is>
          <t>ks</t>
        </is>
      </c>
      <c r="H81" s="7" t="n">
        <v>1</v>
      </c>
      <c r="I81" s="9" t="inlineStr">
        <is>
          <t>1 ks pilota Ø800 × 8 m délka  [výkres:A105, igp_section:4.3]</t>
        </is>
      </c>
      <c r="J81" s="9" t="inlineStr"/>
    </row>
    <row r="82">
      <c r="A82" s="7" t="n">
        <v>52</v>
      </c>
      <c r="B82" s="8" t="inlineStr"/>
      <c r="C82" s="7" t="n">
        <v>3</v>
      </c>
      <c r="D82" s="8" t="inlineStr">
        <is>
          <t>HSV-2</t>
        </is>
      </c>
      <c r="E82" s="8" t="inlineStr">
        <is>
          <t>HSV-2-011</t>
        </is>
      </c>
      <c r="F82" s="9" t="inlineStr">
        <is>
          <t>VARIANTA — vrtání piloty Ø800 do hor. tř. 3-4</t>
        </is>
      </c>
      <c r="G82" s="7" t="inlineStr">
        <is>
          <t>bm</t>
        </is>
      </c>
      <c r="H82" s="7" t="n">
        <v>8</v>
      </c>
      <c r="I82" s="9" t="inlineStr">
        <is>
          <t>1 ks × 8 m délka  [výkres:A105, igp_section:4.3]</t>
        </is>
      </c>
      <c r="J82" s="9" t="inlineStr"/>
    </row>
    <row r="83">
      <c r="A83" s="7" t="n">
        <v>53</v>
      </c>
      <c r="B83" s="8" t="inlineStr"/>
      <c r="C83" s="7" t="n">
        <v>3</v>
      </c>
      <c r="D83" s="8" t="inlineStr">
        <is>
          <t>HSV-2</t>
        </is>
      </c>
      <c r="E83" s="8" t="inlineStr">
        <is>
          <t>HSV-2-012</t>
        </is>
      </c>
      <c r="F83" s="9" t="inlineStr">
        <is>
          <t>VARIANTA — výztuž piloty 8× R25 podélná + třmínky Ø10 á 200 B500B</t>
        </is>
      </c>
      <c r="G83" s="7" t="inlineStr">
        <is>
          <t>kg</t>
        </is>
      </c>
      <c r="H83" s="7" t="n">
        <v>380</v>
      </c>
      <c r="I83" s="9" t="inlineStr">
        <is>
          <t>8 ks × 3.86 kg/m × 8 m + třmínky placeholder  [výkres:A105, igp_section:4.3]</t>
        </is>
      </c>
      <c r="J83" s="9" t="inlineStr"/>
    </row>
    <row r="84">
      <c r="A84" s="3" t="inlineStr">
        <is>
          <t>→ Podlahová deska — bednění + výztuž + distance + beton</t>
        </is>
      </c>
    </row>
    <row r="85">
      <c r="A85" s="7" t="n">
        <v>54</v>
      </c>
      <c r="B85" s="8" t="inlineStr"/>
      <c r="C85" s="7" t="n">
        <v>3</v>
      </c>
      <c r="D85" s="8" t="inlineStr">
        <is>
          <t>HSV-2</t>
        </is>
      </c>
      <c r="E85" s="8" t="inlineStr">
        <is>
          <t>HSV-2-014</t>
        </is>
      </c>
      <c r="F85" s="9" t="inlineStr">
        <is>
          <t>Bednění obvodové desky — zřízení</t>
        </is>
      </c>
      <c r="G85" s="7" t="inlineStr">
        <is>
          <t>bm</t>
        </is>
      </c>
      <c r="H85" s="7" t="n">
        <v>95</v>
      </c>
      <c r="I85" s="9" t="inlineStr">
        <is>
          <t>obvod desky ~95 bm  [výkres:A101]</t>
        </is>
      </c>
      <c r="J85" s="9" t="inlineStr"/>
    </row>
    <row r="86">
      <c r="A86" s="7" t="n">
        <v>55</v>
      </c>
      <c r="B86" s="8" t="inlineStr"/>
      <c r="C86" s="7" t="n">
        <v>3</v>
      </c>
      <c r="D86" s="8" t="inlineStr">
        <is>
          <t>HSV-2</t>
        </is>
      </c>
      <c r="E86" s="8" t="inlineStr">
        <is>
          <t>HSV-2-016</t>
        </is>
      </c>
      <c r="F86" s="9" t="inlineStr">
        <is>
          <t>Výztuž desky KARI síť Ø8 oka 100×100 mm B500B — dolní vrstva</t>
        </is>
      </c>
      <c r="G86" s="7" t="inlineStr">
        <is>
          <t>kg</t>
        </is>
      </c>
      <c r="H86" s="7" t="n">
        <v>2098.3</v>
      </c>
      <c r="I86" s="9">
        <f> HSV-2-015 = 2098.3 kg  [měřeno:A105]</f>
        <v/>
      </c>
      <c r="J86" s="9" t="inlineStr"/>
    </row>
    <row r="87">
      <c r="A87" s="4" t="n">
        <v>56</v>
      </c>
      <c r="B87" s="5" t="inlineStr"/>
      <c r="C87" s="4" t="n">
        <v>3</v>
      </c>
      <c r="D87" s="5" t="inlineStr">
        <is>
          <t>HSV-2</t>
        </is>
      </c>
      <c r="E87" s="5" t="inlineStr">
        <is>
          <t>HSV-2-017</t>
        </is>
      </c>
      <c r="F87" s="6" t="inlineStr">
        <is>
          <t>Distanční podložky výztuže desky — plast / beton, krytí 30 mm</t>
        </is>
      </c>
      <c r="G87" s="4" t="inlineStr">
        <is>
          <t>ks</t>
        </is>
      </c>
      <c r="H87" s="4" t="n">
        <v>2475</v>
      </c>
      <c r="I87" s="6" t="inlineStr">
        <is>
          <t>495 m² × 5 ks/m² (typická hustota)</t>
        </is>
      </c>
      <c r="J87" s="6" t="inlineStr"/>
    </row>
    <row r="88">
      <c r="A88" s="7" t="n">
        <v>57</v>
      </c>
      <c r="B88" s="8" t="inlineStr"/>
      <c r="C88" s="7" t="n">
        <v>3</v>
      </c>
      <c r="D88" s="8" t="inlineStr">
        <is>
          <t>HSV-2</t>
        </is>
      </c>
      <c r="E88" s="8" t="inlineStr">
        <is>
          <t>HSV-2-015</t>
        </is>
      </c>
      <c r="F88" s="9" t="inlineStr">
        <is>
          <t>Výztuž desky KARI síť Ø8 oka 100×100 mm B500B — horní vrstva</t>
        </is>
      </c>
      <c r="G88" s="7" t="inlineStr">
        <is>
          <t>kg</t>
        </is>
      </c>
      <c r="H88" s="7" t="n">
        <v>2098.3</v>
      </c>
      <c r="I88" s="9" t="inlineStr">
        <is>
          <t>531.22 × 3.95 = 2098.3 kg  [měřeno:A105]</t>
        </is>
      </c>
      <c r="J88" s="9" t="inlineStr"/>
    </row>
    <row r="89">
      <c r="A89" s="13" t="n">
        <v>58</v>
      </c>
      <c r="B89" s="14" t="inlineStr"/>
      <c r="C89" s="13" t="n">
        <v>3</v>
      </c>
      <c r="D89" s="14" t="inlineStr">
        <is>
          <t>HSV-2</t>
        </is>
      </c>
      <c r="E89" s="14" t="inlineStr">
        <is>
          <t>HSV-2-013</t>
        </is>
      </c>
      <c r="F89" s="15" t="inlineStr">
        <is>
          <t>Beton podlahové desky C25/30 XC4, tl. 200 mm — strojně rovnaný povrch</t>
        </is>
      </c>
      <c r="G89" s="13" t="inlineStr">
        <is>
          <t>m³</t>
        </is>
      </c>
      <c r="H89" s="13" t="n">
        <v>106.24</v>
      </c>
      <c r="I89" s="15" t="inlineStr">
        <is>
          <t>531.22 × 0.20 = 106.24 m³  [TZ:B, měřeno:A105, ABMV]</t>
        </is>
      </c>
      <c r="J89" s="15" t="inlineStr">
        <is>
          <t>rev:beton-class</t>
        </is>
      </c>
    </row>
    <row r="90" ht="22" customHeight="1">
      <c r="A90" s="2" t="inlineStr">
        <is>
          <t>═══ FÁZE 4: NOSNÁ OCELOVÁ KONSTRUKCE ═══</t>
        </is>
      </c>
    </row>
    <row r="91">
      <c r="A91" s="3" t="inlineStr">
        <is>
          <t>→ Doprava OK na stavbu</t>
        </is>
      </c>
    </row>
    <row r="92">
      <c r="A92" s="4" t="n">
        <v>59</v>
      </c>
      <c r="B92" s="5" t="inlineStr"/>
      <c r="C92" s="4" t="n">
        <v>4</v>
      </c>
      <c r="D92" s="5" t="inlineStr">
        <is>
          <t>HSV-3</t>
        </is>
      </c>
      <c r="E92" s="5" t="inlineStr">
        <is>
          <t>HSV-3-011</t>
        </is>
      </c>
      <c r="F92" s="6" t="inlineStr">
        <is>
          <t>Doprava ocelové konstrukce na stavbu (default 50 km)</t>
        </is>
      </c>
      <c r="G92" s="4" t="inlineStr">
        <is>
          <t>t·km</t>
        </is>
      </c>
      <c r="H92" s="4" t="n">
        <v>1400</v>
      </c>
      <c r="I92" s="6" t="inlineStr">
        <is>
          <t>28 t × 50 km</t>
        </is>
      </c>
      <c r="J92" s="6" t="inlineStr"/>
    </row>
    <row r="93">
      <c r="A93" s="3" t="inlineStr">
        <is>
          <t>→ Kotvení sloupů ke patkám</t>
        </is>
      </c>
    </row>
    <row r="94">
      <c r="A94" s="7" t="n">
        <v>60</v>
      </c>
      <c r="B94" s="8" t="inlineStr"/>
      <c r="C94" s="7" t="n">
        <v>4</v>
      </c>
      <c r="D94" s="8" t="inlineStr">
        <is>
          <t>HSV-3</t>
        </is>
      </c>
      <c r="E94" s="8" t="inlineStr">
        <is>
          <t>HSV-3-009</t>
        </is>
      </c>
      <c r="F94" s="9" t="inlineStr">
        <is>
          <t>Kotvení sloupů ke patkám — chemická kotva M20 nebo zalité šrouby, výztužná deska</t>
        </is>
      </c>
      <c r="G94" s="7" t="inlineStr">
        <is>
          <t>ks</t>
        </is>
      </c>
      <c r="H94" s="7" t="n">
        <v>176</v>
      </c>
      <c r="I94" s="9" t="inlineStr">
        <is>
          <t>(36 + 8) sloupů × 4 kotvy/sloup = 176 ks  [výkres:A105]</t>
        </is>
      </c>
      <c r="J94" s="9" t="inlineStr"/>
    </row>
    <row r="95">
      <c r="A95" s="3" t="inlineStr">
        <is>
          <t>→ Pomocné lešení OK</t>
        </is>
      </c>
    </row>
    <row r="96">
      <c r="A96" s="4" t="n">
        <v>61</v>
      </c>
      <c r="B96" s="5" t="inlineStr"/>
      <c r="C96" s="4" t="n">
        <v>4</v>
      </c>
      <c r="D96" s="5" t="inlineStr">
        <is>
          <t>HSV-9</t>
        </is>
      </c>
      <c r="E96" s="5" t="inlineStr">
        <is>
          <t>HSV-9-002</t>
        </is>
      </c>
      <c r="F96" s="6" t="inlineStr">
        <is>
          <t>Pomocné lešení pro montáž ocelové konstrukce, výška do 6 m</t>
        </is>
      </c>
      <c r="G96" s="4" t="inlineStr">
        <is>
          <t>m³</t>
        </is>
      </c>
      <c r="H96" s="4" t="n">
        <v>200</v>
      </c>
      <c r="I96" s="6" t="inlineStr">
        <is>
          <t>placeholder ~200 m³ prostorové lešení pro halu 28×19×6 m</t>
        </is>
      </c>
      <c r="J96" s="6" t="inlineStr"/>
    </row>
    <row r="97">
      <c r="A97" s="3" t="inlineStr">
        <is>
          <t>→ Dodávka prvků OK (sloupy, příčle, vaznice, ztužidla)</t>
        </is>
      </c>
    </row>
    <row r="98">
      <c r="A98" s="4" t="n">
        <v>62</v>
      </c>
      <c r="B98" s="5" t="inlineStr"/>
      <c r="C98" s="4" t="n">
        <v>4</v>
      </c>
      <c r="D98" s="5" t="inlineStr">
        <is>
          <t>HSV-3</t>
        </is>
      </c>
      <c r="E98" s="5" t="inlineStr">
        <is>
          <t>HSV-3-001</t>
        </is>
      </c>
      <c r="F98" s="6" t="inlineStr">
        <is>
          <t>Specifikace + dodávka sloupy IPE 400 S235 jakost J0, EXC2 dle ČSN EN 1090-2</t>
        </is>
      </c>
      <c r="G98" s="4" t="inlineStr">
        <is>
          <t>kg</t>
        </is>
      </c>
      <c r="H98" s="4" t="n">
        <v>10263.24</v>
      </c>
      <c r="I98" s="6" t="inlineStr">
        <is>
          <t>36 ks × 4.3 m × 66.3 kg/m = 10 263 kg  [výkres:A101]</t>
        </is>
      </c>
      <c r="J98" s="6" t="inlineStr"/>
    </row>
    <row r="99">
      <c r="A99" s="7" t="n">
        <v>63</v>
      </c>
      <c r="B99" s="8" t="inlineStr"/>
      <c r="C99" s="7" t="n">
        <v>4</v>
      </c>
      <c r="D99" s="8" t="inlineStr">
        <is>
          <t>HSV-3</t>
        </is>
      </c>
      <c r="E99" s="8" t="inlineStr">
        <is>
          <t>HSV-3-002</t>
        </is>
      </c>
      <c r="F99" s="9" t="inlineStr">
        <is>
          <t>Specifikace + dodávka sloupy HEA 200 S235 jakost J0, štítové, EXC2</t>
        </is>
      </c>
      <c r="G99" s="7" t="inlineStr">
        <is>
          <t>kg</t>
        </is>
      </c>
      <c r="H99" s="7" t="n">
        <v>1455.12</v>
      </c>
      <c r="I99" s="9" t="inlineStr">
        <is>
          <t>8 ks × 4.3 m × 42.3 kg/m = 1 455 kg  [výkres:A101]</t>
        </is>
      </c>
      <c r="J99" s="9" t="inlineStr"/>
    </row>
    <row r="100">
      <c r="A100" s="7" t="n">
        <v>64</v>
      </c>
      <c r="B100" s="8" t="inlineStr"/>
      <c r="C100" s="7" t="n">
        <v>4</v>
      </c>
      <c r="D100" s="8" t="inlineStr">
        <is>
          <t>HSV-3</t>
        </is>
      </c>
      <c r="E100" s="8" t="inlineStr">
        <is>
          <t>HSV-3-003</t>
        </is>
      </c>
      <c r="F100" s="9" t="inlineStr">
        <is>
          <t>Specifikace + dodávka příčlí IPE 450 S235 s náběhem (sklon 5.25°)</t>
        </is>
      </c>
      <c r="G100" s="7" t="inlineStr">
        <is>
          <t>kg</t>
        </is>
      </c>
      <c r="H100" s="7" t="n">
        <v>9474.959999999999</v>
      </c>
      <c r="I100" s="9" t="inlineStr">
        <is>
          <t>6 rámů × 18.5 m × 77.6 kg/m × 1.1 (náběh) = 9 478 kg</t>
        </is>
      </c>
      <c r="J100" s="9" t="inlineStr"/>
    </row>
    <row r="101">
      <c r="A101" s="7" t="n">
        <v>65</v>
      </c>
      <c r="B101" s="8" t="inlineStr"/>
      <c r="C101" s="7" t="n">
        <v>4</v>
      </c>
      <c r="D101" s="8" t="inlineStr">
        <is>
          <t>HSV-3</t>
        </is>
      </c>
      <c r="E101" s="8" t="inlineStr">
        <is>
          <t>HSV-3-004</t>
        </is>
      </c>
      <c r="F101" s="9" t="inlineStr">
        <is>
          <t>Specifikace + dodávka vaznice IPE 160 S235 jakost J0</t>
        </is>
      </c>
      <c r="G101" s="7" t="inlineStr">
        <is>
          <t>kg</t>
        </is>
      </c>
      <c r="H101" s="7" t="n">
        <v>5195.04</v>
      </c>
      <c r="I101" s="9" t="inlineStr">
        <is>
          <t>12 řad × 27.4 m × 15.8 kg/m = 5 195 kg  [TZ:D.1.2 (statika) — vaznice rozteč]</t>
        </is>
      </c>
      <c r="J101" s="9" t="inlineStr"/>
    </row>
    <row r="102">
      <c r="A102" s="7" t="n">
        <v>66</v>
      </c>
      <c r="B102" s="8" t="inlineStr"/>
      <c r="C102" s="7" t="n">
        <v>4</v>
      </c>
      <c r="D102" s="8" t="inlineStr">
        <is>
          <t>HSV-3</t>
        </is>
      </c>
      <c r="E102" s="8" t="inlineStr">
        <is>
          <t>HSV-3-005</t>
        </is>
      </c>
      <c r="F102" s="9" t="inlineStr">
        <is>
          <t>Specifikace + dodávka vaznice krajní UPE 160 S235 jakost J0</t>
        </is>
      </c>
      <c r="G102" s="7" t="inlineStr">
        <is>
          <t>kg</t>
        </is>
      </c>
      <c r="H102" s="7" t="n">
        <v>1030.24</v>
      </c>
      <c r="I102" s="9" t="inlineStr">
        <is>
          <t>2 ks × 27.4 m × 18.8 kg/m = 1 030 kg</t>
        </is>
      </c>
      <c r="J102" s="9" t="inlineStr">
        <is>
          <t>ABMV:ABMV_15</t>
        </is>
      </c>
    </row>
    <row r="103">
      <c r="A103" s="7" t="n">
        <v>67</v>
      </c>
      <c r="B103" s="8" t="inlineStr"/>
      <c r="C103" s="7" t="n">
        <v>4</v>
      </c>
      <c r="D103" s="8" t="inlineStr">
        <is>
          <t>HSV-3</t>
        </is>
      </c>
      <c r="E103" s="8" t="inlineStr">
        <is>
          <t>HSV-3-006</t>
        </is>
      </c>
      <c r="F103" s="9" t="inlineStr">
        <is>
          <t>Specifikace + dodávka ztužidla stěnová L 70/70/6 S235</t>
        </is>
      </c>
      <c r="G103" s="7" t="inlineStr">
        <is>
          <t>kg</t>
        </is>
      </c>
      <c r="H103" s="7" t="n">
        <v>327.68</v>
      </c>
      <c r="I103" s="9" t="inlineStr">
        <is>
          <t>8 ks × 6.4 m × 6.4 kg/m = 328 kg</t>
        </is>
      </c>
      <c r="J103" s="9" t="inlineStr"/>
    </row>
    <row r="104">
      <c r="A104" s="7" t="n">
        <v>68</v>
      </c>
      <c r="B104" s="8" t="inlineStr"/>
      <c r="C104" s="7" t="n">
        <v>4</v>
      </c>
      <c r="D104" s="8" t="inlineStr">
        <is>
          <t>HSV-3</t>
        </is>
      </c>
      <c r="E104" s="8" t="inlineStr">
        <is>
          <t>HSV-3-007</t>
        </is>
      </c>
      <c r="F104" s="9" t="inlineStr">
        <is>
          <t>Specifikace + dodávka ztužidla střešní z kruhových tyčí Ø20 S235</t>
        </is>
      </c>
      <c r="G104" s="7" t="inlineStr">
        <is>
          <t>kg</t>
        </is>
      </c>
      <c r="H104" s="7" t="n">
        <v>237.12</v>
      </c>
      <c r="I104" s="9" t="inlineStr">
        <is>
          <t>8 ks × 12 m × 2.47 kg/m = 237 kg  [výkres:A101]</t>
        </is>
      </c>
      <c r="J104" s="9" t="inlineStr"/>
    </row>
    <row r="105">
      <c r="A105" s="3" t="inlineStr">
        <is>
          <t>→ Styčníkové plechy + spojovací materiál</t>
        </is>
      </c>
    </row>
    <row r="106">
      <c r="A106" s="7" t="n">
        <v>69</v>
      </c>
      <c r="B106" s="8" t="inlineStr"/>
      <c r="C106" s="7" t="n">
        <v>4</v>
      </c>
      <c r="D106" s="8" t="inlineStr">
        <is>
          <t>HSV-3</t>
        </is>
      </c>
      <c r="E106" s="8" t="inlineStr">
        <is>
          <t>HSV-3-008</t>
        </is>
      </c>
      <c r="F106" s="9" t="inlineStr">
        <is>
          <t>Styčníkové plechy + spojovací materiál šroubový grade 8.8 — celk. paušál 6%</t>
        </is>
      </c>
      <c r="G106" s="7" t="inlineStr">
        <is>
          <t>kg</t>
        </is>
      </c>
      <c r="H106" s="7" t="n">
        <v>1450</v>
      </c>
      <c r="I106" s="9" t="inlineStr">
        <is>
          <t>~6% × součet OK 27 985 kg ≈ 1 450 kg  [csn]</t>
        </is>
      </c>
      <c r="J106" s="9" t="inlineStr"/>
    </row>
    <row r="107">
      <c r="A107" s="3" t="inlineStr">
        <is>
          <t>→ Montáž OK — kompletace rámové haly</t>
        </is>
      </c>
    </row>
    <row r="108">
      <c r="A108" s="7" t="n">
        <v>70</v>
      </c>
      <c r="B108" s="8" t="inlineStr"/>
      <c r="C108" s="7" t="n">
        <v>4</v>
      </c>
      <c r="D108" s="8" t="inlineStr">
        <is>
          <t>HSV-3</t>
        </is>
      </c>
      <c r="E108" s="8" t="inlineStr">
        <is>
          <t>HSV-3-010</t>
        </is>
      </c>
      <c r="F108" s="9" t="inlineStr">
        <is>
          <t>Montáž ocelové konstrukce — kompletní rámová hala, dle ČSN EN 1090-2 EXC2 tol. cl. 1</t>
        </is>
      </c>
      <c r="G108" s="7" t="inlineStr">
        <is>
          <t>t</t>
        </is>
      </c>
      <c r="H108" s="7" t="n">
        <v>28</v>
      </c>
      <c r="I108" s="9" t="inlineStr">
        <is>
          <t>součet OK profilů + kotev = ~28 t</t>
        </is>
      </c>
      <c r="J108" s="9" t="inlineStr"/>
    </row>
    <row r="109">
      <c r="A109" s="3" t="inlineStr">
        <is>
          <t>→ Demontáž pomocného lešení po montáži OK</t>
        </is>
      </c>
    </row>
    <row r="110">
      <c r="A110" s="7" t="n">
        <v>71</v>
      </c>
      <c r="B110" s="8" t="inlineStr"/>
      <c r="C110" s="7" t="n">
        <v>4</v>
      </c>
      <c r="D110" s="8" t="inlineStr">
        <is>
          <t>HSV-9</t>
        </is>
      </c>
      <c r="E110" s="8" t="inlineStr">
        <is>
          <t>HSV-9-003</t>
        </is>
      </c>
      <c r="F110" s="9" t="inlineStr">
        <is>
          <t>Demontáž pomocného lešení po dokončení montáže</t>
        </is>
      </c>
      <c r="G110" s="7" t="inlineStr">
        <is>
          <t>m³</t>
        </is>
      </c>
      <c r="H110" s="7" t="n">
        <v>200</v>
      </c>
      <c r="I110" s="9">
        <f> pomocné lešení</f>
        <v/>
      </c>
      <c r="J110" s="9" t="inlineStr"/>
    </row>
    <row r="111">
      <c r="A111" s="3" t="inlineStr">
        <is>
          <t>→ Povrchové úpravy OK (antikoroze + protipožární)</t>
        </is>
      </c>
    </row>
    <row r="112">
      <c r="A112" s="7" t="n">
        <v>72</v>
      </c>
      <c r="B112" s="8" t="inlineStr"/>
      <c r="C112" s="7" t="n">
        <v>4</v>
      </c>
      <c r="D112" s="8" t="inlineStr">
        <is>
          <t>HSV-3</t>
        </is>
      </c>
      <c r="E112" s="8" t="inlineStr">
        <is>
          <t>HSV-3-012</t>
        </is>
      </c>
      <c r="F112" s="9" t="inlineStr">
        <is>
          <t>Antikorozní nátěr 2-vrstvý dle ISO 12944, korozní katego­rie C2, P1, životnost 15 let</t>
        </is>
      </c>
      <c r="G112" s="7" t="inlineStr">
        <is>
          <t>m²</t>
        </is>
      </c>
      <c r="H112" s="7" t="n">
        <v>850</v>
      </c>
      <c r="I112" s="9" t="inlineStr">
        <is>
          <t>celk. povrch profilů ~30 m²/t × 28 t = 850 m²  [výkres:C2]</t>
        </is>
      </c>
      <c r="J112" s="9" t="inlineStr"/>
    </row>
    <row r="113">
      <c r="A113" s="7" t="n">
        <v>73</v>
      </c>
      <c r="B113" s="8" t="inlineStr"/>
      <c r="C113" s="7" t="n">
        <v>4</v>
      </c>
      <c r="D113" s="8" t="inlineStr">
        <is>
          <t>HSV-3</t>
        </is>
      </c>
      <c r="E113" s="8" t="inlineStr">
        <is>
          <t>HSV-3-013</t>
        </is>
      </c>
      <c r="F113" s="9" t="inlineStr">
        <is>
          <t>Protipožární nátěr — interiérové prvky R 15 DP1</t>
        </is>
      </c>
      <c r="G113" s="7" t="inlineStr">
        <is>
          <t>m²</t>
        </is>
      </c>
      <c r="H113" s="7" t="n">
        <v>850</v>
      </c>
      <c r="I113" s="9">
        <f> antikor plocha (interiérové prvky stejně)</f>
        <v/>
      </c>
      <c r="J113" s="9" t="inlineStr"/>
    </row>
    <row r="114">
      <c r="A114" s="3" t="inlineStr">
        <is>
          <t>→ Revize OK + protokol EXC2</t>
        </is>
      </c>
    </row>
    <row r="115">
      <c r="A115" s="7" t="n">
        <v>74</v>
      </c>
      <c r="B115" s="8" t="inlineStr"/>
      <c r="C115" s="7" t="n">
        <v>4</v>
      </c>
      <c r="D115" s="8" t="inlineStr">
        <is>
          <t>HSV-3</t>
        </is>
      </c>
      <c r="E115" s="8" t="inlineStr">
        <is>
          <t>HSV-3-014</t>
        </is>
      </c>
      <c r="F115" s="9" t="inlineStr">
        <is>
          <t>Revize ocelové konstrukce + protokol o předání, EXC2 ČSN EN 1090-2</t>
        </is>
      </c>
      <c r="G115" s="7" t="inlineStr">
        <is>
          <t>paušál</t>
        </is>
      </c>
      <c r="H115" s="7" t="n">
        <v>1</v>
      </c>
      <c r="I115" s="9" t="inlineStr">
        <is>
          <t>paušál  [csn]</t>
        </is>
      </c>
      <c r="J115" s="9" t="inlineStr"/>
    </row>
    <row r="116" ht="22" customHeight="1">
      <c r="A116" s="2" t="inlineStr">
        <is>
          <t>═══ FÁZE 5: OPLÁŠTĚNÍ KINGSPAN ═══</t>
        </is>
      </c>
    </row>
    <row r="117">
      <c r="A117" s="3" t="inlineStr">
        <is>
          <t>→ Pomocné lešení pro opláštění (pojízdné)</t>
        </is>
      </c>
    </row>
    <row r="118">
      <c r="A118" s="7" t="n">
        <v>75</v>
      </c>
      <c r="B118" s="8" t="inlineStr"/>
      <c r="C118" s="7" t="n">
        <v>5</v>
      </c>
      <c r="D118" s="8" t="inlineStr">
        <is>
          <t>HSV-9</t>
        </is>
      </c>
      <c r="E118" s="8" t="inlineStr">
        <is>
          <t>HSV-9-004</t>
        </is>
      </c>
      <c r="F118" s="9" t="inlineStr">
        <is>
          <t>Pomocné lešení pro montáž opláštění (Kingspan) a klempířiny — pojízdné</t>
        </is>
      </c>
      <c r="G118" s="7" t="inlineStr">
        <is>
          <t>m³</t>
        </is>
      </c>
      <c r="H118" s="7" t="n">
        <v>120</v>
      </c>
      <c r="I118" s="9" t="inlineStr">
        <is>
          <t>placeholder ~120 m³ pojízdné lešení pro obvodový plášť</t>
        </is>
      </c>
      <c r="J118" s="9" t="inlineStr"/>
    </row>
    <row r="119">
      <c r="A119" s="3" t="inlineStr">
        <is>
          <t>→ Doprava sendvičových panelů Kingspan</t>
        </is>
      </c>
    </row>
    <row r="120">
      <c r="A120" s="4" t="n">
        <v>76</v>
      </c>
      <c r="B120" s="5" t="inlineStr"/>
      <c r="C120" s="4" t="n">
        <v>5</v>
      </c>
      <c r="D120" s="5" t="inlineStr">
        <is>
          <t>PSV-OPL</t>
        </is>
      </c>
      <c r="E120" s="5" t="inlineStr">
        <is>
          <t>PSV-OPL-007</t>
        </is>
      </c>
      <c r="F120" s="6" t="inlineStr">
        <is>
          <t>Doprava sendvičových panelů Kingspan na stavbu — paušál</t>
        </is>
      </c>
      <c r="G120" s="4" t="inlineStr">
        <is>
          <t>paušál</t>
        </is>
      </c>
      <c r="H120" s="4" t="n">
        <v>1</v>
      </c>
      <c r="I120" s="6" t="inlineStr">
        <is>
          <t>paušál  [TZ:D.1.1]</t>
        </is>
      </c>
      <c r="J120" s="6" t="inlineStr"/>
    </row>
    <row r="121">
      <c r="A121" s="3" t="inlineStr">
        <is>
          <t>→ Stěnové panely KS NF 200 mm — dodávka + montáž</t>
        </is>
      </c>
    </row>
    <row r="122">
      <c r="A122" s="4" t="n">
        <v>77</v>
      </c>
      <c r="B122" s="5" t="inlineStr"/>
      <c r="C122" s="4" t="n">
        <v>5</v>
      </c>
      <c r="D122" s="5" t="inlineStr">
        <is>
          <t>PSV-OPL</t>
        </is>
      </c>
      <c r="E122" s="5" t="inlineStr">
        <is>
          <t>PSV-OPL-001</t>
        </is>
      </c>
      <c r="F122" s="6" t="inlineStr">
        <is>
          <t>Kingspan KS NF 200 mm, jádro minerální vata (MW) per TZ ARS p4 + PBR §3 + ABMV_13 closure, plech vnější/vnitřní 0.6/0.4 mm, profilace M (Micro)/Q (Minibox), S280GD/S280GD, dle EN 14509:2013, výrobní závod Hradec Králové (Kingspan ČR), barva bílá + modrá (RAL standard)</t>
        </is>
      </c>
      <c r="G122" s="4" t="inlineStr">
        <is>
          <t>m²</t>
        </is>
      </c>
      <c r="H122" s="4" t="n">
        <v>528.5</v>
      </c>
      <c r="I122" s="6" t="inlineStr">
        <is>
          <t>fasáda netto Step3 v2: 623.3 m² brutto − 94.82 m² otvory (vrata 3.5×4.0 per TZ ARS) = 528.5 m²  [TZ:D.1.1, Step3, ABMV]</t>
        </is>
      </c>
      <c r="J122" s="6" t="inlineStr">
        <is>
          <t>ABMV:ABMV_13</t>
        </is>
      </c>
    </row>
    <row r="123">
      <c r="A123" s="10" t="n">
        <v>78</v>
      </c>
      <c r="B123" s="11" t="inlineStr"/>
      <c r="C123" s="10" t="n">
        <v>5</v>
      </c>
      <c r="D123" s="11" t="inlineStr">
        <is>
          <t>PSV-OPL</t>
        </is>
      </c>
      <c r="E123" s="11" t="inlineStr">
        <is>
          <t>PSV-OPL-002</t>
        </is>
      </c>
      <c r="F123" s="12" t="inlineStr">
        <is>
          <t>Montáž obvodového opláštění Kingspan KS NF 200 mm — kotvení samořeznými šrouby + EPDM těsnicí podložkou k ocelové konstrukci (rozteč rámů 6,1 m per statika), per TZ ARS D.1.1 p4 montážní předpis výrobce</t>
        </is>
      </c>
      <c r="G123" s="10" t="inlineStr">
        <is>
          <t>m²</t>
        </is>
      </c>
      <c r="H123" s="10" t="n">
        <v>528.5</v>
      </c>
      <c r="I123" s="12" t="inlineStr">
        <is>
          <t>fasáda netto Step3 v2: 623.3 m² brutto − 94.82 m² otvory (vrata 3.5×4.0 per TZ ARS) = 528.5 m²  [TZ:D.1.1, ABMV, TZ:D.1.2 (statika) — Návrh opláštění]</t>
        </is>
      </c>
      <c r="J123" s="12" t="inlineStr"/>
    </row>
    <row r="124">
      <c r="A124" s="3" t="inlineStr">
        <is>
          <t>→ Střešní panely KS FF-ROC 200 mm — dodávka + montáž</t>
        </is>
      </c>
    </row>
    <row r="125">
      <c r="A125" s="4" t="n">
        <v>79</v>
      </c>
      <c r="B125" s="5" t="inlineStr"/>
      <c r="C125" s="4" t="n">
        <v>5</v>
      </c>
      <c r="D125" s="5" t="inlineStr">
        <is>
          <t>PSV-OPL</t>
        </is>
      </c>
      <c r="E125" s="5" t="inlineStr">
        <is>
          <t>PSV-OPL-003</t>
        </is>
      </c>
      <c r="F125" s="6" t="inlineStr">
        <is>
          <t>Kingspan KS FF-ROC tl. 200 mm, jádro ROC (Rockwool — minerální vata), pro šikmé střechy sklon 5.25°, plech vnější/vnitřní 0.6/0.5 mm, profilace trapéz 34 mm/Q (minibox), S280GD/S280GD, dle EN 14509:2013, výrobní závod Lipsko (Kingspan Polská republika), vaznice rozteč max 1.5 m per statika</t>
        </is>
      </c>
      <c r="G125" s="4" t="inlineStr">
        <is>
          <t>m²</t>
        </is>
      </c>
      <c r="H125" s="4" t="n">
        <v>558.8</v>
      </c>
      <c r="I125" s="6" t="inlineStr">
        <is>
          <t>střecha netto Step3: brutto 556.5 m² / cos(5.25°) = 558.8 m²  [TZ:D.1.1, DXF, Step3]</t>
        </is>
      </c>
      <c r="J125" s="6" t="inlineStr">
        <is>
          <t>ABMV:ABMV_13</t>
        </is>
      </c>
    </row>
    <row r="126">
      <c r="A126" s="10" t="n">
        <v>80</v>
      </c>
      <c r="B126" s="11" t="inlineStr"/>
      <c r="C126" s="10" t="n">
        <v>5</v>
      </c>
      <c r="D126" s="11" t="inlineStr">
        <is>
          <t>PSV-OPL</t>
        </is>
      </c>
      <c r="E126" s="11" t="inlineStr">
        <is>
          <t>PSV-OPL-004</t>
        </is>
      </c>
      <c r="F126" s="12" t="inlineStr">
        <is>
          <t>Montáž střešního opláštění Kingspan KS FF-ROC 200 mm — kotvení k ocelové konstrukci samořeznými šrouby + těsnění přesahů, uložení prosté/spojité (2-3 polí) na vaznicích rozteč max 1.5 m per statika TZ D.1.2</t>
        </is>
      </c>
      <c r="G126" s="10" t="inlineStr">
        <is>
          <t>m²</t>
        </is>
      </c>
      <c r="H126" s="10" t="n">
        <v>558.8</v>
      </c>
      <c r="I126" s="12" t="inlineStr">
        <is>
          <t>střecha netto Step3 = 558.8 m²  [TZ:D.1.1, TZ:D.1.2 (statika) — Návrh opláštění]</t>
        </is>
      </c>
      <c r="J126" s="12" t="inlineStr"/>
    </row>
    <row r="127">
      <c r="A127" s="3" t="inlineStr">
        <is>
          <t>→ Spojovací materiál + EPDM těsnění Kingspan</t>
        </is>
      </c>
    </row>
    <row r="128">
      <c r="A128" s="4" t="n">
        <v>81</v>
      </c>
      <c r="B128" s="5" t="inlineStr"/>
      <c r="C128" s="4" t="n">
        <v>5</v>
      </c>
      <c r="D128" s="5" t="inlineStr">
        <is>
          <t>PSV-OPL</t>
        </is>
      </c>
      <c r="E128" s="5" t="inlineStr">
        <is>
          <t>PSV-OPL-006</t>
        </is>
      </c>
      <c r="F128" s="6" t="inlineStr">
        <is>
          <t>Spojovací materiál + těsnění + EPDM podložky Kingspan systém — paušál pro celý objem opláštění</t>
        </is>
      </c>
      <c r="G128" s="4" t="inlineStr">
        <is>
          <t>kpl</t>
        </is>
      </c>
      <c r="H128" s="4" t="n">
        <v>1</v>
      </c>
      <c r="I128" s="6" t="inlineStr">
        <is>
          <t>paušál  [TZ:D.1.1]</t>
        </is>
      </c>
      <c r="J128" s="6" t="inlineStr"/>
    </row>
    <row r="129">
      <c r="A129" s="3" t="inlineStr">
        <is>
          <t>→ Klempířské lemy přechody střecha–fasáda</t>
        </is>
      </c>
    </row>
    <row r="130">
      <c r="A130" s="13" t="n">
        <v>82</v>
      </c>
      <c r="B130" s="14" t="inlineStr"/>
      <c r="C130" s="13" t="n">
        <v>5</v>
      </c>
      <c r="D130" s="14" t="inlineStr">
        <is>
          <t>PSV-OPL</t>
        </is>
      </c>
      <c r="E130" s="14" t="inlineStr">
        <is>
          <t>PSV-OPL-005</t>
        </is>
      </c>
      <c r="F130" s="15" t="inlineStr">
        <is>
          <t>Klempířské lemy + přechody střecha–fasáda, pozinkovaný plech — atika, úžlabí, nároží, parapety, krycí lišty — dle TZ ARS DPZ D.1.1</t>
        </is>
      </c>
      <c r="G130" s="13" t="inlineStr">
        <is>
          <t>bm</t>
        </is>
      </c>
      <c r="H130" s="13" t="n">
        <v>207</v>
      </c>
      <c r="I130" s="15" t="inlineStr">
        <is>
          <t>2 × obvod budovy 103.5 m = 207.0 bm (hrubý odhad atika + parapety)  [TZ:D.1.1, Step3]</t>
        </is>
      </c>
      <c r="J130" s="15" t="inlineStr">
        <is>
          <t>rev:qty</t>
        </is>
      </c>
    </row>
    <row r="131">
      <c r="A131" s="3" t="inlineStr">
        <is>
          <t>→ Statické posouzení uchycení Kingspan</t>
        </is>
      </c>
    </row>
    <row r="132">
      <c r="A132" s="4" t="n">
        <v>83</v>
      </c>
      <c r="B132" s="5" t="inlineStr"/>
      <c r="C132" s="4" t="n">
        <v>5</v>
      </c>
      <c r="D132" s="5" t="inlineStr">
        <is>
          <t>PSV-OPL</t>
        </is>
      </c>
      <c r="E132" s="5" t="inlineStr">
        <is>
          <t>PSV-OPL-008</t>
        </is>
      </c>
      <c r="F132" s="6" t="inlineStr">
        <is>
          <t>Statické posouzení uchycení Kingspan k ocelové konstrukci + revizní zpráva — paušál</t>
        </is>
      </c>
      <c r="G132" s="4" t="inlineStr">
        <is>
          <t>paušál</t>
        </is>
      </c>
      <c r="H132" s="4" t="n">
        <v>1</v>
      </c>
      <c r="I132" s="6" t="inlineStr">
        <is>
          <t>paušál  [TZ:D.1.1]</t>
        </is>
      </c>
      <c r="J132" s="6" t="inlineStr"/>
    </row>
    <row r="133" ht="22" customHeight="1">
      <c r="A133" s="2" t="inlineStr">
        <is>
          <t>═══ FÁZE 6: KLEMPÍŘSKÉ + ODVODNĚNÍ STŘECHY ═══</t>
        </is>
      </c>
    </row>
    <row r="134">
      <c r="A134" s="3" t="inlineStr">
        <is>
          <t>→ Doprava klempířiny na stavbu</t>
        </is>
      </c>
    </row>
    <row r="135">
      <c r="A135" s="4" t="n">
        <v>84</v>
      </c>
      <c r="B135" s="5" t="inlineStr"/>
      <c r="C135" s="4" t="n">
        <v>6</v>
      </c>
      <c r="D135" s="5" t="inlineStr">
        <is>
          <t>PSV-78x</t>
        </is>
      </c>
      <c r="E135" s="5" t="inlineStr">
        <is>
          <t>PSV-78x-012</t>
        </is>
      </c>
      <c r="F135" s="6" t="inlineStr">
        <is>
          <t>Doprava klempířiny + materiálu na stavbu — paušál</t>
        </is>
      </c>
      <c r="G135" s="4" t="inlineStr">
        <is>
          <t>paušál</t>
        </is>
      </c>
      <c r="H135" s="4" t="n">
        <v>1</v>
      </c>
      <c r="I135" s="6" t="inlineStr">
        <is>
          <t>paušál</t>
        </is>
      </c>
      <c r="J135" s="6" t="inlineStr"/>
    </row>
    <row r="136">
      <c r="A136" s="3" t="inlineStr">
        <is>
          <t>→ Atikové oplechování + úžlabí + nároží</t>
        </is>
      </c>
    </row>
    <row r="137">
      <c r="A137" s="7" t="n">
        <v>85</v>
      </c>
      <c r="B137" s="8" t="inlineStr"/>
      <c r="C137" s="7" t="n">
        <v>6</v>
      </c>
      <c r="D137" s="8" t="inlineStr">
        <is>
          <t>PSV-78x</t>
        </is>
      </c>
      <c r="E137" s="8" t="inlineStr">
        <is>
          <t>PSV-78x-007</t>
        </is>
      </c>
      <c r="F137" s="9" t="inlineStr">
        <is>
          <t>Atikové oplechování titanzinek tl. 0.7 mm, rš 500 mm — po obvodu střechy</t>
        </is>
      </c>
      <c r="G137" s="7" t="inlineStr">
        <is>
          <t>bm</t>
        </is>
      </c>
      <c r="H137" s="7" t="n">
        <v>95</v>
      </c>
      <c r="I137" s="9" t="inlineStr">
        <is>
          <t>obvod střechy 95.0 bm  [TZ:B]</t>
        </is>
      </c>
      <c r="J137" s="9" t="inlineStr"/>
    </row>
    <row r="138">
      <c r="A138" s="7" t="n">
        <v>86</v>
      </c>
      <c r="B138" s="8" t="inlineStr"/>
      <c r="C138" s="7" t="n">
        <v>6</v>
      </c>
      <c r="D138" s="8" t="inlineStr">
        <is>
          <t>PSV-78x</t>
        </is>
      </c>
      <c r="E138" s="8" t="inlineStr">
        <is>
          <t>PSV-78x-008</t>
        </is>
      </c>
      <c r="F138" s="9" t="inlineStr">
        <is>
          <t>Lemování úžlabí střechy titanzinek — diagonální linie</t>
        </is>
      </c>
      <c r="G138" s="7" t="inlineStr">
        <is>
          <t>bm</t>
        </is>
      </c>
      <c r="H138" s="7" t="n">
        <v>15</v>
      </c>
      <c r="I138" s="9" t="inlineStr">
        <is>
          <t>placeholder ~15 bm (úžlabí pultové střechy 5.25°)</t>
        </is>
      </c>
      <c r="J138" s="9" t="inlineStr"/>
    </row>
    <row r="139">
      <c r="A139" s="7" t="n">
        <v>87</v>
      </c>
      <c r="B139" s="8" t="inlineStr"/>
      <c r="C139" s="7" t="n">
        <v>6</v>
      </c>
      <c r="D139" s="8" t="inlineStr">
        <is>
          <t>PSV-78x</t>
        </is>
      </c>
      <c r="E139" s="8" t="inlineStr">
        <is>
          <t>PSV-78x-009</t>
        </is>
      </c>
      <c r="F139" s="9" t="inlineStr">
        <is>
          <t>Lemování nároží titanzinek — vertikální rohy fasády</t>
        </is>
      </c>
      <c r="G139" s="7" t="inlineStr">
        <is>
          <t>bm</t>
        </is>
      </c>
      <c r="H139" s="7" t="n">
        <v>25.2</v>
      </c>
      <c r="I139" s="9" t="inlineStr">
        <is>
          <t>4 nároží × 6.3 m výška</t>
        </is>
      </c>
      <c r="J139" s="9" t="inlineStr"/>
    </row>
    <row r="140">
      <c r="A140" s="3" t="inlineStr">
        <is>
          <t>→ Tmelení spár klempířských konstrukcí</t>
        </is>
      </c>
    </row>
    <row r="141">
      <c r="A141" s="7" t="n">
        <v>88</v>
      </c>
      <c r="B141" s="8" t="inlineStr"/>
      <c r="C141" s="7" t="n">
        <v>6</v>
      </c>
      <c r="D141" s="8" t="inlineStr">
        <is>
          <t>PSV-78x</t>
        </is>
      </c>
      <c r="E141" s="8" t="inlineStr">
        <is>
          <t>PSV-78x-010</t>
        </is>
      </c>
      <c r="F141" s="9" t="inlineStr">
        <is>
          <t>Krytí spár klempířských konstrukcí — silikonový tmel</t>
        </is>
      </c>
      <c r="G141" s="7" t="inlineStr">
        <is>
          <t>bm</t>
        </is>
      </c>
      <c r="H141" s="7" t="n">
        <v>120</v>
      </c>
      <c r="I141" s="9" t="inlineStr">
        <is>
          <t>placeholder ~120 bm (spáry mezi všemi klempířskými prvky)</t>
        </is>
      </c>
      <c r="J141" s="9" t="inlineStr"/>
    </row>
    <row r="142">
      <c r="A142" s="3" t="inlineStr">
        <is>
          <t>→ Lindab svody — dodávka + montáž</t>
        </is>
      </c>
    </row>
    <row r="143">
      <c r="A143" s="4" t="n">
        <v>89</v>
      </c>
      <c r="B143" s="5" t="inlineStr"/>
      <c r="C143" s="4" t="n">
        <v>6</v>
      </c>
      <c r="D143" s="5" t="inlineStr">
        <is>
          <t>PSV-78x</t>
        </is>
      </c>
      <c r="E143" s="5" t="inlineStr">
        <is>
          <t>PSV-78x-001</t>
        </is>
      </c>
      <c r="F143" s="6" t="inlineStr">
        <is>
          <t>Dodávka Lindab Round Downpipe 150/100 Antique White, vč. kolen a spojek</t>
        </is>
      </c>
      <c r="G143" s="4" t="inlineStr">
        <is>
          <t>ks</t>
        </is>
      </c>
      <c r="H143" s="4" t="n">
        <v>4</v>
      </c>
      <c r="I143" s="6" t="inlineStr">
        <is>
          <t>4 ks (A104 DXF count working, ABMV_20: A101=3 vs A104=4)  [výkres:A104]</t>
        </is>
      </c>
      <c r="J143" s="6" t="inlineStr">
        <is>
          <t>ABMV:ABMV_20</t>
        </is>
      </c>
    </row>
    <row r="144">
      <c r="A144" s="7" t="n">
        <v>90</v>
      </c>
      <c r="B144" s="8" t="inlineStr"/>
      <c r="C144" s="7" t="n">
        <v>6</v>
      </c>
      <c r="D144" s="8" t="inlineStr">
        <is>
          <t>PSV-78x</t>
        </is>
      </c>
      <c r="E144" s="8" t="inlineStr">
        <is>
          <t>PSV-78x-002</t>
        </is>
      </c>
      <c r="F144" s="9" t="inlineStr">
        <is>
          <t>Montáž svodů Lindab — příchytky, kotvení do fasády</t>
        </is>
      </c>
      <c r="G144" s="7" t="inlineStr">
        <is>
          <t>kpl</t>
        </is>
      </c>
      <c r="H144" s="7" t="n">
        <v>4</v>
      </c>
      <c r="I144" s="9" t="inlineStr">
        <is>
          <t>4 kpl (jeden na každý svod)</t>
        </is>
      </c>
      <c r="J144" s="9" t="inlineStr">
        <is>
          <t>ABMV:ABMV_20</t>
        </is>
      </c>
    </row>
    <row r="145">
      <c r="A145" s="3" t="inlineStr">
        <is>
          <t>→ Wavin Tegra střešní vpusti — dodávka + montáž</t>
        </is>
      </c>
    </row>
    <row r="146">
      <c r="A146" s="7" t="n">
        <v>91</v>
      </c>
      <c r="B146" s="8" t="inlineStr"/>
      <c r="C146" s="7" t="n">
        <v>6</v>
      </c>
      <c r="D146" s="8" t="inlineStr">
        <is>
          <t>PSV-78x</t>
        </is>
      </c>
      <c r="E146" s="8" t="inlineStr">
        <is>
          <t>PSV-78x-003</t>
        </is>
      </c>
      <c r="F146" s="9" t="inlineStr">
        <is>
          <t>Wavin Tegra střešní vpust Round Iron Cover + Concrete Ring DN300</t>
        </is>
      </c>
      <c r="G146" s="7" t="inlineStr">
        <is>
          <t>ks</t>
        </is>
      </c>
      <c r="H146" s="7" t="n">
        <v>3</v>
      </c>
      <c r="I146" s="9" t="inlineStr">
        <is>
          <t>3 ks (A101 INSERT Wavin × 3 dle DXF parse)  [výkres:A101]</t>
        </is>
      </c>
      <c r="J146" s="9" t="inlineStr"/>
    </row>
    <row r="147">
      <c r="A147" s="7" t="n">
        <v>92</v>
      </c>
      <c r="B147" s="8" t="inlineStr"/>
      <c r="C147" s="7" t="n">
        <v>6</v>
      </c>
      <c r="D147" s="8" t="inlineStr">
        <is>
          <t>PSV-78x</t>
        </is>
      </c>
      <c r="E147" s="8" t="inlineStr">
        <is>
          <t>PSV-78x-004</t>
        </is>
      </c>
      <c r="F147" s="9" t="inlineStr">
        <is>
          <t>Montáž střešních vpustí Wavin Tegra — osazení, napojení na svody</t>
        </is>
      </c>
      <c r="G147" s="7" t="inlineStr">
        <is>
          <t>ks</t>
        </is>
      </c>
      <c r="H147" s="7" t="n">
        <v>3</v>
      </c>
      <c r="I147" s="9">
        <f> dodávka</f>
        <v/>
      </c>
      <c r="J147" s="9" t="inlineStr"/>
    </row>
    <row r="148">
      <c r="A148" s="3" t="inlineStr">
        <is>
          <t>→ MEA Mearin liniový žlab + mřížka</t>
        </is>
      </c>
    </row>
    <row r="149">
      <c r="A149" s="7" t="n">
        <v>93</v>
      </c>
      <c r="B149" s="8" t="inlineStr"/>
      <c r="C149" s="7" t="n">
        <v>6</v>
      </c>
      <c r="D149" s="8" t="inlineStr">
        <is>
          <t>PSV-78x</t>
        </is>
      </c>
      <c r="E149" s="8" t="inlineStr">
        <is>
          <t>PSV-78x-005</t>
        </is>
      </c>
      <c r="F149" s="9" t="inlineStr">
        <is>
          <t>MEA Mearin Plus 3000 NW300 liniový žlab — podél JZ a SZ fasády</t>
        </is>
      </c>
      <c r="G149" s="7" t="inlineStr">
        <is>
          <t>bm</t>
        </is>
      </c>
      <c r="H149" s="7" t="n">
        <v>30</v>
      </c>
      <c r="I149" s="9" t="inlineStr">
        <is>
          <t>~30.0 bm podél JZ + SZ fasády (RE-RUN §3.7)  [výkres:A105]</t>
        </is>
      </c>
      <c r="J149" s="9" t="inlineStr"/>
    </row>
    <row r="150">
      <c r="A150" s="7" t="n">
        <v>94</v>
      </c>
      <c r="B150" s="8" t="inlineStr"/>
      <c r="C150" s="7" t="n">
        <v>6</v>
      </c>
      <c r="D150" s="8" t="inlineStr">
        <is>
          <t>PSV-78x</t>
        </is>
      </c>
      <c r="E150" s="8" t="inlineStr">
        <is>
          <t>PSV-78x-006</t>
        </is>
      </c>
      <c r="F150" s="9" t="inlineStr">
        <is>
          <t>Mřížka MEA Mearin Plus 3000 + osazovací rám — pochozí provedení</t>
        </is>
      </c>
      <c r="G150" s="7" t="inlineStr">
        <is>
          <t>bm</t>
        </is>
      </c>
      <c r="H150" s="7" t="n">
        <v>30</v>
      </c>
      <c r="I150" s="9">
        <f> liniový žlab</f>
        <v/>
      </c>
      <c r="J150" s="9" t="inlineStr"/>
    </row>
    <row r="151">
      <c r="A151" s="3" t="inlineStr">
        <is>
          <t>→ Ostatní oplechování (parapety, lemy)</t>
        </is>
      </c>
    </row>
    <row r="152">
      <c r="A152" s="4" t="n">
        <v>95</v>
      </c>
      <c r="B152" s="5" t="inlineStr"/>
      <c r="C152" s="4" t="n">
        <v>6</v>
      </c>
      <c r="D152" s="5" t="inlineStr">
        <is>
          <t>PSV-78x</t>
        </is>
      </c>
      <c r="E152" s="5" t="inlineStr">
        <is>
          <t>PSV-78x-011</t>
        </is>
      </c>
      <c r="F152" s="6" t="inlineStr">
        <is>
          <t>Ostatní oplechování — parapety střešních vpustí, lemy prostupů</t>
        </is>
      </c>
      <c r="G152" s="4" t="inlineStr">
        <is>
          <t>bm</t>
        </is>
      </c>
      <c r="H152" s="4" t="n">
        <v>25</v>
      </c>
      <c r="I152" s="6" t="inlineStr">
        <is>
          <t>placeholder ~25 bm (vpusti + prostupy)</t>
        </is>
      </c>
      <c r="J152" s="6" t="inlineStr"/>
    </row>
    <row r="153" ht="22" customHeight="1">
      <c r="A153" s="2" t="inlineStr">
        <is>
          <t>═══ FÁZE 7: VÝPLNĚ OTVORŮ ═══</t>
        </is>
      </c>
    </row>
    <row r="154">
      <c r="A154" s="3" t="inlineStr">
        <is>
          <t>→ Okna plastová — dodávka + montáž + parapet + lemy</t>
        </is>
      </c>
    </row>
    <row r="155">
      <c r="A155" s="4" t="n">
        <v>96</v>
      </c>
      <c r="B155" s="5" t="inlineStr"/>
      <c r="C155" s="4" t="n">
        <v>7</v>
      </c>
      <c r="D155" s="5" t="inlineStr">
        <is>
          <t>PSV-76x</t>
        </is>
      </c>
      <c r="E155" s="5" t="inlineStr">
        <is>
          <t>PSV-76x-001</t>
        </is>
      </c>
      <c r="F155" s="6" t="inlineStr">
        <is>
          <t>Dodávka okno plastové 1000 × 1000 mm, izol. dvojsklo Ug ≤ 1.1, barva šedá</t>
        </is>
      </c>
      <c r="G155" s="4" t="inlineStr">
        <is>
          <t>ks</t>
        </is>
      </c>
      <c r="H155" s="4" t="n">
        <v>21</v>
      </c>
      <c r="I155" s="6" t="inlineStr">
        <is>
          <t>21 ks (V1..V21 z DXF A101 INSERT OKNO_1k)  [výkres:A101]</t>
        </is>
      </c>
      <c r="J155" s="6" t="inlineStr"/>
    </row>
    <row r="156">
      <c r="A156" s="10" t="n">
        <v>97</v>
      </c>
      <c r="B156" s="11" t="inlineStr"/>
      <c r="C156" s="10" t="n">
        <v>7</v>
      </c>
      <c r="D156" s="11" t="inlineStr">
        <is>
          <t>PSV-76x</t>
        </is>
      </c>
      <c r="E156" s="11" t="inlineStr">
        <is>
          <t>PSV-76x-002</t>
        </is>
      </c>
      <c r="F156" s="12" t="inlineStr">
        <is>
          <t>Montáž okna plastového do osazovacího otvoru, vč. kotvení a pěny</t>
        </is>
      </c>
      <c r="G156" s="10" t="inlineStr">
        <is>
          <t>ks</t>
        </is>
      </c>
      <c r="H156" s="10" t="n">
        <v>21</v>
      </c>
      <c r="I156" s="12">
        <f> dodávka okna</f>
        <v/>
      </c>
      <c r="J156" s="12" t="inlineStr"/>
    </row>
    <row r="157">
      <c r="A157" s="4" t="n">
        <v>98</v>
      </c>
      <c r="B157" s="5" t="inlineStr"/>
      <c r="C157" s="4" t="n">
        <v>7</v>
      </c>
      <c r="D157" s="5" t="inlineStr">
        <is>
          <t>PSV-76x</t>
        </is>
      </c>
      <c r="E157" s="5" t="inlineStr">
        <is>
          <t>PSV-76x-003</t>
        </is>
      </c>
      <c r="F157" s="6" t="inlineStr">
        <is>
          <t>Vnější parapet pozinkovaný plech, š. 200 mm, s krytkami</t>
        </is>
      </c>
      <c r="G157" s="4" t="inlineStr">
        <is>
          <t>bm</t>
        </is>
      </c>
      <c r="H157" s="4" t="n">
        <v>22.05</v>
      </c>
      <c r="I157" s="6" t="inlineStr">
        <is>
          <t>21 ks × 1.05 m (šířka okna + přesah)</t>
        </is>
      </c>
      <c r="J157" s="6" t="inlineStr"/>
    </row>
    <row r="158">
      <c r="A158" s="7" t="n">
        <v>99</v>
      </c>
      <c r="B158" s="8" t="inlineStr"/>
      <c r="C158" s="7" t="n">
        <v>7</v>
      </c>
      <c r="D158" s="8" t="inlineStr">
        <is>
          <t>PSV-76x</t>
        </is>
      </c>
      <c r="E158" s="8" t="inlineStr">
        <is>
          <t>PSV-76x-004</t>
        </is>
      </c>
      <c r="F158" s="9" t="inlineStr">
        <is>
          <t>Vnější okenní lemy plastové — rohové + nadokenní</t>
        </is>
      </c>
      <c r="G158" s="7" t="inlineStr">
        <is>
          <t>bm</t>
        </is>
      </c>
      <c r="H158" s="7" t="n">
        <v>63</v>
      </c>
      <c r="I158" s="9" t="inlineStr">
        <is>
          <t>21 ks × 3 bm (perimetr 3 stran, parapet samostatně)</t>
        </is>
      </c>
      <c r="J158" s="9" t="inlineStr"/>
    </row>
    <row r="159">
      <c r="A159" s="3" t="inlineStr">
        <is>
          <t>→ Sekční vrata 3500×4000 — dodávka + pohon + montáž</t>
        </is>
      </c>
    </row>
    <row r="160">
      <c r="A160" s="4" t="n">
        <v>100</v>
      </c>
      <c r="B160" s="5" t="inlineStr"/>
      <c r="C160" s="4" t="n">
        <v>7</v>
      </c>
      <c r="D160" s="5" t="inlineStr">
        <is>
          <t>PSV-76x</t>
        </is>
      </c>
      <c r="E160" s="5" t="inlineStr">
        <is>
          <t>PSV-76x-005</t>
        </is>
      </c>
      <c r="F160" s="6" t="inlineStr">
        <is>
          <t>Dodávka sekční vrata 3500 × 4000 mm (š × v) s tepelněizolační výplní, motorická</t>
        </is>
      </c>
      <c r="G160" s="4" t="inlineStr">
        <is>
          <t>ks</t>
        </is>
      </c>
      <c r="H160" s="4" t="n">
        <v>4</v>
      </c>
      <c r="I160" s="6" t="inlineStr">
        <is>
          <t>4 ks (DXF A101 INSERT 'Vrata sekční' = 4)  [výkres:A101, TZ:3.2]</t>
        </is>
      </c>
      <c r="J160" s="6" t="inlineStr"/>
    </row>
    <row r="161">
      <c r="A161" s="7" t="n">
        <v>101</v>
      </c>
      <c r="B161" s="8" t="inlineStr"/>
      <c r="C161" s="7" t="n">
        <v>7</v>
      </c>
      <c r="D161" s="8" t="inlineStr">
        <is>
          <t>PSV-76x</t>
        </is>
      </c>
      <c r="E161" s="8" t="inlineStr">
        <is>
          <t>PSV-76x-006</t>
        </is>
      </c>
      <c r="F161" s="9" t="inlineStr">
        <is>
          <t>Elektrický pohon vrat sekčních s dálkovým ovládáním + nouzové odblokování</t>
        </is>
      </c>
      <c r="G161" s="7" t="inlineStr">
        <is>
          <t>ks</t>
        </is>
      </c>
      <c r="H161" s="7" t="n">
        <v>4</v>
      </c>
      <c r="I161" s="9" t="inlineStr">
        <is>
          <t>4 ks pohon (jeden na každá vrata)</t>
        </is>
      </c>
      <c r="J161" s="9" t="inlineStr"/>
    </row>
    <row r="162">
      <c r="A162" s="7" t="n">
        <v>102</v>
      </c>
      <c r="B162" s="8" t="inlineStr"/>
      <c r="C162" s="7" t="n">
        <v>7</v>
      </c>
      <c r="D162" s="8" t="inlineStr">
        <is>
          <t>PSV-76x</t>
        </is>
      </c>
      <c r="E162" s="8" t="inlineStr">
        <is>
          <t>PSV-76x-007</t>
        </is>
      </c>
      <c r="F162" s="9" t="inlineStr">
        <is>
          <t>Nouzové ruční odblokování vrat sekčních — pro výpadek el.</t>
        </is>
      </c>
      <c r="G162" s="7" t="inlineStr">
        <is>
          <t>ks</t>
        </is>
      </c>
      <c r="H162" s="7" t="n">
        <v>4</v>
      </c>
      <c r="I162" s="9" t="inlineStr">
        <is>
          <t>4 ks ruční odblok</t>
        </is>
      </c>
      <c r="J162" s="9" t="inlineStr"/>
    </row>
    <row r="163">
      <c r="A163" s="7" t="n">
        <v>103</v>
      </c>
      <c r="B163" s="8" t="inlineStr"/>
      <c r="C163" s="7" t="n">
        <v>7</v>
      </c>
      <c r="D163" s="8" t="inlineStr">
        <is>
          <t>PSV-76x</t>
        </is>
      </c>
      <c r="E163" s="8" t="inlineStr">
        <is>
          <t>PSV-76x-008</t>
        </is>
      </c>
      <c r="F163" s="9" t="inlineStr">
        <is>
          <t>Montáž sekčních vrat — osazení do otvoru, ukotvení, nastavení</t>
        </is>
      </c>
      <c r="G163" s="7" t="inlineStr">
        <is>
          <t>ks</t>
        </is>
      </c>
      <c r="H163" s="7" t="n">
        <v>4</v>
      </c>
      <c r="I163" s="9">
        <f> dodávka vrat</f>
        <v/>
      </c>
      <c r="J163" s="9" t="inlineStr"/>
    </row>
    <row r="164">
      <c r="A164" s="3" t="inlineStr">
        <is>
          <t>→ Vnější 2-křídlé dveře — dodávka + montáž + zámek + práh</t>
        </is>
      </c>
    </row>
    <row r="165">
      <c r="A165" s="7" t="n">
        <v>104</v>
      </c>
      <c r="B165" s="8" t="inlineStr"/>
      <c r="C165" s="7" t="n">
        <v>7</v>
      </c>
      <c r="D165" s="8" t="inlineStr">
        <is>
          <t>PSV-76x</t>
        </is>
      </c>
      <c r="E165" s="8" t="inlineStr">
        <is>
          <t>PSV-76x-009</t>
        </is>
      </c>
      <c r="F165" s="9" t="inlineStr">
        <is>
          <t>Dodávka vnější dvoukřídlé dveře 1050 × 2100 mm, izol. plnostěnné, klika a zámek</t>
        </is>
      </c>
      <c r="G165" s="7" t="inlineStr">
        <is>
          <t>ks</t>
        </is>
      </c>
      <c r="H165" s="7" t="n">
        <v>2</v>
      </c>
      <c r="I165" s="9" t="inlineStr">
        <is>
          <t>2 ks (DXF A101 INSERT 'Vnější dveře dvoukřídlé')  [výkres:A101]</t>
        </is>
      </c>
      <c r="J165" s="9" t="inlineStr"/>
    </row>
    <row r="166">
      <c r="A166" s="7" t="n">
        <v>105</v>
      </c>
      <c r="B166" s="8" t="inlineStr"/>
      <c r="C166" s="7" t="n">
        <v>7</v>
      </c>
      <c r="D166" s="8" t="inlineStr">
        <is>
          <t>PSV-76x</t>
        </is>
      </c>
      <c r="E166" s="8" t="inlineStr">
        <is>
          <t>PSV-76x-010</t>
        </is>
      </c>
      <c r="F166" s="9" t="inlineStr">
        <is>
          <t>Montáž vnějších 2-křídlých dveří — osazení, kotvení, pěna</t>
        </is>
      </c>
      <c r="G166" s="7" t="inlineStr">
        <is>
          <t>ks</t>
        </is>
      </c>
      <c r="H166" s="7" t="n">
        <v>2</v>
      </c>
      <c r="I166" s="9">
        <f> dodávka dveří</f>
        <v/>
      </c>
      <c r="J166" s="9" t="inlineStr"/>
    </row>
    <row r="167">
      <c r="A167" s="7" t="n">
        <v>106</v>
      </c>
      <c r="B167" s="8" t="inlineStr"/>
      <c r="C167" s="7" t="n">
        <v>7</v>
      </c>
      <c r="D167" s="8" t="inlineStr">
        <is>
          <t>PSV-76x</t>
        </is>
      </c>
      <c r="E167" s="8" t="inlineStr">
        <is>
          <t>PSV-76x-011</t>
        </is>
      </c>
      <c r="F167" s="9" t="inlineStr">
        <is>
          <t>Kompletní zámkový systém + klika pro vnější 2-křídlé dveře</t>
        </is>
      </c>
      <c r="G167" s="7" t="inlineStr">
        <is>
          <t>kpl</t>
        </is>
      </c>
      <c r="H167" s="7" t="n">
        <v>2</v>
      </c>
      <c r="I167" s="9" t="inlineStr">
        <is>
          <t>2 kpl</t>
        </is>
      </c>
      <c r="J167" s="9" t="inlineStr"/>
    </row>
    <row r="168">
      <c r="A168" s="10" t="n">
        <v>107</v>
      </c>
      <c r="B168" s="11" t="inlineStr"/>
      <c r="C168" s="10" t="n">
        <v>7</v>
      </c>
      <c r="D168" s="11" t="inlineStr">
        <is>
          <t>PSV-76x</t>
        </is>
      </c>
      <c r="E168" s="11" t="inlineStr">
        <is>
          <t>PSV-76x-012</t>
        </is>
      </c>
      <c r="F168" s="12" t="inlineStr">
        <is>
          <t>Práh + lemování ostění vnějších dveří — pozink plech</t>
        </is>
      </c>
      <c r="G168" s="10" t="inlineStr">
        <is>
          <t>kpl</t>
        </is>
      </c>
      <c r="H168" s="10" t="n">
        <v>2</v>
      </c>
      <c r="I168" s="12" t="inlineStr">
        <is>
          <t>2 kpl</t>
        </is>
      </c>
      <c r="J168" s="12" t="inlineStr"/>
    </row>
    <row r="169" ht="22" customHeight="1">
      <c r="A169" s="2" t="inlineStr">
        <is>
          <t>═══ FÁZE 8: IZOLACE + SOKL ═══</t>
        </is>
      </c>
    </row>
    <row r="170">
      <c r="A170" s="3" t="inlineStr">
        <is>
          <t>→ Penetrace soklu</t>
        </is>
      </c>
    </row>
    <row r="171">
      <c r="A171" s="4" t="n">
        <v>108</v>
      </c>
      <c r="B171" s="5" t="inlineStr"/>
      <c r="C171" s="4" t="n">
        <v>8</v>
      </c>
      <c r="D171" s="5" t="inlineStr">
        <is>
          <t>PSV-71x</t>
        </is>
      </c>
      <c r="E171" s="5" t="inlineStr">
        <is>
          <t>PSV-71x-001</t>
        </is>
      </c>
      <c r="F171" s="6" t="inlineStr">
        <is>
          <t>Penetrace soklu — penetrační nátěr pod hydroizolaci</t>
        </is>
      </c>
      <c r="G171" s="4" t="inlineStr">
        <is>
          <t>m²</t>
        </is>
      </c>
      <c r="H171" s="4" t="n">
        <v>28.5</v>
      </c>
      <c r="I171" s="6" t="inlineStr">
        <is>
          <t>95.0 bm × 0.3 m = 28.5 m²</t>
        </is>
      </c>
      <c r="J171" s="6" t="inlineStr"/>
    </row>
    <row r="172">
      <c r="A172" s="3" t="inlineStr">
        <is>
          <t>→ Hydroizolace svislá soklu — SBS pás</t>
        </is>
      </c>
    </row>
    <row r="173">
      <c r="A173" s="4" t="n">
        <v>109</v>
      </c>
      <c r="B173" s="5" t="inlineStr"/>
      <c r="C173" s="4" t="n">
        <v>8</v>
      </c>
      <c r="D173" s="5" t="inlineStr">
        <is>
          <t>PSV-71x</t>
        </is>
      </c>
      <c r="E173" s="5" t="inlineStr">
        <is>
          <t>PSV-71x-002</t>
        </is>
      </c>
      <c r="F173" s="6" t="inlineStr">
        <is>
          <t>Hydroizolace svislá soklu — SBS modifikovaný asfaltový pás, natavený</t>
        </is>
      </c>
      <c r="G173" s="4" t="inlineStr">
        <is>
          <t>m²</t>
        </is>
      </c>
      <c r="H173" s="4" t="n">
        <v>28.5</v>
      </c>
      <c r="I173" s="6" t="inlineStr">
        <is>
          <t>95.0 bm × 0.3 m = 28.5 m²  [TZ:B]</t>
        </is>
      </c>
      <c r="J173" s="6" t="inlineStr"/>
    </row>
    <row r="174">
      <c r="A174" s="3" t="inlineStr">
        <is>
          <t>→ Hydroizolační lišty rohové + napojení</t>
        </is>
      </c>
    </row>
    <row r="175">
      <c r="A175" s="7" t="n">
        <v>110</v>
      </c>
      <c r="B175" s="8" t="inlineStr"/>
      <c r="C175" s="7" t="n">
        <v>8</v>
      </c>
      <c r="D175" s="8" t="inlineStr">
        <is>
          <t>PSV-71x</t>
        </is>
      </c>
      <c r="E175" s="8" t="inlineStr">
        <is>
          <t>PSV-71x-003</t>
        </is>
      </c>
      <c r="F175" s="9" t="inlineStr">
        <is>
          <t>Hydroizolační lišty rohové + napojení svislé na vodorovnou pásku</t>
        </is>
      </c>
      <c r="G175" s="7" t="inlineStr">
        <is>
          <t>bm</t>
        </is>
      </c>
      <c r="H175" s="7" t="n">
        <v>95</v>
      </c>
      <c r="I175" s="9" t="inlineStr">
        <is>
          <t>obvod 95.0 bm</t>
        </is>
      </c>
      <c r="J175" s="9" t="inlineStr"/>
    </row>
    <row r="176">
      <c r="A176" s="3" t="inlineStr">
        <is>
          <t>→ Ochranná vrstva — nopová folie HDPE</t>
        </is>
      </c>
    </row>
    <row r="177">
      <c r="A177" s="7" t="n">
        <v>111</v>
      </c>
      <c r="B177" s="8" t="inlineStr"/>
      <c r="C177" s="7" t="n">
        <v>8</v>
      </c>
      <c r="D177" s="8" t="inlineStr">
        <is>
          <t>PSV-71x</t>
        </is>
      </c>
      <c r="E177" s="8" t="inlineStr">
        <is>
          <t>PSV-71x-004</t>
        </is>
      </c>
      <c r="F177" s="9" t="inlineStr">
        <is>
          <t>Ochranná vrstva hydroizolace — nopová folie HDPE, š. 0.5 m</t>
        </is>
      </c>
      <c r="G177" s="7" t="inlineStr">
        <is>
          <t>m²</t>
        </is>
      </c>
      <c r="H177" s="7" t="n">
        <v>47.5</v>
      </c>
      <c r="I177" s="9" t="inlineStr">
        <is>
          <t>95.0 bm × 0.5 m</t>
        </is>
      </c>
      <c r="J177" s="9" t="inlineStr"/>
    </row>
    <row r="178" ht="22" customHeight="1">
      <c r="A178" s="2" t="inlineStr">
        <is>
          <t>═══ FÁZE 9: PODLAHA PRŮMYSLOVÁ ═══</t>
        </is>
      </c>
    </row>
    <row r="179">
      <c r="A179" s="3" t="inlineStr">
        <is>
          <t>→ Penetrace + primer pod stěrku</t>
        </is>
      </c>
    </row>
    <row r="180">
      <c r="A180" s="4" t="n">
        <v>112</v>
      </c>
      <c r="B180" s="5" t="inlineStr"/>
      <c r="C180" s="4" t="n">
        <v>9</v>
      </c>
      <c r="D180" s="5" t="inlineStr">
        <is>
          <t>PSV-77x</t>
        </is>
      </c>
      <c r="E180" s="5" t="inlineStr">
        <is>
          <t>PSV-77x-001</t>
        </is>
      </c>
      <c r="F180" s="6" t="inlineStr">
        <is>
          <t>Penetrace + primer pod průmyslovou stěrku podlahy</t>
        </is>
      </c>
      <c r="G180" s="4" t="inlineStr">
        <is>
          <t>m²</t>
        </is>
      </c>
      <c r="H180" s="4" t="n">
        <v>495</v>
      </c>
      <c r="I180" s="6" t="inlineStr">
        <is>
          <t>495.0 m² (celá plocha podlahy)</t>
        </is>
      </c>
      <c r="J180" s="6" t="inlineStr"/>
    </row>
    <row r="181">
      <c r="A181" s="3" t="inlineStr">
        <is>
          <t>→ Epoxidová / PU stěrka 4–5 mm</t>
        </is>
      </c>
    </row>
    <row r="182">
      <c r="A182" s="7" t="n">
        <v>113</v>
      </c>
      <c r="B182" s="8" t="inlineStr"/>
      <c r="C182" s="7" t="n">
        <v>9</v>
      </c>
      <c r="D182" s="8" t="inlineStr">
        <is>
          <t>PSV-77x</t>
        </is>
      </c>
      <c r="E182" s="8" t="inlineStr">
        <is>
          <t>PSV-77x-002</t>
        </is>
      </c>
      <c r="F182" s="9" t="inlineStr">
        <is>
          <t>Průmyslová epoxidová / PU stěrka podlahy tl. 4-5 mm, zatížení 1600 kg/m²</t>
        </is>
      </c>
      <c r="G182" s="7" t="inlineStr">
        <is>
          <t>m²</t>
        </is>
      </c>
      <c r="H182" s="7" t="n">
        <v>495</v>
      </c>
      <c r="I182" s="9" t="inlineStr">
        <is>
          <t>495.0 m²  [TZ:podlaha]</t>
        </is>
      </c>
      <c r="J182" s="9" t="inlineStr">
        <is>
          <t>ABMV:ABMV_10</t>
        </is>
      </c>
    </row>
    <row r="183">
      <c r="A183" s="3" t="inlineStr">
        <is>
          <t>→ Lokální zesílení anchorage zón strojů</t>
        </is>
      </c>
    </row>
    <row r="184">
      <c r="A184" s="4" t="n">
        <v>114</v>
      </c>
      <c r="B184" s="5" t="inlineStr"/>
      <c r="C184" s="4" t="n">
        <v>9</v>
      </c>
      <c r="D184" s="5" t="inlineStr">
        <is>
          <t>PSV-77x</t>
        </is>
      </c>
      <c r="E184" s="5" t="inlineStr">
        <is>
          <t>PSV-77x-003</t>
        </is>
      </c>
      <c r="F184" s="6" t="inlineStr">
        <is>
          <t>Lokální zesílení podlahy v anchorage zónách strojů — vyšší tl. stěrky 8 mm</t>
        </is>
      </c>
      <c r="G184" s="4" t="inlineStr">
        <is>
          <t>m²</t>
        </is>
      </c>
      <c r="H184" s="4" t="n">
        <v>30</v>
      </c>
      <c r="I184" s="6" t="inlineStr">
        <is>
          <t>placeholder ~30 m² (3 stroje × ~10 m² každé anchorage zóna)  [výkres:A107]</t>
        </is>
      </c>
      <c r="J184" s="6" t="inlineStr">
        <is>
          <t>ABMV:ABMV_3,ABMV_16</t>
        </is>
      </c>
    </row>
    <row r="185">
      <c r="A185" s="3" t="inlineStr">
        <is>
          <t>→ Dilatace + lemy + protiskluz</t>
        </is>
      </c>
    </row>
    <row r="186">
      <c r="A186" s="7" t="n">
        <v>115</v>
      </c>
      <c r="B186" s="8" t="inlineStr"/>
      <c r="C186" s="7" t="n">
        <v>9</v>
      </c>
      <c r="D186" s="8" t="inlineStr">
        <is>
          <t>PSV-77x</t>
        </is>
      </c>
      <c r="E186" s="8" t="inlineStr">
        <is>
          <t>PSV-77x-004</t>
        </is>
      </c>
      <c r="F186" s="9" t="inlineStr">
        <is>
          <t>Dilatační lišty podlahy — kovové, řezané spáry á 6 m</t>
        </is>
      </c>
      <c r="G186" s="7" t="inlineStr">
        <is>
          <t>bm</t>
        </is>
      </c>
      <c r="H186" s="7" t="n">
        <v>60</v>
      </c>
      <c r="I186" s="9" t="inlineStr">
        <is>
          <t>placeholder ~60 bm (pole dilatace á 6 m na 495 m² ploše)</t>
        </is>
      </c>
      <c r="J186" s="9" t="inlineStr"/>
    </row>
    <row r="187">
      <c r="A187" s="7" t="n">
        <v>116</v>
      </c>
      <c r="B187" s="8" t="inlineStr"/>
      <c r="C187" s="7" t="n">
        <v>9</v>
      </c>
      <c r="D187" s="8" t="inlineStr">
        <is>
          <t>PSV-77x</t>
        </is>
      </c>
      <c r="E187" s="8" t="inlineStr">
        <is>
          <t>PSV-77x-005</t>
        </is>
      </c>
      <c r="F187" s="9" t="inlineStr">
        <is>
          <t>Lemovací úhelníky podlahy — pozink po obvodu stěrky</t>
        </is>
      </c>
      <c r="G187" s="7" t="inlineStr">
        <is>
          <t>bm</t>
        </is>
      </c>
      <c r="H187" s="7" t="n">
        <v>95</v>
      </c>
      <c r="I187" s="9" t="inlineStr">
        <is>
          <t>obvod desky 95 bm</t>
        </is>
      </c>
      <c r="J187" s="9" t="inlineStr"/>
    </row>
    <row r="188">
      <c r="A188" s="7" t="n">
        <v>117</v>
      </c>
      <c r="B188" s="8" t="inlineStr"/>
      <c r="C188" s="7" t="n">
        <v>9</v>
      </c>
      <c r="D188" s="8" t="inlineStr">
        <is>
          <t>PSV-77x</t>
        </is>
      </c>
      <c r="E188" s="8" t="inlineStr">
        <is>
          <t>PSV-77x-006</t>
        </is>
      </c>
      <c r="F188" s="9" t="inlineStr">
        <is>
          <t>Protiskluzový posyp křemičitým pískem — pro PU variantu</t>
        </is>
      </c>
      <c r="G188" s="7" t="inlineStr">
        <is>
          <t>m²</t>
        </is>
      </c>
      <c r="H188" s="7" t="n">
        <v>495</v>
      </c>
      <c r="I188" s="9" t="inlineStr">
        <is>
          <t>495.0 m² (pokud zvolena PU varianta)</t>
        </is>
      </c>
      <c r="J188" s="9" t="inlineStr">
        <is>
          <t>ABMV:ABMV_10</t>
        </is>
      </c>
    </row>
    <row r="189" ht="22" customHeight="1">
      <c r="A189" s="2" t="inlineStr">
        <is>
          <t>═══ FÁZE 10: OSTATNÍ + PŘESUN HMOT ═══</t>
        </is>
      </c>
    </row>
    <row r="190">
      <c r="A190" s="3" t="inlineStr">
        <is>
          <t>→ Přesun hmot HSV vodorovně</t>
        </is>
      </c>
    </row>
    <row r="191">
      <c r="A191" s="4" t="n">
        <v>118</v>
      </c>
      <c r="B191" s="5" t="inlineStr"/>
      <c r="C191" s="4" t="n">
        <v>10</v>
      </c>
      <c r="D191" s="5" t="inlineStr">
        <is>
          <t>HSV-9</t>
        </is>
      </c>
      <c r="E191" s="5" t="inlineStr">
        <is>
          <t>HSV-9-001</t>
        </is>
      </c>
      <c r="F191" s="6" t="inlineStr">
        <is>
          <t>Přesun hmot HSV vodorovně — beton, výztuž, ocel, klempířina</t>
        </is>
      </c>
      <c r="G191" s="4" t="inlineStr">
        <is>
          <t>t·km</t>
        </is>
      </c>
      <c r="H191" s="4" t="n">
        <v>200</v>
      </c>
      <c r="I191" s="6" t="inlineStr">
        <is>
          <t>placeholder 200 t·km (in-site přesuny, default)</t>
        </is>
      </c>
      <c r="J191" s="6" t="inlineStr"/>
    </row>
    <row r="192">
      <c r="A192" s="3" t="inlineStr">
        <is>
          <t>→ Doprava materiálu na stavbu — paušál</t>
        </is>
      </c>
    </row>
    <row r="193">
      <c r="A193" s="4" t="n">
        <v>119</v>
      </c>
      <c r="B193" s="5" t="inlineStr"/>
      <c r="C193" s="4" t="n">
        <v>10</v>
      </c>
      <c r="D193" s="5" t="inlineStr">
        <is>
          <t>VRN</t>
        </is>
      </c>
      <c r="E193" s="5" t="inlineStr">
        <is>
          <t>VRN-013</t>
        </is>
      </c>
      <c r="F193" s="6" t="inlineStr">
        <is>
          <t>Doprava materiálu na stavbu vodorovně — paušál pro veškerou montáž</t>
        </is>
      </c>
      <c r="G193" s="4" t="inlineStr">
        <is>
          <t>t·km</t>
        </is>
      </c>
      <c r="H193" s="4" t="n">
        <v>1500</v>
      </c>
      <c r="I193" s="6" t="inlineStr">
        <is>
          <t>placeholder ~1500 t·km (30 t materiálů × 50 km)</t>
        </is>
      </c>
      <c r="J193" s="6" t="inlineStr"/>
    </row>
    <row r="194" ht="22" customHeight="1">
      <c r="A194" s="2" t="inlineStr">
        <is>
          <t>═══ FÁZE 11: DOKONČENÍ + REVIZE + ODEVZDÁNÍ ═══</t>
        </is>
      </c>
    </row>
    <row r="195">
      <c r="A195" s="3" t="inlineStr">
        <is>
          <t>→ Revize TZB (elektro, hydrant, hromosvod)</t>
        </is>
      </c>
    </row>
    <row r="196">
      <c r="A196" s="7" t="n">
        <v>120</v>
      </c>
      <c r="B196" s="8" t="inlineStr"/>
      <c r="C196" s="7" t="n">
        <v>11</v>
      </c>
      <c r="D196" s="8" t="inlineStr">
        <is>
          <t>VRN</t>
        </is>
      </c>
      <c r="E196" s="8" t="inlineStr">
        <is>
          <t>VRN-020</t>
        </is>
      </c>
      <c r="F196" s="9" t="inlineStr">
        <is>
          <t>Revize elektroinstalace + protokol</t>
        </is>
      </c>
      <c r="G196" s="7" t="inlineStr">
        <is>
          <t>paušál</t>
        </is>
      </c>
      <c r="H196" s="7" t="n">
        <v>1</v>
      </c>
      <c r="I196" s="9" t="inlineStr">
        <is>
          <t>paušál (Rožmitál 00523 R precedent)  [csn]</t>
        </is>
      </c>
      <c r="J196" s="9" t="inlineStr"/>
    </row>
    <row r="197">
      <c r="A197" s="7" t="n">
        <v>121</v>
      </c>
      <c r="B197" s="8" t="inlineStr"/>
      <c r="C197" s="7" t="n">
        <v>11</v>
      </c>
      <c r="D197" s="8" t="inlineStr">
        <is>
          <t>VRN</t>
        </is>
      </c>
      <c r="E197" s="8" t="inlineStr">
        <is>
          <t>VRN-021</t>
        </is>
      </c>
      <c r="F197" s="9" t="inlineStr">
        <is>
          <t>Revize hydrantového systému + tlaková zkouška</t>
        </is>
      </c>
      <c r="G197" s="7" t="inlineStr">
        <is>
          <t>paušál</t>
        </is>
      </c>
      <c r="H197" s="7" t="n">
        <v>1</v>
      </c>
      <c r="I197" s="9" t="inlineStr">
        <is>
          <t>paušál  [csn]</t>
        </is>
      </c>
      <c r="J197" s="9" t="inlineStr"/>
    </row>
    <row r="198">
      <c r="A198" s="7" t="n">
        <v>122</v>
      </c>
      <c r="B198" s="8" t="inlineStr"/>
      <c r="C198" s="7" t="n">
        <v>11</v>
      </c>
      <c r="D198" s="8" t="inlineStr">
        <is>
          <t>VRN</t>
        </is>
      </c>
      <c r="E198" s="8" t="inlineStr">
        <is>
          <t>VRN-022</t>
        </is>
      </c>
      <c r="F198" s="9" t="inlineStr">
        <is>
          <t>Revize hromosvodu / LPS — měření ekvipotenciality, zemniče, svody</t>
        </is>
      </c>
      <c r="G198" s="7" t="inlineStr">
        <is>
          <t>paušál</t>
        </is>
      </c>
      <c r="H198" s="7" t="n">
        <v>1</v>
      </c>
      <c r="I198" s="9" t="inlineStr">
        <is>
          <t>paušál  [csn]</t>
        </is>
      </c>
      <c r="J198" s="9" t="inlineStr"/>
    </row>
    <row r="199">
      <c r="A199" s="3" t="inlineStr">
        <is>
          <t>→ Likvidace odpadů O + N</t>
        </is>
      </c>
    </row>
    <row r="200">
      <c r="A200" s="4" t="n">
        <v>123</v>
      </c>
      <c r="B200" s="5" t="inlineStr"/>
      <c r="C200" s="4" t="n">
        <v>11</v>
      </c>
      <c r="D200" s="5" t="inlineStr">
        <is>
          <t>VRN</t>
        </is>
      </c>
      <c r="E200" s="5" t="inlineStr">
        <is>
          <t>VRN-011</t>
        </is>
      </c>
      <c r="F200" s="6" t="inlineStr">
        <is>
          <t>Likvidace odpadů kategorie O (běžný) — kontejner + odvoz + skládkovné</t>
        </is>
      </c>
      <c r="G200" s="4" t="inlineStr">
        <is>
          <t>m³</t>
        </is>
      </c>
      <c r="H200" s="4" t="n">
        <v>30</v>
      </c>
      <c r="I200" s="6" t="inlineStr">
        <is>
          <t>placeholder ~30 m³ stavebního odpadu kat. O</t>
        </is>
      </c>
      <c r="J200" s="6" t="inlineStr"/>
    </row>
    <row r="201">
      <c r="A201" s="7" t="n">
        <v>124</v>
      </c>
      <c r="B201" s="8" t="inlineStr"/>
      <c r="C201" s="7" t="n">
        <v>11</v>
      </c>
      <c r="D201" s="8" t="inlineStr">
        <is>
          <t>VRN</t>
        </is>
      </c>
      <c r="E201" s="8" t="inlineStr">
        <is>
          <t>VRN-012</t>
        </is>
      </c>
      <c r="F201" s="9" t="inlineStr">
        <is>
          <t>Likvidace odpadů kategorie N (nebezpečné — barvy, oleje, tmely)</t>
        </is>
      </c>
      <c r="G201" s="7" t="inlineStr">
        <is>
          <t>m³</t>
        </is>
      </c>
      <c r="H201" s="7" t="n">
        <v>2</v>
      </c>
      <c r="I201" s="9" t="inlineStr">
        <is>
          <t>placeholder ~2 m³ kat. N</t>
        </is>
      </c>
      <c r="J201" s="9" t="inlineStr"/>
    </row>
    <row r="202">
      <c r="A202" s="3" t="inlineStr">
        <is>
          <t>→ Geodetické zaměření DSPS</t>
        </is>
      </c>
    </row>
    <row r="203">
      <c r="A203" s="4" t="n">
        <v>125</v>
      </c>
      <c r="B203" s="5" t="inlineStr"/>
      <c r="C203" s="4" t="n">
        <v>11</v>
      </c>
      <c r="D203" s="5" t="inlineStr">
        <is>
          <t>VRN</t>
        </is>
      </c>
      <c r="E203" s="5" t="inlineStr">
        <is>
          <t>VRN-015</t>
        </is>
      </c>
      <c r="F203" s="6" t="inlineStr">
        <is>
          <t>Geodetické zaměření skutečného provedení (DSPS) — po dokončení stavby</t>
        </is>
      </c>
      <c r="G203" s="4" t="inlineStr">
        <is>
          <t>paušál</t>
        </is>
      </c>
      <c r="H203" s="4" t="n">
        <v>1</v>
      </c>
      <c r="I203" s="6" t="inlineStr">
        <is>
          <t>paušál</t>
        </is>
      </c>
      <c r="J203" s="6" t="inlineStr"/>
    </row>
    <row r="204">
      <c r="A204" s="3" t="inlineStr">
        <is>
          <t>→ Předávací protokoly + kolaudace</t>
        </is>
      </c>
    </row>
    <row r="205">
      <c r="A205" s="7" t="n">
        <v>126</v>
      </c>
      <c r="B205" s="8" t="inlineStr"/>
      <c r="C205" s="7" t="n">
        <v>11</v>
      </c>
      <c r="D205" s="8" t="inlineStr">
        <is>
          <t>VRN</t>
        </is>
      </c>
      <c r="E205" s="8" t="inlineStr">
        <is>
          <t>VRN-018</t>
        </is>
      </c>
      <c r="F205" s="9" t="inlineStr">
        <is>
          <t>Předávací protokoly + dokumentace skutečného provedení (DSPS)</t>
        </is>
      </c>
      <c r="G205" s="7" t="inlineStr">
        <is>
          <t>paušál</t>
        </is>
      </c>
      <c r="H205" s="7" t="n">
        <v>1</v>
      </c>
      <c r="I205" s="9" t="inlineStr">
        <is>
          <t>paušál</t>
        </is>
      </c>
      <c r="J205" s="9" t="inlineStr"/>
    </row>
    <row r="206">
      <c r="A206" s="7" t="n">
        <v>127</v>
      </c>
      <c r="B206" s="8" t="inlineStr"/>
      <c r="C206" s="7" t="n">
        <v>11</v>
      </c>
      <c r="D206" s="8" t="inlineStr">
        <is>
          <t>VRN</t>
        </is>
      </c>
      <c r="E206" s="8" t="inlineStr">
        <is>
          <t>VRN-019</t>
        </is>
      </c>
      <c r="F206" s="9" t="inlineStr">
        <is>
          <t>Kolaudační řízení — příprava + účast na jednání + revize dokumentace</t>
        </is>
      </c>
      <c r="G206" s="7" t="inlineStr">
        <is>
          <t>paušál</t>
        </is>
      </c>
      <c r="H206" s="7" t="n">
        <v>1</v>
      </c>
      <c r="I206" s="9" t="inlineStr">
        <is>
          <t>paušál</t>
        </is>
      </c>
      <c r="J206" s="9" t="inlineStr"/>
    </row>
    <row r="207">
      <c r="A207" s="3" t="inlineStr">
        <is>
          <t>→ Náhradní výsadba dřevin (po dokončení)</t>
        </is>
      </c>
    </row>
    <row r="208">
      <c r="A208" s="4" t="n">
        <v>128</v>
      </c>
      <c r="B208" s="5" t="inlineStr"/>
      <c r="C208" s="4" t="n">
        <v>11</v>
      </c>
      <c r="D208" s="5" t="inlineStr">
        <is>
          <t>HSV-1</t>
        </is>
      </c>
      <c r="E208" s="5" t="inlineStr">
        <is>
          <t>HSV-1-024</t>
        </is>
      </c>
      <c r="F208" s="6" t="inlineStr">
        <is>
          <t>Náhradní výsadba dřevin per rozhodnutí orgánu životního prostředí</t>
        </is>
      </c>
      <c r="G208" s="4" t="inlineStr">
        <is>
          <t>ks</t>
        </is>
      </c>
      <c r="H208" s="4" t="n">
        <v>2</v>
      </c>
      <c r="I208" s="6" t="inlineStr">
        <is>
          <t>2 ks (per TZ B m.7.b náhradní výsadba)  [TZ:7.b]</t>
        </is>
      </c>
      <c r="J208" s="6" t="inlineStr"/>
    </row>
  </sheetData>
  <mergeCells count="79">
    <mergeCell ref="A194:J194"/>
    <mergeCell ref="A181:J181"/>
    <mergeCell ref="A91:J91"/>
    <mergeCell ref="A52:J52"/>
    <mergeCell ref="A63:J63"/>
    <mergeCell ref="A93:J93"/>
    <mergeCell ref="A34:J34"/>
    <mergeCell ref="A148:J148"/>
    <mergeCell ref="A49:J49"/>
    <mergeCell ref="A36:J36"/>
    <mergeCell ref="A6:J6"/>
    <mergeCell ref="A119:J119"/>
    <mergeCell ref="A174:J174"/>
    <mergeCell ref="A183:J183"/>
    <mergeCell ref="A75:J75"/>
    <mergeCell ref="A133:J133"/>
    <mergeCell ref="A3:J3"/>
    <mergeCell ref="A95:J95"/>
    <mergeCell ref="A14:J14"/>
    <mergeCell ref="A159:J159"/>
    <mergeCell ref="A97:J97"/>
    <mergeCell ref="A29:J29"/>
    <mergeCell ref="A121:J121"/>
    <mergeCell ref="A170:J170"/>
    <mergeCell ref="A202:J202"/>
    <mergeCell ref="A58:J58"/>
    <mergeCell ref="A67:J67"/>
    <mergeCell ref="A24:J24"/>
    <mergeCell ref="A60:J60"/>
    <mergeCell ref="A124:J124"/>
    <mergeCell ref="A172:J172"/>
    <mergeCell ref="A16:J16"/>
    <mergeCell ref="A84:J84"/>
    <mergeCell ref="A71:J71"/>
    <mergeCell ref="A189:J189"/>
    <mergeCell ref="A2:J2"/>
    <mergeCell ref="A204:J204"/>
    <mergeCell ref="A42:J42"/>
    <mergeCell ref="A151:J151"/>
    <mergeCell ref="A22:J22"/>
    <mergeCell ref="A190:J190"/>
    <mergeCell ref="A134:J134"/>
    <mergeCell ref="A199:J199"/>
    <mergeCell ref="A127:J127"/>
    <mergeCell ref="A176:J176"/>
    <mergeCell ref="A114:J114"/>
    <mergeCell ref="A169:J169"/>
    <mergeCell ref="A107:J107"/>
    <mergeCell ref="A178:J178"/>
    <mergeCell ref="A153:J153"/>
    <mergeCell ref="A90:J90"/>
    <mergeCell ref="A164:J164"/>
    <mergeCell ref="A145:J145"/>
    <mergeCell ref="A154:J154"/>
    <mergeCell ref="A195:J195"/>
    <mergeCell ref="A33:J33"/>
    <mergeCell ref="A116:J116"/>
    <mergeCell ref="A8:J8"/>
    <mergeCell ref="A131:J131"/>
    <mergeCell ref="A140:J140"/>
    <mergeCell ref="A109:J109"/>
    <mergeCell ref="A10:J10"/>
    <mergeCell ref="A19:J19"/>
    <mergeCell ref="A117:J117"/>
    <mergeCell ref="A111:J111"/>
    <mergeCell ref="A39:J39"/>
    <mergeCell ref="A142:J142"/>
    <mergeCell ref="A207:J207"/>
    <mergeCell ref="A78:J78"/>
    <mergeCell ref="A65:J65"/>
    <mergeCell ref="A80:J80"/>
    <mergeCell ref="A46:J46"/>
    <mergeCell ref="A136:J136"/>
    <mergeCell ref="A192:J192"/>
    <mergeCell ref="A105:J105"/>
    <mergeCell ref="A57:J57"/>
    <mergeCell ref="A179:J179"/>
    <mergeCell ref="A129:J129"/>
    <mergeCell ref="A185:J18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2026-05-22T10:24:33Z</dcterms:created>
  <dcterms:modified xsi:type="dcterms:W3CDTF">2026-05-22T10:24:33Z</dcterms:modified>
</cp:coreProperties>
</file>
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  <row r="242" ht="22" customHeight="1">
      <c r="A242" s="2" t="inlineStr">
        <is>
          <t>═══ FÁZE 12: VENKOVNÍ ÚPRAVY + ZTI (SO-13 + SO-14) — VV authoritative + norm-verified ═══</t>
        </is>
      </c>
    </row>
    <row r="243">
      <c r="A243" s="3" t="inlineStr">
        <is>
          <t>→ ZTI vnější — kanalizace čerpaná (potrubí + přečerpávací stanice + zemní práce)</t>
        </is>
      </c>
    </row>
    <row r="244">
      <c r="A244" s="4" t="n">
        <v>151</v>
      </c>
      <c r="B244" s="5" t="inlineStr"/>
      <c r="C244" s="4" t="n">
        <v>12</v>
      </c>
      <c r="D244" s="5" t="inlineStr">
        <is>
          <t>M-ZTI</t>
        </is>
      </c>
      <c r="E244" s="5" t="inlineStr">
        <is>
          <t>M-ZTI-032</t>
        </is>
      </c>
      <c r="F244" s="6" t="inlineStr">
        <is>
          <t>Plastové potrubí PE100 SDR11 d50 (50×4,5 mm) vč. montáže a tvarovek</t>
        </is>
      </c>
      <c r="G244" s="4" t="inlineStr">
        <is>
          <t>bm</t>
        </is>
      </c>
      <c r="H244" s="4" t="n">
        <v>8</v>
      </c>
      <c r="I244" s="6" t="inlineStr">
        <is>
          <t>VV P1.2c = 8.0 bm  [document:VV výkaz výměr]</t>
        </is>
      </c>
      <c r="J244" s="6" t="inlineStr"/>
    </row>
    <row r="245">
      <c r="A245" s="10" t="n">
        <v>152</v>
      </c>
      <c r="B245" s="11" t="inlineStr"/>
      <c r="C245" s="10" t="n">
        <v>12</v>
      </c>
      <c r="D245" s="11" t="inlineStr">
        <is>
          <t>M-ZTI</t>
        </is>
      </c>
      <c r="E245" s="11" t="inlineStr">
        <is>
          <t>M-ZTI-033</t>
        </is>
      </c>
      <c r="F245" s="12" t="inlineStr">
        <is>
          <t>Navrtávací pas 75/40</t>
        </is>
      </c>
      <c r="G245" s="10" t="inlineStr">
        <is>
          <t>ks</t>
        </is>
      </c>
      <c r="H245" s="10" t="n">
        <v>1</v>
      </c>
      <c r="I245" s="12" t="inlineStr">
        <is>
          <t>VV P1.3c = 1.0 ks  [document:VV výkaz výměr]</t>
        </is>
      </c>
      <c r="J245" s="12" t="inlineStr"/>
    </row>
    <row r="246">
      <c r="A246" s="4" t="n">
        <v>153</v>
      </c>
      <c r="B246" s="5" t="inlineStr"/>
      <c r="C246" s="4" t="n">
        <v>12</v>
      </c>
      <c r="D246" s="5" t="inlineStr">
        <is>
          <t>M-ZTI</t>
        </is>
      </c>
      <c r="E246" s="5" t="inlineStr">
        <is>
          <t>M-ZTI-034</t>
        </is>
      </c>
      <c r="F246" s="6" t="inlineStr">
        <is>
          <t>Automatická přečerpávací stanice tlakové kanalizace vč. jímky, vystrojení a řídící jednotky (např. Tlakan P2 smart, kpl)</t>
        </is>
      </c>
      <c r="G246" s="4" t="inlineStr">
        <is>
          <t>kpl</t>
        </is>
      </c>
      <c r="H246" s="4" t="n">
        <v>1</v>
      </c>
      <c r="I246" s="6" t="inlineStr">
        <is>
          <t>VV P1.4c = 1.0 kpl  [document:VV výkaz výměr]</t>
        </is>
      </c>
      <c r="J246" s="6" t="inlineStr"/>
    </row>
    <row r="247">
      <c r="A247" s="10" t="n">
        <v>154</v>
      </c>
      <c r="B247" s="11" t="inlineStr"/>
      <c r="C247" s="10" t="n">
        <v>12</v>
      </c>
      <c r="D247" s="11" t="inlineStr">
        <is>
          <t>M-ZTI</t>
        </is>
      </c>
      <c r="E247" s="11" t="inlineStr">
        <is>
          <t>M-ZTI-035</t>
        </is>
      </c>
      <c r="F247" s="12" t="inlineStr">
        <is>
          <t>Výkop pro pokládku potrubí šířky 1 m, pažený</t>
        </is>
      </c>
      <c r="G247" s="10" t="inlineStr">
        <is>
          <t>bm</t>
        </is>
      </c>
      <c r="H247" s="10" t="n">
        <v>12.8</v>
      </c>
      <c r="I247" s="12" t="inlineStr">
        <is>
          <t>VV P1.5c = 12.8 bm  [document:VV výkaz výměr]</t>
        </is>
      </c>
      <c r="J247" s="12" t="inlineStr"/>
    </row>
    <row r="248">
      <c r="A248" s="4" t="n">
        <v>155</v>
      </c>
      <c r="B248" s="5" t="inlineStr"/>
      <c r="C248" s="4" t="n">
        <v>12</v>
      </c>
      <c r="D248" s="5" t="inlineStr">
        <is>
          <t>M-ZTI</t>
        </is>
      </c>
      <c r="E248" s="5" t="inlineStr">
        <is>
          <t>M-ZTI-036</t>
        </is>
      </c>
      <c r="F248" s="6" t="inlineStr">
        <is>
          <t>Pískový podsyp frakce 0–16 mm, výška 0,1 m, zhutnění</t>
        </is>
      </c>
      <c r="G248" s="4" t="inlineStr">
        <is>
          <t>m³</t>
        </is>
      </c>
      <c r="H248" s="4" t="n">
        <v>1.28</v>
      </c>
      <c r="I248" s="6" t="inlineStr">
        <is>
          <t>VV P1.6c = 1.28 m³  [document:VV výkaz výměr]</t>
        </is>
      </c>
      <c r="J248" s="6" t="inlineStr"/>
    </row>
    <row r="249">
      <c r="A249" s="10" t="n">
        <v>156</v>
      </c>
      <c r="B249" s="11" t="inlineStr"/>
      <c r="C249" s="10" t="n">
        <v>12</v>
      </c>
      <c r="D249" s="11" t="inlineStr">
        <is>
          <t>M-ZTI</t>
        </is>
      </c>
      <c r="E249" s="11" t="inlineStr">
        <is>
          <t>M-ZTI-037</t>
        </is>
      </c>
      <c r="F249" s="12" t="inlineStr">
        <is>
          <t>Pískový obsyp frakce 0–16 mm bez ostrých zrn, výška 0,2 m, zhutnění</t>
        </is>
      </c>
      <c r="G249" s="10" t="inlineStr">
        <is>
          <t>m³</t>
        </is>
      </c>
      <c r="H249" s="10" t="n">
        <v>3.84</v>
      </c>
      <c r="I249" s="12" t="inlineStr">
        <is>
          <t>VV P1.7c = 3.84 m³  [document:VV výkaz výměr]</t>
        </is>
      </c>
      <c r="J249" s="12" t="inlineStr"/>
    </row>
    <row r="250">
      <c r="A250" s="4" t="n">
        <v>157</v>
      </c>
      <c r="B250" s="5" t="inlineStr"/>
      <c r="C250" s="4" t="n">
        <v>12</v>
      </c>
      <c r="D250" s="5" t="inlineStr">
        <is>
          <t>M-ZTI</t>
        </is>
      </c>
      <c r="E250" s="5" t="inlineStr">
        <is>
          <t>M-ZTI-038</t>
        </is>
      </c>
      <c r="F250" s="6" t="inlineStr">
        <is>
          <t>Konečný zához výkopu zeminou</t>
        </is>
      </c>
      <c r="G250" s="4" t="inlineStr">
        <is>
          <t>kpl</t>
        </is>
      </c>
      <c r="H250" s="4" t="n">
        <v>7.68</v>
      </c>
      <c r="I250" s="6" t="inlineStr">
        <is>
          <t>VV P1.8c = 7.68 kpl  [document:VV výkaz výměr]</t>
        </is>
      </c>
      <c r="J250" s="6" t="inlineStr"/>
    </row>
    <row r="251">
      <c r="A251" s="10" t="n">
        <v>158</v>
      </c>
      <c r="B251" s="11" t="inlineStr"/>
      <c r="C251" s="10" t="n">
        <v>12</v>
      </c>
      <c r="D251" s="11" t="inlineStr">
        <is>
          <t>M-ZTI</t>
        </is>
      </c>
      <c r="E251" s="11" t="inlineStr">
        <is>
          <t>M-ZTI-039</t>
        </is>
      </c>
      <c r="F251" s="12" t="inlineStr">
        <is>
          <t>Odvoz a uskladnění přebytečného výkopového materiálu</t>
        </is>
      </c>
      <c r="G251" s="10" t="inlineStr">
        <is>
          <t>kpl</t>
        </is>
      </c>
      <c r="H251" s="10" t="n">
        <v>1</v>
      </c>
      <c r="I251" s="12" t="inlineStr">
        <is>
          <t>VV P1.10c = 1.0 kpl  [document:VV výkaz výměr]</t>
        </is>
      </c>
      <c r="J251" s="12" t="inlineStr"/>
    </row>
    <row r="252">
      <c r="A252" s="4" t="n">
        <v>159</v>
      </c>
      <c r="B252" s="5" t="inlineStr"/>
      <c r="C252" s="4" t="n">
        <v>12</v>
      </c>
      <c r="D252" s="5" t="inlineStr">
        <is>
          <t>M-ZTI</t>
        </is>
      </c>
      <c r="E252" s="5" t="inlineStr">
        <is>
          <t>M-ZTI-040</t>
        </is>
      </c>
      <c r="F252" s="6" t="inlineStr">
        <is>
          <t>Montážní a pomocný materiál (součást zemních a pomocných prací)</t>
        </is>
      </c>
      <c r="G252" s="4" t="inlineStr">
        <is>
          <t>kpl</t>
        </is>
      </c>
      <c r="H252" s="4" t="n">
        <v>1</v>
      </c>
      <c r="I252" s="6" t="inlineStr">
        <is>
          <t>VV P1.11c = 1.0 kpl  [document:VV výkaz výměr]</t>
        </is>
      </c>
      <c r="J252" s="6" t="inlineStr"/>
    </row>
    <row r="253">
      <c r="A253" s="10" t="n">
        <v>160</v>
      </c>
      <c r="B253" s="11" t="inlineStr"/>
      <c r="C253" s="10" t="n">
        <v>12</v>
      </c>
      <c r="D253" s="11" t="inlineStr">
        <is>
          <t>M-ZTI</t>
        </is>
      </c>
      <c r="E253" s="11" t="inlineStr">
        <is>
          <t>M-ZTI-041</t>
        </is>
      </c>
      <c r="F253" s="12" t="inlineStr">
        <is>
          <t>Ostatní práce</t>
        </is>
      </c>
      <c r="G253" s="10" t="inlineStr">
        <is>
          <t>kpl</t>
        </is>
      </c>
      <c r="H253" s="10" t="n">
        <v>1</v>
      </c>
      <c r="I253" s="12" t="inlineStr">
        <is>
          <t>VV P.2.2 = 1.0 kpl  [document:VV výkaz výměr]</t>
        </is>
      </c>
      <c r="J253" s="12" t="inlineStr"/>
    </row>
    <row r="254">
      <c r="A254" s="4" t="n">
        <v>161</v>
      </c>
      <c r="B254" s="5" t="inlineStr"/>
      <c r="C254" s="4" t="n">
        <v>12</v>
      </c>
      <c r="D254" s="5" t="inlineStr">
        <is>
          <t>M-ZTI</t>
        </is>
      </c>
      <c r="E254" s="5" t="inlineStr">
        <is>
          <t>M-ZTI-042</t>
        </is>
      </c>
      <c r="F254" s="6" t="inlineStr">
        <is>
          <t>Identifikace, vytyčení a průkaz stávajících sítí ve výkopem dotčeném území vč. příp. projektové činnosti</t>
        </is>
      </c>
      <c r="G254" s="4" t="inlineStr">
        <is>
          <t>kpl</t>
        </is>
      </c>
      <c r="H254" s="4" t="n">
        <v>1</v>
      </c>
      <c r="I254" s="6" t="inlineStr">
        <is>
          <t>VV P.2.3 = 1.0 kpl  [document:VV výkaz výměr]</t>
        </is>
      </c>
      <c r="J254" s="6" t="inlineStr"/>
    </row>
    <row r="255">
      <c r="A255" s="10" t="n">
        <v>162</v>
      </c>
      <c r="B255" s="11" t="inlineStr"/>
      <c r="C255" s="10" t="n">
        <v>12</v>
      </c>
      <c r="D255" s="11" t="inlineStr">
        <is>
          <t>M-ZTI</t>
        </is>
      </c>
      <c r="E255" s="11" t="inlineStr">
        <is>
          <t>M-ZTI-043</t>
        </is>
      </c>
      <c r="F255" s="12" t="inlineStr">
        <is>
          <t>Inženýrská činnost vč. mapových podkladů, správních poplatků atd.</t>
        </is>
      </c>
      <c r="G255" s="10" t="inlineStr">
        <is>
          <t>kpl</t>
        </is>
      </c>
      <c r="H255" s="10" t="n">
        <v>1</v>
      </c>
      <c r="I255" s="12" t="inlineStr">
        <is>
          <t>VV P.2.4 = 1.0 kpl  [document:VV výkaz výměr]</t>
        </is>
      </c>
      <c r="J255" s="12" t="inlineStr"/>
    </row>
    <row r="256">
      <c r="A256" s="4" t="n">
        <v>163</v>
      </c>
      <c r="B256" s="5" t="inlineStr"/>
      <c r="C256" s="4" t="n">
        <v>12</v>
      </c>
      <c r="D256" s="5" t="inlineStr">
        <is>
          <t>M-ZTI</t>
        </is>
      </c>
      <c r="E256" s="5" t="inlineStr">
        <is>
          <t>M-ZTI-044</t>
        </is>
      </c>
      <c r="F256" s="6" t="inlineStr">
        <is>
          <t>Dílenská dokumentace</t>
        </is>
      </c>
      <c r="G256" s="4" t="inlineStr">
        <is>
          <t>kpl</t>
        </is>
      </c>
      <c r="H256" s="4" t="n">
        <v>1</v>
      </c>
      <c r="I256" s="6" t="inlineStr">
        <is>
          <t>VV P.2.5 = 1.0 kpl  [document:VV výkaz výměr]</t>
        </is>
      </c>
      <c r="J256" s="6" t="inlineStr"/>
    </row>
    <row r="257">
      <c r="A257" s="10" t="n">
        <v>164</v>
      </c>
      <c r="B257" s="11" t="inlineStr"/>
      <c r="C257" s="10" t="n">
        <v>12</v>
      </c>
      <c r="D257" s="11" t="inlineStr">
        <is>
          <t>M-ZTI</t>
        </is>
      </c>
      <c r="E257" s="11" t="inlineStr">
        <is>
          <t>M-ZTI-045</t>
        </is>
      </c>
      <c r="F257" s="12" t="inlineStr">
        <is>
          <t>Dokumentace skutečného provedení</t>
        </is>
      </c>
      <c r="G257" s="10" t="inlineStr">
        <is>
          <t>kpl</t>
        </is>
      </c>
      <c r="H257" s="10" t="n">
        <v>1</v>
      </c>
      <c r="I257" s="12" t="inlineStr">
        <is>
          <t>VV P.2.6 = 1.0 kpl  [document:VV výkaz výměr]</t>
        </is>
      </c>
      <c r="J257" s="12" t="inlineStr"/>
    </row>
    <row r="258">
      <c r="A258" s="4" t="n">
        <v>165</v>
      </c>
      <c r="B258" s="5" t="inlineStr"/>
      <c r="C258" s="4" t="n">
        <v>12</v>
      </c>
      <c r="D258" s="5" t="inlineStr">
        <is>
          <t>M-ZTI</t>
        </is>
      </c>
      <c r="E258" s="5" t="inlineStr">
        <is>
          <t>M-ZTI-046</t>
        </is>
      </c>
      <c r="F258" s="6" t="inlineStr">
        <is>
          <t>Zkouška těsnosti kanalizace</t>
        </is>
      </c>
      <c r="G258" s="4" t="inlineStr">
        <is>
          <t>kpl</t>
        </is>
      </c>
      <c r="H258" s="4" t="n">
        <v>1</v>
      </c>
      <c r="I258" s="6" t="inlineStr">
        <is>
          <t>VV P.2.7 = 1.0 kpl  [document:VV výkaz výměr]</t>
        </is>
      </c>
      <c r="J258" s="6" t="inlineStr"/>
    </row>
    <row r="259">
      <c r="A259" s="3" t="inlineStr">
        <is>
          <t>→ ZTI vnější — vodovod (PE100 + armatury + zemní práce)</t>
        </is>
      </c>
    </row>
    <row r="260">
      <c r="A260" s="4" t="n">
        <v>166</v>
      </c>
      <c r="B260" s="5" t="inlineStr"/>
      <c r="C260" s="4" t="n">
        <v>12</v>
      </c>
      <c r="D260" s="5" t="inlineStr">
        <is>
          <t>M-ZTI</t>
        </is>
      </c>
      <c r="E260" s="5" t="inlineStr">
        <is>
          <t>M-ZTI-047</t>
        </is>
      </c>
      <c r="F260" s="6" t="inlineStr">
        <is>
          <t>Plastové potrubí PE100 SDR11 d50 (50×4,6 mm) vč. montáže a tvarovek</t>
        </is>
      </c>
      <c r="G260" s="4" t="inlineStr">
        <is>
          <t>bm</t>
        </is>
      </c>
      <c r="H260" s="4" t="n">
        <v>10</v>
      </c>
      <c r="I260" s="6" t="inlineStr">
        <is>
          <t>VV P1.2d = 10.0 bm  [document:VV výkaz výměr]</t>
        </is>
      </c>
      <c r="J260" s="6" t="inlineStr"/>
    </row>
    <row r="261">
      <c r="A261" s="10" t="n">
        <v>167</v>
      </c>
      <c r="B261" s="11" t="inlineStr"/>
      <c r="C261" s="10" t="n">
        <v>12</v>
      </c>
      <c r="D261" s="11" t="inlineStr">
        <is>
          <t>M-ZTI</t>
        </is>
      </c>
      <c r="E261" s="11" t="inlineStr">
        <is>
          <t>M-ZTI-048</t>
        </is>
      </c>
      <c r="F261" s="12" t="inlineStr">
        <is>
          <t>Navrtávací pas 110/50</t>
        </is>
      </c>
      <c r="G261" s="10" t="inlineStr">
        <is>
          <t>ks</t>
        </is>
      </c>
      <c r="H261" s="10" t="n">
        <v>1</v>
      </c>
      <c r="I261" s="12" t="inlineStr">
        <is>
          <t>VV P1.3d = 1.0 ks  [document:VV výkaz výměr]</t>
        </is>
      </c>
      <c r="J261" s="12" t="inlineStr"/>
    </row>
    <row r="262">
      <c r="A262" s="4" t="n">
        <v>168</v>
      </c>
      <c r="B262" s="5" t="inlineStr"/>
      <c r="C262" s="4" t="n">
        <v>12</v>
      </c>
      <c r="D262" s="5" t="inlineStr">
        <is>
          <t>M-ZTI</t>
        </is>
      </c>
      <c r="E262" s="5" t="inlineStr">
        <is>
          <t>M-ZTI-049</t>
        </is>
      </c>
      <c r="F262" s="6" t="inlineStr">
        <is>
          <t>Uzavírací šoupě vč. zemní soupravy DN40</t>
        </is>
      </c>
      <c r="G262" s="4" t="inlineStr">
        <is>
          <t>kpl</t>
        </is>
      </c>
      <c r="H262" s="4" t="n">
        <v>1</v>
      </c>
      <c r="I262" s="6" t="inlineStr">
        <is>
          <t>VV P1.4d = 1.0 kpl  [document:VV výkaz výměr]</t>
        </is>
      </c>
      <c r="J262" s="6" t="inlineStr"/>
    </row>
    <row r="263">
      <c r="A263" s="10" t="n">
        <v>169</v>
      </c>
      <c r="B263" s="11" t="inlineStr"/>
      <c r="C263" s="10" t="n">
        <v>12</v>
      </c>
      <c r="D263" s="11" t="inlineStr">
        <is>
          <t>M-ZTI</t>
        </is>
      </c>
      <c r="E263" s="11" t="inlineStr">
        <is>
          <t>M-ZTI-050</t>
        </is>
      </c>
      <c r="F263" s="12" t="inlineStr">
        <is>
          <t>Výkop pro pokládku potrubí šířky 1 m, pažený</t>
        </is>
      </c>
      <c r="G263" s="10" t="inlineStr">
        <is>
          <t>bm</t>
        </is>
      </c>
      <c r="H263" s="10" t="n">
        <v>16</v>
      </c>
      <c r="I263" s="12" t="inlineStr">
        <is>
          <t>VV P1.5d = 16.0 bm  [document:VV výkaz výměr]</t>
        </is>
      </c>
      <c r="J263" s="12" t="inlineStr"/>
    </row>
    <row r="264">
      <c r="A264" s="4" t="n">
        <v>170</v>
      </c>
      <c r="B264" s="5" t="inlineStr"/>
      <c r="C264" s="4" t="n">
        <v>12</v>
      </c>
      <c r="D264" s="5" t="inlineStr">
        <is>
          <t>M-ZTI</t>
        </is>
      </c>
      <c r="E264" s="5" t="inlineStr">
        <is>
          <t>M-ZTI-051</t>
        </is>
      </c>
      <c r="F264" s="6" t="inlineStr">
        <is>
          <t>Pískový podsyp frakce 0–16 mm, výška 0,1 m, zhutnění</t>
        </is>
      </c>
      <c r="G264" s="4" t="inlineStr">
        <is>
          <t>m³</t>
        </is>
      </c>
      <c r="H264" s="4" t="n">
        <v>1.6</v>
      </c>
      <c r="I264" s="6" t="inlineStr">
        <is>
          <t>VV P1.6d = 1.6 m³  [document:VV výkaz výměr]</t>
        </is>
      </c>
      <c r="J264" s="6" t="inlineStr"/>
    </row>
    <row r="265">
      <c r="A265" s="10" t="n">
        <v>171</v>
      </c>
      <c r="B265" s="11" t="inlineStr"/>
      <c r="C265" s="10" t="n">
        <v>12</v>
      </c>
      <c r="D265" s="11" t="inlineStr">
        <is>
          <t>M-ZTI</t>
        </is>
      </c>
      <c r="E265" s="11" t="inlineStr">
        <is>
          <t>M-ZTI-052</t>
        </is>
      </c>
      <c r="F265" s="12" t="inlineStr">
        <is>
          <t>Pískový obsyp frakce 0–16 mm bez ostrých zrn, výška 0,2 m, zhutnění</t>
        </is>
      </c>
      <c r="G265" s="10" t="inlineStr">
        <is>
          <t>m³</t>
        </is>
      </c>
      <c r="H265" s="10" t="n">
        <v>4.8</v>
      </c>
      <c r="I265" s="12" t="inlineStr">
        <is>
          <t>VV P1.7d = 4.8 m³  [document:VV výkaz výměr]</t>
        </is>
      </c>
      <c r="J265" s="12" t="inlineStr"/>
    </row>
    <row r="266">
      <c r="A266" s="4" t="n">
        <v>172</v>
      </c>
      <c r="B266" s="5" t="inlineStr"/>
      <c r="C266" s="4" t="n">
        <v>12</v>
      </c>
      <c r="D266" s="5" t="inlineStr">
        <is>
          <t>M-ZTI</t>
        </is>
      </c>
      <c r="E266" s="5" t="inlineStr">
        <is>
          <t>M-ZTI-053</t>
        </is>
      </c>
      <c r="F266" s="6" t="inlineStr">
        <is>
          <t>Konečný zához výkopu zeminou</t>
        </is>
      </c>
      <c r="G266" s="4" t="inlineStr">
        <is>
          <t>kpl</t>
        </is>
      </c>
      <c r="H266" s="4" t="n">
        <v>9.6</v>
      </c>
      <c r="I266" s="6" t="inlineStr">
        <is>
          <t>VV P1.8d = 9.6 kpl  [document:VV výkaz výměr]</t>
        </is>
      </c>
      <c r="J266" s="6" t="inlineStr"/>
    </row>
    <row r="267">
      <c r="A267" s="10" t="n">
        <v>173</v>
      </c>
      <c r="B267" s="11" t="inlineStr"/>
      <c r="C267" s="10" t="n">
        <v>12</v>
      </c>
      <c r="D267" s="11" t="inlineStr">
        <is>
          <t>M-ZTI</t>
        </is>
      </c>
      <c r="E267" s="11" t="inlineStr">
        <is>
          <t>M-ZTI-054</t>
        </is>
      </c>
      <c r="F267" s="12" t="inlineStr">
        <is>
          <t>Výstražná folie</t>
        </is>
      </c>
      <c r="G267" s="10" t="inlineStr">
        <is>
          <t>bm</t>
        </is>
      </c>
      <c r="H267" s="10" t="n">
        <v>10</v>
      </c>
      <c r="I267" s="12" t="inlineStr">
        <is>
          <t>VV P1.9d = 10.0 bm  [document:VV výkaz výměr]</t>
        </is>
      </c>
      <c r="J267" s="12" t="inlineStr"/>
    </row>
    <row r="268">
      <c r="A268" s="4" t="n">
        <v>174</v>
      </c>
      <c r="B268" s="5" t="inlineStr"/>
      <c r="C268" s="4" t="n">
        <v>12</v>
      </c>
      <c r="D268" s="5" t="inlineStr">
        <is>
          <t>M-ZTI</t>
        </is>
      </c>
      <c r="E268" s="5" t="inlineStr">
        <is>
          <t>M-ZTI-055</t>
        </is>
      </c>
      <c r="F268" s="6" t="inlineStr">
        <is>
          <t>Odvoz a uskladnění přebytečného výkopového materiálu</t>
        </is>
      </c>
      <c r="G268" s="4" t="inlineStr">
        <is>
          <t>kpl</t>
        </is>
      </c>
      <c r="H268" s="4" t="n">
        <v>1</v>
      </c>
      <c r="I268" s="6" t="inlineStr">
        <is>
          <t>VV P1.10d = 1.0 kpl  [document:VV výkaz výměr]</t>
        </is>
      </c>
      <c r="J268" s="6" t="inlineStr"/>
    </row>
    <row r="269">
      <c r="A269" s="10" t="n">
        <v>175</v>
      </c>
      <c r="B269" s="11" t="inlineStr"/>
      <c r="C269" s="10" t="n">
        <v>12</v>
      </c>
      <c r="D269" s="11" t="inlineStr">
        <is>
          <t>M-ZTI</t>
        </is>
      </c>
      <c r="E269" s="11" t="inlineStr">
        <is>
          <t>M-ZTI-056</t>
        </is>
      </c>
      <c r="F269" s="12" t="inlineStr">
        <is>
          <t>Montážní a pomocný materiál (součást zemních a pomocných prací)</t>
        </is>
      </c>
      <c r="G269" s="10" t="inlineStr">
        <is>
          <t>kpl</t>
        </is>
      </c>
      <c r="H269" s="10" t="n">
        <v>1</v>
      </c>
      <c r="I269" s="12" t="inlineStr">
        <is>
          <t>VV P1.11d = 1.0 kpl  [document:VV výkaz výměr]</t>
        </is>
      </c>
      <c r="J269" s="12" t="inlineStr"/>
    </row>
    <row r="270">
      <c r="A270" s="3" t="inlineStr">
        <is>
          <t>→ ZTI domovní kanalizace — potrubí PP-KG/HT + revizní šachty + retenční nádoba 15 m³ + zasakovací těleso (VV K1, pending ABMV_33)</t>
        </is>
      </c>
    </row>
    <row r="271">
      <c r="A271" s="4" t="n">
        <v>176</v>
      </c>
      <c r="B271" s="5" t="inlineStr"/>
      <c r="C271" s="4" t="n">
        <v>12</v>
      </c>
      <c r="D271" s="5" t="inlineStr">
        <is>
          <t>M-ZTI</t>
        </is>
      </c>
      <c r="E271" s="5" t="inlineStr">
        <is>
          <t>M-ZTI-016</t>
        </is>
      </c>
      <c r="F271" s="6" t="inlineStr">
        <is>
          <t>Potrubí PP-HT DN50</t>
        </is>
      </c>
      <c r="G271" s="4" t="inlineStr">
        <is>
          <t>bm</t>
        </is>
      </c>
      <c r="H271" s="4" t="n">
        <v>2</v>
      </c>
      <c r="I271" s="6" t="inlineStr">
        <is>
          <t>VV K1.2 = 2.0 bm  [document:VV výkaz výměr]</t>
        </is>
      </c>
      <c r="J271" s="6" t="inlineStr"/>
    </row>
    <row r="272">
      <c r="A272" s="10" t="n">
        <v>177</v>
      </c>
      <c r="B272" s="11" t="inlineStr"/>
      <c r="C272" s="10" t="n">
        <v>12</v>
      </c>
      <c r="D272" s="11" t="inlineStr">
        <is>
          <t>M-ZTI</t>
        </is>
      </c>
      <c r="E272" s="11" t="inlineStr">
        <is>
          <t>M-ZTI-017</t>
        </is>
      </c>
      <c r="F272" s="12" t="inlineStr">
        <is>
          <t>Potrubí PP-HT DN110</t>
        </is>
      </c>
      <c r="G272" s="10" t="inlineStr">
        <is>
          <t>bm</t>
        </is>
      </c>
      <c r="H272" s="10" t="n">
        <v>5</v>
      </c>
      <c r="I272" s="12" t="inlineStr">
        <is>
          <t>VV K1.3 = 5.0 bm  [document:VV výkaz výměr]</t>
        </is>
      </c>
      <c r="J272" s="12" t="inlineStr"/>
    </row>
    <row r="273">
      <c r="A273" s="4" t="n">
        <v>178</v>
      </c>
      <c r="B273" s="5" t="inlineStr"/>
      <c r="C273" s="4" t="n">
        <v>12</v>
      </c>
      <c r="D273" s="5" t="inlineStr">
        <is>
          <t>M-ZTI</t>
        </is>
      </c>
      <c r="E273" s="5" t="inlineStr">
        <is>
          <t>M-ZTI-018</t>
        </is>
      </c>
      <c r="F273" s="6" t="inlineStr">
        <is>
          <t>Kanalizační potrubí PP-KG DN110 vč. tvarovek</t>
        </is>
      </c>
      <c r="G273" s="4" t="inlineStr">
        <is>
          <t>bm</t>
        </is>
      </c>
      <c r="H273" s="4" t="n">
        <v>1</v>
      </c>
      <c r="I273" s="6" t="inlineStr">
        <is>
          <t>VV K1.5 = 1.0 bm  [document:VV výkaz výměr]</t>
        </is>
      </c>
      <c r="J273" s="6" t="inlineStr"/>
    </row>
    <row r="274">
      <c r="A274" s="10" t="n">
        <v>179</v>
      </c>
      <c r="B274" s="11" t="inlineStr"/>
      <c r="C274" s="10" t="n">
        <v>12</v>
      </c>
      <c r="D274" s="11" t="inlineStr">
        <is>
          <t>M-ZTI</t>
        </is>
      </c>
      <c r="E274" s="11" t="inlineStr">
        <is>
          <t>M-ZTI-019</t>
        </is>
      </c>
      <c r="F274" s="12" t="inlineStr">
        <is>
          <t>Kanalizační potrubí PP-KG DN125 vč. tvarovek</t>
        </is>
      </c>
      <c r="G274" s="10" t="inlineStr">
        <is>
          <t>bm</t>
        </is>
      </c>
      <c r="H274" s="10" t="n">
        <v>55</v>
      </c>
      <c r="I274" s="12" t="inlineStr">
        <is>
          <t>VV K1.6 = 55.0 bm  [document:VV výkaz výměr]</t>
        </is>
      </c>
      <c r="J274" s="12" t="inlineStr"/>
    </row>
    <row r="275">
      <c r="A275" s="4" t="n">
        <v>180</v>
      </c>
      <c r="B275" s="5" t="inlineStr"/>
      <c r="C275" s="4" t="n">
        <v>12</v>
      </c>
      <c r="D275" s="5" t="inlineStr">
        <is>
          <t>M-ZTI</t>
        </is>
      </c>
      <c r="E275" s="5" t="inlineStr">
        <is>
          <t>M-ZTI-020</t>
        </is>
      </c>
      <c r="F275" s="6" t="inlineStr">
        <is>
          <t>Kanalizační potrubí PP-KG DN160 vč. tvarovek</t>
        </is>
      </c>
      <c r="G275" s="4" t="inlineStr">
        <is>
          <t>bm</t>
        </is>
      </c>
      <c r="H275" s="4" t="n">
        <v>30</v>
      </c>
      <c r="I275" s="6" t="inlineStr">
        <is>
          <t>VV K1.7 = 30.0 bm  [document:VV výkaz výměr]</t>
        </is>
      </c>
      <c r="J275" s="6" t="inlineStr"/>
    </row>
    <row r="276">
      <c r="A276" s="10" t="n">
        <v>181</v>
      </c>
      <c r="B276" s="11" t="inlineStr"/>
      <c r="C276" s="10" t="n">
        <v>12</v>
      </c>
      <c r="D276" s="11" t="inlineStr">
        <is>
          <t>M-ZTI</t>
        </is>
      </c>
      <c r="E276" s="11" t="inlineStr">
        <is>
          <t>M-ZTI-021</t>
        </is>
      </c>
      <c r="F276" s="12" t="inlineStr">
        <is>
          <t>Kanalizační potrubí PP-KG DN200 vč. tvarovek</t>
        </is>
      </c>
      <c r="G276" s="10" t="inlineStr">
        <is>
          <t>bm</t>
        </is>
      </c>
      <c r="H276" s="10" t="n">
        <v>9</v>
      </c>
      <c r="I276" s="12" t="inlineStr">
        <is>
          <t>VV K1.8 = 9.0 bm  [document:VV výkaz výměr]</t>
        </is>
      </c>
      <c r="J276" s="12" t="inlineStr"/>
    </row>
    <row r="277">
      <c r="A277" s="4" t="n">
        <v>182</v>
      </c>
      <c r="B277" s="5" t="inlineStr"/>
      <c r="C277" s="4" t="n">
        <v>12</v>
      </c>
      <c r="D277" s="5" t="inlineStr">
        <is>
          <t>M-ZTI</t>
        </is>
      </c>
      <c r="E277" s="5" t="inlineStr">
        <is>
          <t>M-ZTI-022</t>
        </is>
      </c>
      <c r="F277" s="6" t="inlineStr">
        <is>
          <t>Revizní šachta Dš — bet. skruže DN1000, pojezdný poklop, šachetní dno, regulační prvek max 0,55 l/s + havarijní přepad DN200, hl do 2,5 m (kpl)</t>
        </is>
      </c>
      <c r="G277" s="4" t="inlineStr">
        <is>
          <t>kpl</t>
        </is>
      </c>
      <c r="H277" s="4" t="n">
        <v>1</v>
      </c>
      <c r="I277" s="6" t="inlineStr">
        <is>
          <t>VV K1.9 = 1.0 kpl  [document:VV výkaz výměr]</t>
        </is>
      </c>
      <c r="J277" s="6" t="inlineStr"/>
    </row>
    <row r="278">
      <c r="A278" s="10" t="n">
        <v>183</v>
      </c>
      <c r="B278" s="11" t="inlineStr"/>
      <c r="C278" s="10" t="n">
        <v>12</v>
      </c>
      <c r="D278" s="11" t="inlineStr">
        <is>
          <t>M-ZTI</t>
        </is>
      </c>
      <c r="E278" s="11" t="inlineStr">
        <is>
          <t>M-ZTI-023</t>
        </is>
      </c>
      <c r="F278" s="12" t="inlineStr">
        <is>
          <t>Revizní betonová šachta dešťová Dš1 — DN1000, rovné dno, hl do 2,0 m, nátok DN160 (-90°/180°), výtok DN200, pojezdový poklop (kpl)</t>
        </is>
      </c>
      <c r="G278" s="10" t="inlineStr">
        <is>
          <t>kpl</t>
        </is>
      </c>
      <c r="H278" s="10" t="n">
        <v>1</v>
      </c>
      <c r="I278" s="12" t="inlineStr">
        <is>
          <t>VV K1.10 = 1.0 kpl  [document:VV výkaz výměr]</t>
        </is>
      </c>
      <c r="J278" s="12" t="inlineStr"/>
    </row>
    <row r="279">
      <c r="A279" s="4" t="n">
        <v>184</v>
      </c>
      <c r="B279" s="5" t="inlineStr"/>
      <c r="C279" s="4" t="n">
        <v>12</v>
      </c>
      <c r="D279" s="5" t="inlineStr">
        <is>
          <t>M-ZTI</t>
        </is>
      </c>
      <c r="E279" s="5" t="inlineStr">
        <is>
          <t>M-ZTI-024</t>
        </is>
      </c>
      <c r="F279" s="6" t="inlineStr">
        <is>
          <t>Revizní filtrační šachta Dš2 — bet. skruže DN1000, pojezdný poklop, dno, hl do 1,6 m, nátok DN160 -90°, výtok DN160 (kpl)</t>
        </is>
      </c>
      <c r="G279" s="4" t="inlineStr">
        <is>
          <t>kpl</t>
        </is>
      </c>
      <c r="H279" s="4" t="n">
        <v>1</v>
      </c>
      <c r="I279" s="6" t="inlineStr">
        <is>
          <t>VV K1.11 = 1.0 kpl  [document:VV výkaz výměr]</t>
        </is>
      </c>
      <c r="J279" s="6" t="inlineStr"/>
    </row>
    <row r="280">
      <c r="A280" s="10" t="n">
        <v>185</v>
      </c>
      <c r="B280" s="11" t="inlineStr"/>
      <c r="C280" s="10" t="n">
        <v>12</v>
      </c>
      <c r="D280" s="11" t="inlineStr">
        <is>
          <t>M-ZTI</t>
        </is>
      </c>
      <c r="E280" s="11" t="inlineStr">
        <is>
          <t>M-ZTI-025</t>
        </is>
      </c>
      <c r="F280" s="12" t="inlineStr">
        <is>
          <t>Revizní šachty Rš2 + Rš3 — bet. skruže DN1000, pojezdný poklop, dno, hl dle stáv. kanalizace (kpl)</t>
        </is>
      </c>
      <c r="G280" s="10" t="inlineStr">
        <is>
          <t>kpl</t>
        </is>
      </c>
      <c r="H280" s="10" t="n">
        <v>2</v>
      </c>
      <c r="I280" s="12" t="inlineStr">
        <is>
          <t>VV K1.12 = 2.0 kpl  [document:VV výkaz výměr]</t>
        </is>
      </c>
      <c r="J280" s="12" t="inlineStr"/>
    </row>
    <row r="281">
      <c r="A281" s="4" t="n">
        <v>186</v>
      </c>
      <c r="B281" s="5" t="inlineStr"/>
      <c r="C281" s="4" t="n">
        <v>12</v>
      </c>
      <c r="D281" s="5" t="inlineStr">
        <is>
          <t>M-ZTI</t>
        </is>
      </c>
      <c r="E281" s="5" t="inlineStr">
        <is>
          <t>M-ZTI-026</t>
        </is>
      </c>
      <c r="F281" s="6" t="inlineStr">
        <is>
          <t>Zasakovací těleso 1,5×3,0×0,39 m — min. využitelný objem 2 m³, zasakovací plocha min 4,5 m², kamenivo/voštinové těleso</t>
        </is>
      </c>
      <c r="G281" s="4" t="inlineStr">
        <is>
          <t>kpl</t>
        </is>
      </c>
      <c r="H281" s="4" t="n">
        <v>1</v>
      </c>
      <c r="I281" s="6" t="inlineStr">
        <is>
          <t>VV K1.13 = 1.0 kpl  [document:VV výkaz výměr]</t>
        </is>
      </c>
      <c r="J281" s="6" t="inlineStr"/>
    </row>
    <row r="282">
      <c r="A282" s="10" t="n">
        <v>187</v>
      </c>
      <c r="B282" s="11" t="inlineStr"/>
      <c r="C282" s="10" t="n">
        <v>12</v>
      </c>
      <c r="D282" s="11" t="inlineStr">
        <is>
          <t>M-ZTI</t>
        </is>
      </c>
      <c r="E282" s="11" t="inlineStr">
        <is>
          <t>M-ZTI-027</t>
        </is>
      </c>
      <c r="F282" s="12" t="inlineStr">
        <is>
          <t>Akumulačně retenční nádoba na dešťovou vodu 15 m³ — ⌀3,1 m × v=2,0 m, dodávka + montáž (kpl)</t>
        </is>
      </c>
      <c r="G282" s="10" t="inlineStr">
        <is>
          <t>kpl</t>
        </is>
      </c>
      <c r="H282" s="10" t="n">
        <v>1</v>
      </c>
      <c r="I282" s="12" t="inlineStr">
        <is>
          <t>VV K1.14 = 1.0 kpl  [document:VV výkaz výměr]</t>
        </is>
      </c>
      <c r="J282" s="12" t="inlineStr"/>
    </row>
    <row r="283">
      <c r="A283" s="4" t="n">
        <v>188</v>
      </c>
      <c r="B283" s="5" t="inlineStr"/>
      <c r="C283" s="4" t="n">
        <v>12</v>
      </c>
      <c r="D283" s="5" t="inlineStr">
        <is>
          <t>M-ZTI</t>
        </is>
      </c>
      <c r="E283" s="5" t="inlineStr">
        <is>
          <t>M-ZTI-028</t>
        </is>
      </c>
      <c r="F283" s="6" t="inlineStr">
        <is>
          <t>Revizní šachta Dš2 — bet. skruže DN1000, pojezdný poklop, dno, hl do 2,2 m (kpl)</t>
        </is>
      </c>
      <c r="G283" s="4" t="inlineStr">
        <is>
          <t>kpl</t>
        </is>
      </c>
      <c r="H283" s="4" t="n">
        <v>1</v>
      </c>
      <c r="I283" s="6" t="inlineStr">
        <is>
          <t>VV K1.15 = 1.0 kpl  [document:VV výkaz výměr]</t>
        </is>
      </c>
      <c r="J283" s="6" t="inlineStr"/>
    </row>
    <row r="284">
      <c r="A284" s="10" t="n">
        <v>189</v>
      </c>
      <c r="B284" s="11" t="inlineStr"/>
      <c r="C284" s="10" t="n">
        <v>12</v>
      </c>
      <c r="D284" s="11" t="inlineStr">
        <is>
          <t>M-ZTI</t>
        </is>
      </c>
      <c r="E284" s="11" t="inlineStr">
        <is>
          <t>M-ZTI-029</t>
        </is>
      </c>
      <c r="F284" s="12" t="inlineStr">
        <is>
          <t>Zápachová uzávěrka pro umyvadla — sifon trubkový chrom designový 5/4" 32 mm (komplet)</t>
        </is>
      </c>
      <c r="G284" s="10" t="inlineStr">
        <is>
          <t>ks</t>
        </is>
      </c>
      <c r="H284" s="10" t="n">
        <v>1</v>
      </c>
      <c r="I284" s="12" t="inlineStr">
        <is>
          <t>VV K2.2 = 1.0 ks  [document:VV výkaz výměr]</t>
        </is>
      </c>
      <c r="J284" s="12" t="inlineStr"/>
    </row>
    <row r="285">
      <c r="A285" s="4" t="n">
        <v>190</v>
      </c>
      <c r="B285" s="5" t="inlineStr"/>
      <c r="C285" s="4" t="n">
        <v>12</v>
      </c>
      <c r="D285" s="5" t="inlineStr">
        <is>
          <t>M-ZTI</t>
        </is>
      </c>
      <c r="E285" s="5" t="inlineStr">
        <is>
          <t>M-ZTI-030</t>
        </is>
      </c>
      <c r="F285" s="6" t="inlineStr">
        <is>
          <t>Sifon pro odvod kondenzátu z kondenzačního kotle, VZT a boileru (ref. HL 136)</t>
        </is>
      </c>
      <c r="G285" s="4" t="inlineStr">
        <is>
          <t>ks</t>
        </is>
      </c>
      <c r="H285" s="4" t="n">
        <v>1</v>
      </c>
      <c r="I285" s="6" t="inlineStr">
        <is>
          <t>VV K2.3 = 1.0 ks  [document:VV výkaz výměr]</t>
        </is>
      </c>
      <c r="J285" s="6" t="inlineStr"/>
    </row>
    <row r="286">
      <c r="A286" s="10" t="n">
        <v>191</v>
      </c>
      <c r="B286" s="11" t="inlineStr"/>
      <c r="C286" s="10" t="n">
        <v>12</v>
      </c>
      <c r="D286" s="11" t="inlineStr">
        <is>
          <t>M-ZTI</t>
        </is>
      </c>
      <c r="E286" s="11" t="inlineStr">
        <is>
          <t>M-ZTI-031</t>
        </is>
      </c>
      <c r="F286" s="12" t="inlineStr">
        <is>
          <t>Lapač splavenin a nečistot — litinový</t>
        </is>
      </c>
      <c r="G286" s="10" t="inlineStr">
        <is>
          <t>ks</t>
        </is>
      </c>
      <c r="H286" s="10" t="n">
        <v>5</v>
      </c>
      <c r="I286" s="12" t="inlineStr">
        <is>
          <t>VV K2.4 = 5.0 ks  [document:VV výkaz výměr]</t>
        </is>
      </c>
      <c r="J286" s="12" t="inlineStr"/>
    </row>
    <row r="287">
      <c r="A287" s="3" t="inlineStr">
        <is>
          <t>→ ZTI domovní vodovod — potrubí + armatury + TUV + požární vodovod + hydrant D19/30 (VV DV)</t>
        </is>
      </c>
    </row>
    <row r="288">
      <c r="A288" s="4" t="n">
        <v>192</v>
      </c>
      <c r="B288" s="5" t="inlineStr"/>
      <c r="C288" s="4" t="n">
        <v>12</v>
      </c>
      <c r="D288" s="5" t="inlineStr">
        <is>
          <t>M-ZTI</t>
        </is>
      </c>
      <c r="E288" s="5" t="inlineStr">
        <is>
          <t>M-ZTI-001</t>
        </is>
      </c>
      <c r="F288" s="6" t="inlineStr">
        <is>
          <t>EVO PP-RCT 16×2,2 + izolace mirelon 9 mm</t>
        </is>
      </c>
      <c r="G288" s="4" t="inlineStr">
        <is>
          <t>bm</t>
        </is>
      </c>
      <c r="H288" s="4" t="n">
        <v>2</v>
      </c>
      <c r="I288" s="6" t="inlineStr">
        <is>
          <t>VV DV1.1 = 2.0 bm  [document:VV výkaz výměr]</t>
        </is>
      </c>
      <c r="J288" s="6" t="inlineStr"/>
    </row>
    <row r="289">
      <c r="A289" s="10" t="n">
        <v>193</v>
      </c>
      <c r="B289" s="11" t="inlineStr"/>
      <c r="C289" s="10" t="n">
        <v>12</v>
      </c>
      <c r="D289" s="11" t="inlineStr">
        <is>
          <t>M-ZTI</t>
        </is>
      </c>
      <c r="E289" s="11" t="inlineStr">
        <is>
          <t>M-ZTI-002</t>
        </is>
      </c>
      <c r="F289" s="12" t="inlineStr">
        <is>
          <t>EVO PP-RCT 16×2,2 + izolace mirelon 13 mm</t>
        </is>
      </c>
      <c r="G289" s="10" t="inlineStr">
        <is>
          <t>bm</t>
        </is>
      </c>
      <c r="H289" s="10" t="n">
        <v>2</v>
      </c>
      <c r="I289" s="12" t="inlineStr">
        <is>
          <t>VV DV1.2 = 2.0 bm  [document:VV výkaz výměr]</t>
        </is>
      </c>
      <c r="J289" s="12" t="inlineStr"/>
    </row>
    <row r="290">
      <c r="A290" s="4" t="n">
        <v>194</v>
      </c>
      <c r="B290" s="5" t="inlineStr"/>
      <c r="C290" s="4" t="n">
        <v>12</v>
      </c>
      <c r="D290" s="5" t="inlineStr">
        <is>
          <t>M-ZTI</t>
        </is>
      </c>
      <c r="E290" s="5" t="inlineStr">
        <is>
          <t>M-ZTI-003</t>
        </is>
      </c>
      <c r="F290" s="6" t="inlineStr">
        <is>
          <t>EVO PP-RCT 20×2,3–50×4,6 + izolace mirelon 9–30 mm</t>
        </is>
      </c>
      <c r="G290" s="4" t="inlineStr">
        <is>
          <t>bm</t>
        </is>
      </c>
      <c r="H290" s="4" t="n">
        <v>8</v>
      </c>
      <c r="I290" s="6" t="inlineStr">
        <is>
          <t>VV DV1.3 = 8.0 bm  [document:VV výkaz výměr]</t>
        </is>
      </c>
      <c r="J290" s="6" t="inlineStr"/>
    </row>
    <row r="291">
      <c r="A291" s="10" t="n">
        <v>195</v>
      </c>
      <c r="B291" s="11" t="inlineStr"/>
      <c r="C291" s="10" t="n">
        <v>12</v>
      </c>
      <c r="D291" s="11" t="inlineStr">
        <is>
          <t>M-ZTI</t>
        </is>
      </c>
      <c r="E291" s="11" t="inlineStr">
        <is>
          <t>M-ZTI-004</t>
        </is>
      </c>
      <c r="F291" s="12" t="inlineStr">
        <is>
          <t>Rohový ventil 1/2" + flexi hadička, připojení zařizovacích předmětů — komplet</t>
        </is>
      </c>
      <c r="G291" s="10" t="inlineStr">
        <is>
          <t>kus</t>
        </is>
      </c>
      <c r="H291" s="10" t="n">
        <v>2</v>
      </c>
      <c r="I291" s="12" t="inlineStr">
        <is>
          <t>VV DV3.1 = 2.0 kus  [document:VV výkaz výměr]</t>
        </is>
      </c>
      <c r="J291" s="12" t="inlineStr"/>
    </row>
    <row r="292">
      <c r="A292" s="4" t="n">
        <v>196</v>
      </c>
      <c r="B292" s="5" t="inlineStr"/>
      <c r="C292" s="4" t="n">
        <v>12</v>
      </c>
      <c r="D292" s="5" t="inlineStr">
        <is>
          <t>M-ZTI</t>
        </is>
      </c>
      <c r="E292" s="5" t="inlineStr">
        <is>
          <t>M-ZTI-005</t>
        </is>
      </c>
      <c r="F292" s="6" t="inlineStr">
        <is>
          <t>Kulový kohout DN40 s vypouštěním</t>
        </is>
      </c>
      <c r="G292" s="4" t="inlineStr">
        <is>
          <t>kus</t>
        </is>
      </c>
      <c r="H292" s="4" t="n">
        <v>1</v>
      </c>
      <c r="I292" s="6" t="inlineStr">
        <is>
          <t>VV DV3.2 = 1.0 kus  [document:VV výkaz výměr]</t>
        </is>
      </c>
      <c r="J292" s="6" t="inlineStr"/>
    </row>
    <row r="293">
      <c r="A293" s="10" t="n">
        <v>197</v>
      </c>
      <c r="B293" s="11" t="inlineStr"/>
      <c r="C293" s="10" t="n">
        <v>12</v>
      </c>
      <c r="D293" s="11" t="inlineStr">
        <is>
          <t>M-ZTI</t>
        </is>
      </c>
      <c r="E293" s="11" t="inlineStr">
        <is>
          <t>M-ZTI-006</t>
        </is>
      </c>
      <c r="F293" s="12" t="inlineStr">
        <is>
          <t>Podružná vodoměrná sestava dle požadavku provozovatele areálové sítě</t>
        </is>
      </c>
      <c r="G293" s="10" t="inlineStr">
        <is>
          <t>kus</t>
        </is>
      </c>
      <c r="H293" s="10" t="n">
        <v>1</v>
      </c>
      <c r="I293" s="12" t="inlineStr">
        <is>
          <t>VV DV3.3 = 1.0 kus  [document:VV výkaz výměr]</t>
        </is>
      </c>
      <c r="J293" s="12" t="inlineStr"/>
    </row>
    <row r="294">
      <c r="A294" s="4" t="n">
        <v>198</v>
      </c>
      <c r="B294" s="5" t="inlineStr"/>
      <c r="C294" s="4" t="n">
        <v>12</v>
      </c>
      <c r="D294" s="5" t="inlineStr">
        <is>
          <t>M-ZTI</t>
        </is>
      </c>
      <c r="E294" s="5" t="inlineStr">
        <is>
          <t>M-ZTI-007</t>
        </is>
      </c>
      <c r="F294" s="6" t="inlineStr">
        <is>
          <t>Stojánková páková umyvadlová směšovací baterie s ramínkem</t>
        </is>
      </c>
      <c r="G294" s="4" t="inlineStr">
        <is>
          <t>ks</t>
        </is>
      </c>
      <c r="H294" s="4" t="n">
        <v>1</v>
      </c>
      <c r="I294" s="6" t="inlineStr">
        <is>
          <t>VV DV4.1 = 1.0 ks  [document:VV výkaz výměr]</t>
        </is>
      </c>
      <c r="J294" s="6" t="inlineStr"/>
    </row>
    <row r="295">
      <c r="A295" s="10" t="n">
        <v>199</v>
      </c>
      <c r="B295" s="11" t="inlineStr"/>
      <c r="C295" s="10" t="n">
        <v>12</v>
      </c>
      <c r="D295" s="11" t="inlineStr">
        <is>
          <t>M-ZTI</t>
        </is>
      </c>
      <c r="E295" s="11" t="inlineStr">
        <is>
          <t>M-ZTI-008</t>
        </is>
      </c>
      <c r="F295" s="12" t="inlineStr">
        <is>
          <t>Automatická stanice přípravy TUV vč. jistící armatury — el. tlakově nezávislý zásobník (dodávka VYT, komplet)</t>
        </is>
      </c>
      <c r="G295" s="10" t="inlineStr">
        <is>
          <t>ks</t>
        </is>
      </c>
      <c r="H295" s="10" t="n">
        <v>1</v>
      </c>
      <c r="I295" s="12" t="inlineStr">
        <is>
          <t>VV DV5.1 = 1.0 ks  [document:VV výkaz výměr]</t>
        </is>
      </c>
      <c r="J295" s="12" t="inlineStr"/>
    </row>
    <row r="296">
      <c r="A296" s="4" t="n">
        <v>200</v>
      </c>
      <c r="B296" s="5" t="inlineStr"/>
      <c r="C296" s="4" t="n">
        <v>12</v>
      </c>
      <c r="D296" s="5" t="inlineStr">
        <is>
          <t>M-ZTI</t>
        </is>
      </c>
      <c r="E296" s="5" t="inlineStr">
        <is>
          <t>M-ZTI-009</t>
        </is>
      </c>
      <c r="F296" s="6" t="inlineStr">
        <is>
          <t>Uzavírací ventil DN20</t>
        </is>
      </c>
      <c r="G296" s="4" t="inlineStr">
        <is>
          <t>ks</t>
        </is>
      </c>
      <c r="H296" s="4" t="n">
        <v>2</v>
      </c>
      <c r="I296" s="6" t="inlineStr">
        <is>
          <t>VV DV5.2 = 2.0 ks  [document:VV výkaz výměr]</t>
        </is>
      </c>
      <c r="J296" s="6" t="inlineStr"/>
    </row>
    <row r="297">
      <c r="A297" s="10" t="n">
        <v>201</v>
      </c>
      <c r="B297" s="11" t="inlineStr"/>
      <c r="C297" s="10" t="n">
        <v>12</v>
      </c>
      <c r="D297" s="11" t="inlineStr">
        <is>
          <t>M-ZTI</t>
        </is>
      </c>
      <c r="E297" s="11" t="inlineStr">
        <is>
          <t>M-ZTI-010</t>
        </is>
      </c>
      <c r="F297" s="12" t="inlineStr">
        <is>
          <t>Umyvadlo dle výběru investora vč. kotvících prvků (komplet)</t>
        </is>
      </c>
      <c r="G297" s="10" t="inlineStr">
        <is>
          <t>ks</t>
        </is>
      </c>
      <c r="H297" s="10" t="n">
        <v>1</v>
      </c>
      <c r="I297" s="12" t="inlineStr">
        <is>
          <t>VV DV6.1 = 1.0 ks  [document:VV výkaz výměr]</t>
        </is>
      </c>
      <c r="J297" s="12" t="inlineStr"/>
    </row>
    <row r="298">
      <c r="A298" s="4" t="n">
        <v>202</v>
      </c>
      <c r="B298" s="5" t="inlineStr"/>
      <c r="C298" s="4" t="n">
        <v>12</v>
      </c>
      <c r="D298" s="5" t="inlineStr">
        <is>
          <t>M-ZTI</t>
        </is>
      </c>
      <c r="E298" s="5" t="inlineStr">
        <is>
          <t>M-ZTI-011</t>
        </is>
      </c>
      <c r="F298" s="6" t="inlineStr">
        <is>
          <t>Ocelové pozinkové potrubí DN20 (požární vodovod)</t>
        </is>
      </c>
      <c r="G298" s="4" t="inlineStr">
        <is>
          <t>bm</t>
        </is>
      </c>
      <c r="H298" s="4" t="n">
        <v>1</v>
      </c>
      <c r="I298" s="6" t="inlineStr">
        <is>
          <t>VV DV7.1 = 1.0 bm  [document:VV výkaz výměr]</t>
        </is>
      </c>
      <c r="J298" s="6" t="inlineStr"/>
    </row>
    <row r="299">
      <c r="A299" s="10" t="n">
        <v>203</v>
      </c>
      <c r="B299" s="11" t="inlineStr"/>
      <c r="C299" s="10" t="n">
        <v>12</v>
      </c>
      <c r="D299" s="11" t="inlineStr">
        <is>
          <t>M-ZTI</t>
        </is>
      </c>
      <c r="E299" s="11" t="inlineStr">
        <is>
          <t>M-ZTI-012</t>
        </is>
      </c>
      <c r="F299" s="12" t="inlineStr">
        <is>
          <t>Ocelové pozinkové potrubí DN25 (požární vodovod)</t>
        </is>
      </c>
      <c r="G299" s="10" t="inlineStr">
        <is>
          <t>bm</t>
        </is>
      </c>
      <c r="H299" s="10" t="n">
        <v>5</v>
      </c>
      <c r="I299" s="12" t="inlineStr">
        <is>
          <t>VV DV7.2 = 5.0 bm  [document:VV výkaz výměr]</t>
        </is>
      </c>
      <c r="J299" s="12" t="inlineStr"/>
    </row>
    <row r="300">
      <c r="A300" s="4" t="n">
        <v>204</v>
      </c>
      <c r="B300" s="5" t="inlineStr"/>
      <c r="C300" s="4" t="n">
        <v>12</v>
      </c>
      <c r="D300" s="5" t="inlineStr">
        <is>
          <t>M-ZTI</t>
        </is>
      </c>
      <c r="E300" s="5" t="inlineStr">
        <is>
          <t>M-ZTI-013</t>
        </is>
      </c>
      <c r="F300" s="6" t="inlineStr">
        <is>
          <t>Ocelové pozinkové potrubí DN32 (požární vodovod)</t>
        </is>
      </c>
      <c r="G300" s="4" t="inlineStr">
        <is>
          <t>bm</t>
        </is>
      </c>
      <c r="H300" s="4" t="n">
        <v>40</v>
      </c>
      <c r="I300" s="6" t="inlineStr">
        <is>
          <t>VV DV7.3 = 40.0 bm  [document:VV výkaz výměr]</t>
        </is>
      </c>
      <c r="J300" s="6" t="inlineStr"/>
    </row>
    <row r="301">
      <c r="A301" s="10" t="n">
        <v>205</v>
      </c>
      <c r="B301" s="11" t="inlineStr"/>
      <c r="C301" s="10" t="n">
        <v>12</v>
      </c>
      <c r="D301" s="11" t="inlineStr">
        <is>
          <t>M-ZTI</t>
        </is>
      </c>
      <c r="E301" s="11" t="inlineStr">
        <is>
          <t>M-ZTI-014</t>
        </is>
      </c>
      <c r="F301" s="12" t="inlineStr">
        <is>
          <t>Hydrant typu D19/30 dle PBŘ — do výklenku vč. uzavíracího kohoutu + tvarově stálá hadice</t>
        </is>
      </c>
      <c r="G301" s="10" t="inlineStr">
        <is>
          <t>ks</t>
        </is>
      </c>
      <c r="H301" s="10" t="n">
        <v>1</v>
      </c>
      <c r="I301" s="12" t="inlineStr">
        <is>
          <t>VV DV7.4 = 1.0 ks  [document:VV výkaz výměr]</t>
        </is>
      </c>
      <c r="J301" s="12" t="inlineStr"/>
    </row>
    <row r="302">
      <c r="A302" s="4" t="n">
        <v>206</v>
      </c>
      <c r="B302" s="5" t="inlineStr"/>
      <c r="C302" s="4" t="n">
        <v>12</v>
      </c>
      <c r="D302" s="5" t="inlineStr">
        <is>
          <t>M-ZTI</t>
        </is>
      </c>
      <c r="E302" s="5" t="inlineStr">
        <is>
          <t>M-ZTI-015</t>
        </is>
      </c>
      <c r="F302" s="6" t="inlineStr">
        <is>
          <t>Zpětná klapka DN32 EA — oddělovač požárního a spotřebního vodovodu</t>
        </is>
      </c>
      <c r="G302" s="4" t="inlineStr">
        <is>
          <t>ks</t>
        </is>
      </c>
      <c r="H302" s="4" t="n">
        <v>1</v>
      </c>
      <c r="I302" s="6" t="inlineStr">
        <is>
          <t>VV DV7.5 = 1.0 ks  [document:VV výkaz výměr]</t>
        </is>
      </c>
      <c r="J302" s="6" t="inlineStr"/>
    </row>
    <row r="303">
      <c r="A303" s="3" t="inlineStr">
        <is>
          <t>→ Přeložka vodovodního řadu (PODMÍNĚNÁ — pending ABMV_23)</t>
        </is>
      </c>
    </row>
    <row r="304">
      <c r="A304" s="7" t="n">
        <v>207</v>
      </c>
      <c r="B304" s="8" t="inlineStr"/>
      <c r="C304" s="7" t="n">
        <v>12</v>
      </c>
      <c r="D304" s="8" t="inlineStr">
        <is>
          <t>M-VK</t>
        </is>
      </c>
      <c r="E304" s="8" t="inlineStr">
        <is>
          <t>M-VK-009</t>
        </is>
      </c>
      <c r="F304" s="9" t="inlineStr">
        <is>
          <t>Přeložka stávajícího vodovodního řadu (rerouting) — kompletní práce vč. potrubí, výkop, napojení, tlakové zkoušky</t>
        </is>
      </c>
      <c r="G304" s="7" t="inlineStr">
        <is>
          <t>kpl</t>
        </is>
      </c>
      <c r="H304" s="7" t="n">
        <v>1</v>
      </c>
      <c r="I304" s="9" t="inlineStr">
        <is>
          <t>1 kpl  [document:C.3 KOO situace, document:A101 půdorys 1NP, document:A103 řez A-B]</t>
        </is>
      </c>
      <c r="J304" s="9" t="inlineStr">
        <is>
          <t>ABMV:ABMV_23</t>
        </is>
      </c>
    </row>
    <row r="305">
      <c r="A305" s="3" t="inlineStr">
        <is>
          <t>→ NN chránička HDPE — stavební příprava (silové v elektro VV)</t>
        </is>
      </c>
    </row>
    <row r="306">
      <c r="A306" s="4" t="n">
        <v>208</v>
      </c>
      <c r="B306" s="5" t="inlineStr"/>
      <c r="C306" s="4" t="n">
        <v>12</v>
      </c>
      <c r="D306" s="5" t="inlineStr">
        <is>
          <t>M-VK</t>
        </is>
      </c>
      <c r="E306" s="5" t="inlineStr">
        <is>
          <t>M-VK-008</t>
        </is>
      </c>
      <c r="F306" s="6" t="inlineStr">
        <is>
          <t>Přípojka NN — chránička HDPE Ø110 mm + pomocné výkopy + pískové lože + zásyp + výstražná páska</t>
        </is>
      </c>
      <c r="G306" s="4" t="inlineStr">
        <is>
          <t>m</t>
        </is>
      </c>
      <c r="H306" s="4" t="n">
        <v>40</v>
      </c>
      <c r="I306" s="6" t="inlineStr">
        <is>
          <t>40 m  [document:C.3 KOO situace, document:A101 půdorys 1NP, document:A103 řez A-B]</t>
        </is>
      </c>
      <c r="J306" s="6" t="inlineStr"/>
    </row>
    <row r="307">
      <c r="A307" s="3" t="inlineStr">
        <is>
          <t>→ Okapní chodník beton — 10-layer stack 0.7 m × 80 m (výkop → odvoz → pláň → geotextilie → štěrk → hutnění → bednění → výztuž → beton → dilatace, pending ABMV_31/32/34)</t>
        </is>
      </c>
    </row>
    <row r="308">
      <c r="A308" s="4" t="n">
        <v>209</v>
      </c>
      <c r="B308" s="5" t="inlineStr"/>
      <c r="C308" s="4" t="n">
        <v>12</v>
      </c>
      <c r="D308" s="5" t="inlineStr">
        <is>
          <t>M-VK</t>
        </is>
      </c>
      <c r="E308" s="5" t="inlineStr">
        <is>
          <t>M-VK-027</t>
        </is>
      </c>
      <c r="F308" s="6" t="inlineStr">
        <is>
          <t>Výkop rýhy pro okapní chodník hl. 400 mm (na hloubku všech vrstev)</t>
        </is>
      </c>
      <c r="G308" s="4" t="inlineStr">
        <is>
          <t>m³</t>
        </is>
      </c>
      <c r="H308" s="4" t="n">
        <v>22.4</v>
      </c>
      <c r="I308" s="6" t="inlineStr">
        <is>
          <t>80.0 × 0.7 × 0.4 = 22.4 m³  [document:A103 řez A-B detail, norma:ČSN 73 6126, norma:ČSN okapový chodník]</t>
        </is>
      </c>
      <c r="J308" s="6" t="inlineStr">
        <is>
          <t>ABMV:ABMV_32</t>
        </is>
      </c>
    </row>
    <row r="309">
      <c r="A309" s="10" t="n">
        <v>210</v>
      </c>
      <c r="B309" s="11" t="inlineStr"/>
      <c r="C309" s="10" t="n">
        <v>12</v>
      </c>
      <c r="D309" s="11" t="inlineStr">
        <is>
          <t>M-VK</t>
        </is>
      </c>
      <c r="E309" s="11" t="inlineStr">
        <is>
          <t>M-VK-028</t>
        </is>
      </c>
      <c r="F309" s="12" t="inlineStr">
        <is>
          <t>Odvoz vykopané zeminy z rýhy okapního chodníku na skládku</t>
        </is>
      </c>
      <c r="G309" s="10" t="inlineStr">
        <is>
          <t>m³</t>
        </is>
      </c>
      <c r="H309" s="10" t="n">
        <v>22.4</v>
      </c>
      <c r="I309" s="12">
        <f> 22.4 m³ (1:1 s výkopem)  [document:A103 řez A-B detail, norma:ČSN 73 6126, norma:ČSN okapový chodník]</f>
        <v/>
      </c>
      <c r="J309" s="12" t="inlineStr">
        <is>
          <t>ABMV:ABMV_32</t>
        </is>
      </c>
    </row>
    <row r="310">
      <c r="A310" s="4" t="n">
        <v>211</v>
      </c>
      <c r="B310" s="5" t="inlineStr"/>
      <c r="C310" s="4" t="n">
        <v>12</v>
      </c>
      <c r="D310" s="5" t="inlineStr">
        <is>
          <t>M-VK</t>
        </is>
      </c>
      <c r="E310" s="5" t="inlineStr">
        <is>
          <t>M-VK-024</t>
        </is>
      </c>
      <c r="F310" s="6" t="inlineStr">
        <is>
          <t>Úprava zemní pláně + hutnění pod okapní chodník (Edef2 ≥ 30 MPa)</t>
        </is>
      </c>
      <c r="G310" s="4" t="inlineStr">
        <is>
          <t>m²</t>
        </is>
      </c>
      <c r="H310" s="4" t="n">
        <v>56</v>
      </c>
      <c r="I310" s="6" t="inlineStr">
        <is>
          <t>80.0 × 0.7 = 56.0 m²  [document:A103 řez A-B detail, norma:ČSN 73 6126, norma:ČSN EN 13670]</t>
        </is>
      </c>
      <c r="J310" s="6" t="inlineStr">
        <is>
          <t>ABMV:ABMV_32</t>
        </is>
      </c>
    </row>
    <row r="311">
      <c r="A311" s="10" t="n">
        <v>212</v>
      </c>
      <c r="B311" s="11" t="inlineStr"/>
      <c r="C311" s="10" t="n">
        <v>12</v>
      </c>
      <c r="D311" s="11" t="inlineStr">
        <is>
          <t>M-VK</t>
        </is>
      </c>
      <c r="E311" s="11" t="inlineStr">
        <is>
          <t>M-VK-029</t>
        </is>
      </c>
      <c r="F311" s="12" t="inlineStr">
        <is>
          <t>Geotextilie 300 g/m² separační — mezi hutněnou zemní pláň a štěrkový podklad okapního chodníku</t>
        </is>
      </c>
      <c r="G311" s="10" t="inlineStr">
        <is>
          <t>m²</t>
        </is>
      </c>
      <c r="H311" s="10" t="n">
        <v>56</v>
      </c>
      <c r="I311" s="12" t="inlineStr">
        <is>
          <t>80.0 × 0.7 = 56.0 m²  [document:A103 řez A-B detail, norma:ČSN 73 6126, norma:ČSN okapový chodník]</t>
        </is>
      </c>
      <c r="J311" s="12" t="inlineStr">
        <is>
          <t>ABMV:ABMV_32</t>
        </is>
      </c>
    </row>
    <row r="312">
      <c r="A312" s="4" t="n">
        <v>213</v>
      </c>
      <c r="B312" s="5" t="inlineStr"/>
      <c r="C312" s="4" t="n">
        <v>12</v>
      </c>
      <c r="D312" s="5" t="inlineStr">
        <is>
          <t>M-VK</t>
        </is>
      </c>
      <c r="E312" s="5" t="inlineStr">
        <is>
          <t>M-VK-022</t>
        </is>
      </c>
      <c r="F312" s="6" t="inlineStr">
        <is>
          <t>Drcený štěrk ŠD 32/63 podklad okapního chodníku tl 150 mm</t>
        </is>
      </c>
      <c r="G312" s="4" t="inlineStr">
        <is>
          <t>m³</t>
        </is>
      </c>
      <c r="H312" s="4" t="n">
        <v>8.4</v>
      </c>
      <c r="I312" s="6" t="inlineStr">
        <is>
          <t>80.0 × 0.7 × 0.15 = 8.40 m³  [document:A103 řezy A-B detail, document:A101 půdorys 1NP, document:C.3 KOO situace]</t>
        </is>
      </c>
      <c r="J312" s="6" t="inlineStr">
        <is>
          <t>ABMV:ABMV_31</t>
        </is>
      </c>
    </row>
    <row r="313">
      <c r="A313" s="10" t="n">
        <v>214</v>
      </c>
      <c r="B313" s="11" t="inlineStr"/>
      <c r="C313" s="10" t="n">
        <v>12</v>
      </c>
      <c r="D313" s="11" t="inlineStr">
        <is>
          <t>M-VK</t>
        </is>
      </c>
      <c r="E313" s="11" t="inlineStr">
        <is>
          <t>M-VK-025</t>
        </is>
      </c>
      <c r="F313" s="12" t="inlineStr">
        <is>
          <t>Hutnění štěrkového podkladu okapního chodníku vibrodeskou (Edef2 ≥ 45 MPa)</t>
        </is>
      </c>
      <c r="G313" s="10" t="inlineStr">
        <is>
          <t>m²</t>
        </is>
      </c>
      <c r="H313" s="10" t="n">
        <v>56</v>
      </c>
      <c r="I313" s="12" t="inlineStr">
        <is>
          <t>80.0 × 0.7 = 56.0 m²  [document:A103 řez A-B detail, norma:ČSN 73 6126, norma:ČSN EN 13670]</t>
        </is>
      </c>
      <c r="J313" s="12" t="inlineStr">
        <is>
          <t>ABMV:ABMV_32</t>
        </is>
      </c>
    </row>
    <row r="314">
      <c r="A314" s="4" t="n">
        <v>215</v>
      </c>
      <c r="B314" s="5" t="inlineStr"/>
      <c r="C314" s="4" t="n">
        <v>12</v>
      </c>
      <c r="D314" s="5" t="inlineStr">
        <is>
          <t>M-VK</t>
        </is>
      </c>
      <c r="E314" s="5" t="inlineStr">
        <is>
          <t>M-VK-026</t>
        </is>
      </c>
      <c r="F314" s="6" t="inlineStr">
        <is>
          <t>Bednění boční vnější hrana okapního chodníku v 200 mm (vnitřní hrana = stěna haly)</t>
        </is>
      </c>
      <c r="G314" s="4" t="inlineStr">
        <is>
          <t>m²</t>
        </is>
      </c>
      <c r="H314" s="4" t="n">
        <v>16</v>
      </c>
      <c r="I314" s="6" t="inlineStr">
        <is>
          <t>80.0 × 0.2 = 16.0 m²  [document:A103 řez A-B detail, norma:ČSN 73 6126, norma:ČSN EN 13670]</t>
        </is>
      </c>
      <c r="J314" s="6" t="inlineStr">
        <is>
          <t>ABMV:ABMV_32</t>
        </is>
      </c>
    </row>
    <row r="315">
      <c r="A315" s="10" t="n">
        <v>216</v>
      </c>
      <c r="B315" s="11" t="inlineStr"/>
      <c r="C315" s="10" t="n">
        <v>12</v>
      </c>
      <c r="D315" s="11" t="inlineStr">
        <is>
          <t>M-VK</t>
        </is>
      </c>
      <c r="E315" s="11" t="inlineStr">
        <is>
          <t>M-VK-021</t>
        </is>
      </c>
      <c r="F315" s="12" t="inlineStr">
        <is>
          <t>Výztuž KARI síť Q188 (150/150/6 mm) — okapní chodník</t>
        </is>
      </c>
      <c r="G315" s="10" t="inlineStr">
        <is>
          <t>m²</t>
        </is>
      </c>
      <c r="H315" s="10" t="n">
        <v>56</v>
      </c>
      <c r="I315" s="12" t="inlineStr">
        <is>
          <t>80.0 × 0.7 = 56.00 m²  [document:A103 řezy A-B detail, document:A101 půdorys 1NP, document:C.3 KOO situace]</t>
        </is>
      </c>
      <c r="J315" s="12" t="inlineStr">
        <is>
          <t>ABMV:ABMV_31</t>
        </is>
      </c>
    </row>
    <row r="316">
      <c r="A316" s="4" t="n">
        <v>217</v>
      </c>
      <c r="B316" s="5" t="inlineStr"/>
      <c r="C316" s="4" t="n">
        <v>12</v>
      </c>
      <c r="D316" s="5" t="inlineStr">
        <is>
          <t>M-VK</t>
        </is>
      </c>
      <c r="E316" s="5" t="inlineStr">
        <is>
          <t>M-VK-020</t>
        </is>
      </c>
      <c r="F316" s="6" t="inlineStr">
        <is>
          <t>Beton C25/30 XF3 — okapní chodník po obvodu haly (sokl 0.7 m × ~80 m mimo 4 vstupy), tl 200 mm</t>
        </is>
      </c>
      <c r="G316" s="4" t="inlineStr">
        <is>
          <t>m³</t>
        </is>
      </c>
      <c r="H316" s="4" t="n">
        <v>11.2</v>
      </c>
      <c r="I316" s="6" t="inlineStr">
        <is>
          <t>80.0 × 0.7 × 0.2 = 11.20 m³  [document:A103 řezy A-B detail, document:A101 půdorys 1NP, document:C.3 KOO situace]</t>
        </is>
      </c>
      <c r="J316" s="6" t="inlineStr">
        <is>
          <t>ABMV:ABMV_31</t>
        </is>
      </c>
    </row>
    <row r="317">
      <c r="A317" s="10" t="n">
        <v>218</v>
      </c>
      <c r="B317" s="11" t="inlineStr"/>
      <c r="C317" s="10" t="n">
        <v>12</v>
      </c>
      <c r="D317" s="11" t="inlineStr">
        <is>
          <t>M-VK</t>
        </is>
      </c>
      <c r="E317" s="11" t="inlineStr">
        <is>
          <t>M-VK-023</t>
        </is>
      </c>
      <c r="F317" s="12" t="inlineStr">
        <is>
          <t>Dilatační lišty + těsnění spár mezi segmenty okapního chodníku (à ~4 m)</t>
        </is>
      </c>
      <c r="G317" s="10" t="inlineStr">
        <is>
          <t>m</t>
        </is>
      </c>
      <c r="H317" s="10" t="n">
        <v>20</v>
      </c>
      <c r="I317" s="12" t="inlineStr">
        <is>
          <t>80.0 / 4 = 20 ks dilatací  [document:A103 řezy A-B detail, document:A101 půdorys 1NP, document:C.3 KOO situace]</t>
        </is>
      </c>
      <c r="J317" s="12" t="inlineStr">
        <is>
          <t>ABMV:ABMV_31</t>
        </is>
      </c>
    </row>
    <row r="318">
      <c r="A318" s="3" t="inlineStr">
        <is>
          <t>→ Zámková dlažba chodník 1.5 m — ČSN 73 6131 stack (výkop → odvoz → pláň → geotextilie → štěrk → drť 4/8 → obrubník → lože → dlažba → spáry; TZ ARS B p09, pending ABMV_34)</t>
        </is>
      </c>
    </row>
    <row r="319">
      <c r="A319" s="4" t="n">
        <v>219</v>
      </c>
      <c r="B319" s="5" t="inlineStr"/>
      <c r="C319" s="4" t="n">
        <v>12</v>
      </c>
      <c r="D319" s="5" t="inlineStr">
        <is>
          <t>M-VK</t>
        </is>
      </c>
      <c r="E319" s="5" t="inlineStr">
        <is>
          <t>M-VK-030</t>
        </is>
      </c>
      <c r="F319" s="6" t="inlineStr">
        <is>
          <t>Výkop rýhy pro zámkovou dlažbu chodníku hl. ~300 mm</t>
        </is>
      </c>
      <c r="G319" s="4" t="inlineStr">
        <is>
          <t>m³</t>
        </is>
      </c>
      <c r="H319" s="4" t="n">
        <v>36</v>
      </c>
      <c r="I319" s="6" t="inlineStr">
        <is>
          <t>80.0 × 1.5 × 0.30 = 36.0 m³  [TZ:ARS B p09, norma:ČSN 73 6131-1, user_decision:2026-05-27]</t>
        </is>
      </c>
      <c r="J319" s="6" t="inlineStr">
        <is>
          <t>ABMV:ABMV_34</t>
        </is>
      </c>
    </row>
    <row r="320">
      <c r="A320" s="10" t="n">
        <v>220</v>
      </c>
      <c r="B320" s="11" t="inlineStr"/>
      <c r="C320" s="10" t="n">
        <v>12</v>
      </c>
      <c r="D320" s="11" t="inlineStr">
        <is>
          <t>M-VK</t>
        </is>
      </c>
      <c r="E320" s="11" t="inlineStr">
        <is>
          <t>M-VK-031</t>
        </is>
      </c>
      <c r="F320" s="12" t="inlineStr">
        <is>
          <t>Odvoz vykopané zeminy z rýhy chodníku na skládku</t>
        </is>
      </c>
      <c r="G320" s="10" t="inlineStr">
        <is>
          <t>m³</t>
        </is>
      </c>
      <c r="H320" s="10" t="n">
        <v>36</v>
      </c>
      <c r="I320" s="12">
        <f> objem výkopu M-VK-030 = 36.0 m³  [TZ:ARS B p09, norma:ČSN 73 6131-1, user_decision:2026-05-27]</f>
        <v/>
      </c>
      <c r="J320" s="12" t="inlineStr">
        <is>
          <t>ABMV:ABMV_34</t>
        </is>
      </c>
    </row>
    <row r="321">
      <c r="A321" s="4" t="n">
        <v>221</v>
      </c>
      <c r="B321" s="5" t="inlineStr"/>
      <c r="C321" s="4" t="n">
        <v>12</v>
      </c>
      <c r="D321" s="5" t="inlineStr">
        <is>
          <t>M-VK</t>
        </is>
      </c>
      <c r="E321" s="5" t="inlineStr">
        <is>
          <t>M-VK-032</t>
        </is>
      </c>
      <c r="F321" s="6" t="inlineStr">
        <is>
          <t>Úprava + hutnění zemní pláně pod dlažbu chodníku (Edef2 ≥ 30 MPa)</t>
        </is>
      </c>
      <c r="G321" s="4" t="inlineStr">
        <is>
          <t>m²</t>
        </is>
      </c>
      <c r="H321" s="4" t="n">
        <v>120</v>
      </c>
      <c r="I321" s="6" t="inlineStr">
        <is>
          <t>80.0 × 1.5 = 120.0 m²  [TZ:ARS B p09, norma:ČSN 73 6131-1, user_decision:2026-05-27]</t>
        </is>
      </c>
      <c r="J321" s="6" t="inlineStr">
        <is>
          <t>ABMV:ABMV_34</t>
        </is>
      </c>
    </row>
    <row r="322">
      <c r="A322" s="10" t="n">
        <v>222</v>
      </c>
      <c r="B322" s="11" t="inlineStr"/>
      <c r="C322" s="10" t="n">
        <v>12</v>
      </c>
      <c r="D322" s="11" t="inlineStr">
        <is>
          <t>M-VK</t>
        </is>
      </c>
      <c r="E322" s="11" t="inlineStr">
        <is>
          <t>M-VK-033</t>
        </is>
      </c>
      <c r="F322" s="12" t="inlineStr">
        <is>
          <t>Geotextilie 300 g/m² separační pod dlažbu chodníku</t>
        </is>
      </c>
      <c r="G322" s="10" t="inlineStr">
        <is>
          <t>m²</t>
        </is>
      </c>
      <c r="H322" s="10" t="n">
        <v>120</v>
      </c>
      <c r="I322" s="12" t="inlineStr">
        <is>
          <t>80.0 × 1.5 = 120.0 m²  [TZ:ARS B p09, norma:ČSN 73 6131-1, user_decision:2026-05-27]</t>
        </is>
      </c>
      <c r="J322" s="12" t="inlineStr">
        <is>
          <t>ABMV:ABMV_34</t>
        </is>
      </c>
    </row>
    <row r="323">
      <c r="A323" s="4" t="n">
        <v>223</v>
      </c>
      <c r="B323" s="5" t="inlineStr"/>
      <c r="C323" s="4" t="n">
        <v>12</v>
      </c>
      <c r="D323" s="5" t="inlineStr">
        <is>
          <t>M-VK</t>
        </is>
      </c>
      <c r="E323" s="5" t="inlineStr">
        <is>
          <t>M-VK-034</t>
        </is>
      </c>
      <c r="F323" s="6" t="inlineStr">
        <is>
          <t>Štěrk ŠD 32/63 nosná podkladní vrstva tl 150 mm + hutnění (chodník dlažba)</t>
        </is>
      </c>
      <c r="G323" s="4" t="inlineStr">
        <is>
          <t>m³</t>
        </is>
      </c>
      <c r="H323" s="4" t="n">
        <v>18</v>
      </c>
      <c r="I323" s="6" t="inlineStr">
        <is>
          <t>120.0 × 0.15 = 18.0 m³  [TZ:ARS B p09, norma:ČSN 73 6131-1, user_decision:2026-05-27]</t>
        </is>
      </c>
      <c r="J323" s="6" t="inlineStr">
        <is>
          <t>ABMV:ABMV_34</t>
        </is>
      </c>
    </row>
    <row r="324">
      <c r="A324" s="10" t="n">
        <v>224</v>
      </c>
      <c r="B324" s="11" t="inlineStr"/>
      <c r="C324" s="10" t="n">
        <v>12</v>
      </c>
      <c r="D324" s="11" t="inlineStr">
        <is>
          <t>M-VK</t>
        </is>
      </c>
      <c r="E324" s="11" t="inlineStr">
        <is>
          <t>M-VK-035</t>
        </is>
      </c>
      <c r="F324" s="12" t="inlineStr">
        <is>
          <t>Jemný štěrk / drť frakce 4/8 mm — ložná vrstva dlažby tl 40 mm</t>
        </is>
      </c>
      <c r="G324" s="10" t="inlineStr">
        <is>
          <t>m³</t>
        </is>
      </c>
      <c r="H324" s="10" t="n">
        <v>4.8</v>
      </c>
      <c r="I324" s="12" t="inlineStr">
        <is>
          <t>120.0 × 0.04 = 4.8 m³  [TZ:ARS B p09, norma:ČSN 73 6131-1, user_decision:2026-05-27]</t>
        </is>
      </c>
      <c r="J324" s="12" t="inlineStr">
        <is>
          <t>ABMV:ABMV_34</t>
        </is>
      </c>
    </row>
    <row r="325">
      <c r="A325" s="4" t="n">
        <v>225</v>
      </c>
      <c r="B325" s="5" t="inlineStr"/>
      <c r="C325" s="4" t="n">
        <v>12</v>
      </c>
      <c r="D325" s="5" t="inlineStr">
        <is>
          <t>M-VK</t>
        </is>
      </c>
      <c r="E325" s="5" t="inlineStr">
        <is>
          <t>M-VK-036</t>
        </is>
      </c>
      <c r="F325" s="6" t="inlineStr">
        <is>
          <t>Obrubníky betonové ABO 100×250 do betonového lože C16/20 (lemování chodníku)</t>
        </is>
      </c>
      <c r="G325" s="4" t="inlineStr">
        <is>
          <t>bm</t>
        </is>
      </c>
      <c r="H325" s="4" t="n">
        <v>80</v>
      </c>
      <c r="I325" s="6" t="inlineStr">
        <is>
          <t>~80.0 bm (vnější hrana chodníku)  [TZ:ARS B p09, norma:ČSN 73 6131-1, user_decision:2026-05-27]</t>
        </is>
      </c>
      <c r="J325" s="6" t="inlineStr">
        <is>
          <t>ABMV:ABMV_34</t>
        </is>
      </c>
    </row>
    <row r="326">
      <c r="A326" s="10" t="n">
        <v>226</v>
      </c>
      <c r="B326" s="11" t="inlineStr"/>
      <c r="C326" s="10" t="n">
        <v>12</v>
      </c>
      <c r="D326" s="11" t="inlineStr">
        <is>
          <t>M-VK</t>
        </is>
      </c>
      <c r="E326" s="11" t="inlineStr">
        <is>
          <t>M-VK-037</t>
        </is>
      </c>
      <c r="F326" s="12" t="inlineStr">
        <is>
          <t>Beton lože C16/20 pod obrubníky chodníku + boční opěra</t>
        </is>
      </c>
      <c r="G326" s="10" t="inlineStr">
        <is>
          <t>m³</t>
        </is>
      </c>
      <c r="H326" s="10" t="n">
        <v>2.4</v>
      </c>
      <c r="I326" s="12" t="inlineStr">
        <is>
          <t>80 bm × ~0.03 m³/bm (lože + opěra) = ~2.4 m³  [TZ:ARS B p09, norma:ČSN 73 6131-1, user_decision:2026-05-27]</t>
        </is>
      </c>
      <c r="J326" s="12" t="inlineStr">
        <is>
          <t>ABMV:ABMV_34</t>
        </is>
      </c>
    </row>
    <row r="327">
      <c r="A327" s="4" t="n">
        <v>227</v>
      </c>
      <c r="B327" s="5" t="inlineStr"/>
      <c r="C327" s="4" t="n">
        <v>12</v>
      </c>
      <c r="D327" s="5" t="inlineStr">
        <is>
          <t>M-VK</t>
        </is>
      </c>
      <c r="E327" s="5" t="inlineStr">
        <is>
          <t>M-VK-038</t>
        </is>
      </c>
      <c r="F327" s="6" t="inlineStr">
        <is>
          <t>Zámková dlažba BEST tl 80 mm — kladení, sklon 2 % od fasády</t>
        </is>
      </c>
      <c r="G327" s="4" t="inlineStr">
        <is>
          <t>m²</t>
        </is>
      </c>
      <c r="H327" s="4" t="n">
        <v>120</v>
      </c>
      <c r="I327" s="6" t="inlineStr">
        <is>
          <t>80.0 × 1.5 = 120.0 m²  [TZ:ARS B p09, norma:ČSN 73 6131-1, user_decision:2026-05-27]</t>
        </is>
      </c>
      <c r="J327" s="6" t="inlineStr">
        <is>
          <t>ABMV:ABMV_34</t>
        </is>
      </c>
    </row>
    <row r="328">
      <c r="A328" s="10" t="n">
        <v>228</v>
      </c>
      <c r="B328" s="11" t="inlineStr"/>
      <c r="C328" s="10" t="n">
        <v>12</v>
      </c>
      <c r="D328" s="11" t="inlineStr">
        <is>
          <t>M-VK</t>
        </is>
      </c>
      <c r="E328" s="11" t="inlineStr">
        <is>
          <t>M-VK-039</t>
        </is>
      </c>
      <c r="F328" s="12" t="inlineStr">
        <is>
          <t>Zásyp spár křemičitým pískem frakce 0,2 mm + hutnění vibrodeskou</t>
        </is>
      </c>
      <c r="G328" s="10" t="inlineStr">
        <is>
          <t>m²</t>
        </is>
      </c>
      <c r="H328" s="10" t="n">
        <v>120</v>
      </c>
      <c r="I328" s="12" t="inlineStr">
        <is>
          <t>80.0 × 1.5 = 120.0 m²  [TZ:ARS B p09, norma:ČSN 73 6131-1, user_decision:2026-05-27]</t>
        </is>
      </c>
      <c r="J328" s="12" t="inlineStr">
        <is>
          <t>ABMV:ABMV_34</t>
        </is>
      </c>
    </row>
    <row r="329">
      <c r="A329" s="3" t="inlineStr">
        <is>
          <t>→ Drcený štěrk podklad ramp</t>
        </is>
      </c>
    </row>
    <row r="330">
      <c r="A330" s="4" t="n">
        <v>229</v>
      </c>
      <c r="B330" s="5" t="inlineStr"/>
      <c r="C330" s="4" t="n">
        <v>12</v>
      </c>
      <c r="D330" s="5" t="inlineStr">
        <is>
          <t>M-VK</t>
        </is>
      </c>
      <c r="E330" s="5" t="inlineStr">
        <is>
          <t>M-VK-003</t>
        </is>
      </c>
      <c r="F330" s="6" t="inlineStr">
        <is>
          <t>Drcený štěrk ŠD 32/63 podklad rampy + okapní pas tl 200 mm</t>
        </is>
      </c>
      <c r="G330" s="4" t="inlineStr">
        <is>
          <t>m³</t>
        </is>
      </c>
      <c r="H330" s="4" t="n">
        <v>8.66</v>
      </c>
      <c r="I330" s="6" t="inlineStr">
        <is>
          <t>43.32 × 0.20 = 8.66 m³  [document:C.3 KOO situace, document:A101 půdorys 1NP, document:A103 řez A-B]</t>
        </is>
      </c>
      <c r="J330" s="6" t="inlineStr"/>
    </row>
    <row r="331">
      <c r="A331" s="3" t="inlineStr">
        <is>
          <t>→ Rampy 4× (R1-R4) — výztuž + bednění + beton + obrubník (per A101)</t>
        </is>
      </c>
    </row>
    <row r="332">
      <c r="A332" s="4" t="n">
        <v>230</v>
      </c>
      <c r="B332" s="5" t="inlineStr"/>
      <c r="C332" s="4" t="n">
        <v>12</v>
      </c>
      <c r="D332" s="5" t="inlineStr">
        <is>
          <t>M-VK</t>
        </is>
      </c>
      <c r="E332" s="5" t="inlineStr">
        <is>
          <t>M-VK-002</t>
        </is>
      </c>
      <c r="F332" s="6" t="inlineStr">
        <is>
          <t>Výztuž KARI síť Q188 + bednění boční rampy 4 lokality</t>
        </is>
      </c>
      <c r="G332" s="4" t="inlineStr">
        <is>
          <t>m²</t>
        </is>
      </c>
      <c r="H332" s="4" t="n">
        <v>43.32</v>
      </c>
      <c r="I332" s="6" t="inlineStr">
        <is>
          <t>4 lokality rampy = 43.32 m²  [document:C.3 KOO situace, document:A101 půdorys 1NP, document:A103 řez A-B]</t>
        </is>
      </c>
      <c r="J332" s="6" t="inlineStr"/>
    </row>
    <row r="333">
      <c r="A333" s="10" t="n">
        <v>231</v>
      </c>
      <c r="B333" s="11" t="inlineStr"/>
      <c r="C333" s="10" t="n">
        <v>12</v>
      </c>
      <c r="D333" s="11" t="inlineStr">
        <is>
          <t>M-VK</t>
        </is>
      </c>
      <c r="E333" s="11" t="inlineStr">
        <is>
          <t>M-VK-001</t>
        </is>
      </c>
      <c r="F333" s="12" t="inlineStr">
        <is>
          <t>Beton C25/30 XF3 — vstupní/nájezdové rampy tl 150 mm, 4 lokality (R1 sever, R2+R3 jih, R4 západ bezbariérová)</t>
        </is>
      </c>
      <c r="G333" s="10" t="inlineStr">
        <is>
          <t>m³</t>
        </is>
      </c>
      <c r="H333" s="10" t="n">
        <v>6.5</v>
      </c>
      <c r="I333" s="12" t="inlineStr">
        <is>
          <t>(9.2+11.5+9.2+13.42) × 0.15 = 6.50 m³  [document:C.3 KOO situace, document:A101 půdorys 1NP, document:A103 řez A-B]</t>
        </is>
      </c>
      <c r="J333" s="12" t="inlineStr"/>
    </row>
    <row r="334">
      <c r="A334" s="4" t="n">
        <v>232</v>
      </c>
      <c r="B334" s="5" t="inlineStr"/>
      <c r="C334" s="4" t="n">
        <v>12</v>
      </c>
      <c r="D334" s="5" t="inlineStr">
        <is>
          <t>M-VK</t>
        </is>
      </c>
      <c r="E334" s="5" t="inlineStr">
        <is>
          <t>M-VK-004</t>
        </is>
      </c>
      <c r="F334" s="6" t="inlineStr">
        <is>
          <t>Obrubník betonový ABO 100×250×1000 kolem ramp + lůžko z betonu C16/20</t>
        </is>
      </c>
      <c r="G334" s="4" t="inlineStr">
        <is>
          <t>m</t>
        </is>
      </c>
      <c r="H334" s="4" t="n">
        <v>30</v>
      </c>
      <c r="I334" s="6" t="inlineStr">
        <is>
          <t>~30.0 m  [document:C.3 KOO situace, document:A101 půdorys 1NP, document:A103 řez A-B]</t>
        </is>
      </c>
      <c r="J334" s="6" t="inlineStr"/>
    </row>
    <row r="335">
      <c r="A335" s="3" t="inlineStr">
        <is>
          <t>→ Liniový žlab SZ + JZ fasáda 46.5 m — complete (výkop → žlab polymerbeton + osazení → lože + obetonování → rošt D400 + osazení mříže → vpusti DN150 + čela; real ÚRS codes, pending ABMV_35/36)</t>
        </is>
      </c>
    </row>
    <row r="336">
      <c r="A336" s="4" t="n">
        <v>233</v>
      </c>
      <c r="B336" s="5" t="inlineStr"/>
      <c r="C336" s="4" t="n">
        <v>12</v>
      </c>
      <c r="D336" s="5" t="inlineStr">
        <is>
          <t>M-VK</t>
        </is>
      </c>
      <c r="E336" s="5" t="inlineStr">
        <is>
          <t>M-VK-040</t>
        </is>
      </c>
      <c r="F336" s="6" t="inlineStr">
        <is>
          <t>Výkop rýhy pro liniový žlab š 300 mm, hl 350 mm (SZ + JZ fasáda)</t>
        </is>
      </c>
      <c r="G336" s="4" t="inlineStr">
        <is>
          <t>m³</t>
        </is>
      </c>
      <c r="H336" s="4" t="n">
        <v>4.9</v>
      </c>
      <c r="I336" s="6" t="inlineStr">
        <is>
          <t>46.5 × 0.30 × 0.35 = 4.9 m³  [TZ:ARS D.1.1, user_measurement:2026-05-27, customer_reminder:SOLAR DISPOREC 2026-05-27]</t>
        </is>
      </c>
      <c r="J336" s="6" t="inlineStr">
        <is>
          <t>ABMV:ABMV_35</t>
        </is>
      </c>
    </row>
    <row r="337">
      <c r="A337" s="10" t="n">
        <v>234</v>
      </c>
      <c r="B337" s="11" t="inlineStr"/>
      <c r="C337" s="10" t="n">
        <v>12</v>
      </c>
      <c r="D337" s="11" t="inlineStr">
        <is>
          <t>M-VK</t>
        </is>
      </c>
      <c r="E337" s="11" t="inlineStr">
        <is>
          <t>M-VK-041</t>
        </is>
      </c>
      <c r="F337" s="12" t="inlineStr">
        <is>
          <t>Odvoz vykopané zeminy z rýhy žlabu na skládku</t>
        </is>
      </c>
      <c r="G337" s="10" t="inlineStr">
        <is>
          <t>m³</t>
        </is>
      </c>
      <c r="H337" s="10" t="n">
        <v>4.9</v>
      </c>
      <c r="I337" s="12">
        <f> 4.9 m³  [TZ:ARS D.1.1, user_measurement:2026-05-27, customer_reminder:SOLAR DISPOREC 2026-05-27]</f>
        <v/>
      </c>
      <c r="J337" s="12" t="inlineStr">
        <is>
          <t>ABMV:ABMV_35</t>
        </is>
      </c>
    </row>
    <row r="338">
      <c r="A338" s="4" t="n">
        <v>235</v>
      </c>
      <c r="B338" s="5" t="inlineStr"/>
      <c r="C338" s="4" t="n">
        <v>12</v>
      </c>
      <c r="D338" s="5" t="inlineStr">
        <is>
          <t>M-VK</t>
        </is>
      </c>
      <c r="E338" s="5" t="inlineStr">
        <is>
          <t>M-VK-042</t>
        </is>
      </c>
      <c r="F338" s="6" t="inlineStr">
        <is>
          <t>Žlab odvodňovací polymerbeton spádový š 130 mm (materiál, kaskáda spádu 0,5 %)</t>
        </is>
      </c>
      <c r="G338" s="4" t="inlineStr">
        <is>
          <t>m</t>
        </is>
      </c>
      <c r="H338" s="4" t="n">
        <v>46.5</v>
      </c>
      <c r="I338" s="6" t="inlineStr">
        <is>
          <t>46.5 m  [TZ:ARS D.1.1, user_measurement:2026-05-27, customer_reminder:SOLAR DISPOREC 2026-05-27]</t>
        </is>
      </c>
      <c r="J338" s="6" t="inlineStr">
        <is>
          <t>ABMV:ABMV_35</t>
        </is>
      </c>
    </row>
    <row r="339">
      <c r="A339" s="10" t="n">
        <v>236</v>
      </c>
      <c r="B339" s="11" t="inlineStr"/>
      <c r="C339" s="10" t="n">
        <v>12</v>
      </c>
      <c r="D339" s="11" t="inlineStr">
        <is>
          <t>M-VK</t>
        </is>
      </c>
      <c r="E339" s="11" t="inlineStr">
        <is>
          <t>M-VK-043</t>
        </is>
      </c>
      <c r="F339" s="12" t="inlineStr">
        <is>
          <t>Osazení odvodňovacího polymerbetonového žlabu s krycím roštem š do 210 mm</t>
        </is>
      </c>
      <c r="G339" s="10" t="inlineStr">
        <is>
          <t>m</t>
        </is>
      </c>
      <c r="H339" s="10" t="n">
        <v>46.5</v>
      </c>
      <c r="I339" s="12" t="inlineStr">
        <is>
          <t>46.5 m  [TZ:ARS D.1.1, user_measurement:2026-05-27, customer_reminder:SOLAR DISPOREC 2026-05-27]</t>
        </is>
      </c>
      <c r="J339" s="12" t="inlineStr">
        <is>
          <t>ABMV:ABMV_35,ABMV_36</t>
        </is>
      </c>
    </row>
    <row r="340">
      <c r="A340" s="4" t="n">
        <v>237</v>
      </c>
      <c r="B340" s="5" t="inlineStr"/>
      <c r="C340" s="4" t="n">
        <v>12</v>
      </c>
      <c r="D340" s="5" t="inlineStr">
        <is>
          <t>M-VK</t>
        </is>
      </c>
      <c r="E340" s="5" t="inlineStr">
        <is>
          <t>M-VK-046</t>
        </is>
      </c>
      <c r="F340" s="6" t="inlineStr">
        <is>
          <t>Betonové lože C25/30 pod žlab min 150 mm ("podklad" per customer)</t>
        </is>
      </c>
      <c r="G340" s="4" t="inlineStr">
        <is>
          <t>m³</t>
        </is>
      </c>
      <c r="H340" s="4" t="n">
        <v>2.1</v>
      </c>
      <c r="I340" s="6" t="inlineStr">
        <is>
          <t>46.5 × 0.30 × 0.15 = 2.1 m³  [TZ:ARS D.1.1, user_measurement:2026-05-27, customer_reminder:SOLAR DISPOREC 2026-05-27]</t>
        </is>
      </c>
      <c r="J340" s="6" t="inlineStr">
        <is>
          <t>ABMV:ABMV_35</t>
        </is>
      </c>
    </row>
    <row r="341">
      <c r="A341" s="10" t="n">
        <v>238</v>
      </c>
      <c r="B341" s="11" t="inlineStr"/>
      <c r="C341" s="10" t="n">
        <v>12</v>
      </c>
      <c r="D341" s="11" t="inlineStr">
        <is>
          <t>M-VK</t>
        </is>
      </c>
      <c r="E341" s="11" t="inlineStr">
        <is>
          <t>M-VK-047</t>
        </is>
      </c>
      <c r="F341" s="12" t="inlineStr">
        <is>
          <t>Obetonování žlabu C25/30 po vrchní hranu ("zapravení" boky per customer)</t>
        </is>
      </c>
      <c r="G341" s="10" t="inlineStr">
        <is>
          <t>m³</t>
        </is>
      </c>
      <c r="H341" s="10" t="n">
        <v>1.7</v>
      </c>
      <c r="I341" s="12" t="inlineStr">
        <is>
          <t>2 × (0.085 × 0.20) × 46.5 ≈ 1.7 m³  [TZ:ARS D.1.1, user_measurement:2026-05-27, customer_reminder:SOLAR DISPOREC 2026-05-27]</t>
        </is>
      </c>
      <c r="J341" s="12" t="inlineStr">
        <is>
          <t>ABMV:ABMV_35</t>
        </is>
      </c>
    </row>
    <row r="342">
      <c r="A342" s="4" t="n">
        <v>239</v>
      </c>
      <c r="B342" s="5" t="inlineStr"/>
      <c r="C342" s="4" t="n">
        <v>12</v>
      </c>
      <c r="D342" s="5" t="inlineStr">
        <is>
          <t>M-VK</t>
        </is>
      </c>
      <c r="E342" s="5" t="inlineStr">
        <is>
          <t>M-VK-044</t>
        </is>
      </c>
      <c r="F342" s="6" t="inlineStr">
        <is>
          <t>Rošt / mříž litinová D400 600/40T (materiál, pojízdný — nákladní doprava)</t>
        </is>
      </c>
      <c r="G342" s="4" t="inlineStr">
        <is>
          <t>kus</t>
        </is>
      </c>
      <c r="H342" s="4" t="n">
        <v>47</v>
      </c>
      <c r="I342" s="6" t="inlineStr">
        <is>
          <t>46.5 / 1.0 ≈ 47 ks  [TZ:ARS D.1.1, user_measurement:2026-05-27, customer_reminder:SOLAR DISPOREC 2026-05-27]</t>
        </is>
      </c>
      <c r="J342" s="6" t="inlineStr">
        <is>
          <t>ABMV:ABMV_35</t>
        </is>
      </c>
    </row>
    <row r="343">
      <c r="A343" s="10" t="n">
        <v>240</v>
      </c>
      <c r="B343" s="11" t="inlineStr"/>
      <c r="C343" s="10" t="n">
        <v>12</v>
      </c>
      <c r="D343" s="11" t="inlineStr">
        <is>
          <t>M-VK</t>
        </is>
      </c>
      <c r="E343" s="11" t="inlineStr">
        <is>
          <t>M-VK-045</t>
        </is>
      </c>
      <c r="F343" s="12" t="inlineStr">
        <is>
          <t>Osazování kovových mříží litinových D400 v rámu (montáž roštu)</t>
        </is>
      </c>
      <c r="G343" s="10" t="inlineStr">
        <is>
          <t>kus</t>
        </is>
      </c>
      <c r="H343" s="10" t="n">
        <v>47</v>
      </c>
      <c r="I343" s="12" t="inlineStr">
        <is>
          <t>47 ks  [TZ:ARS D.1.1, user_measurement:2026-05-27, customer_reminder:SOLAR DISPOREC 2026-05-27]</t>
        </is>
      </c>
      <c r="J343" s="12" t="inlineStr">
        <is>
          <t>ABMV:ABMV_35,ABMV_36</t>
        </is>
      </c>
    </row>
    <row r="344">
      <c r="A344" s="4" t="n">
        <v>241</v>
      </c>
      <c r="B344" s="5" t="inlineStr"/>
      <c r="C344" s="4" t="n">
        <v>12</v>
      </c>
      <c r="D344" s="5" t="inlineStr">
        <is>
          <t>M-VK</t>
        </is>
      </c>
      <c r="E344" s="5" t="inlineStr">
        <is>
          <t>M-VK-048</t>
        </is>
      </c>
      <c r="F344" s="6" t="inlineStr">
        <is>
          <t>Vpust ACO Drain dolní díl, odtok DN150 — napojení na dešťovou kanalizaci (SZ + JZ větev)</t>
        </is>
      </c>
      <c r="G344" s="4" t="inlineStr">
        <is>
          <t>kus</t>
        </is>
      </c>
      <c r="H344" s="4" t="n">
        <v>2</v>
      </c>
      <c r="I344" s="6" t="inlineStr">
        <is>
          <t>1 + 1 = 2 ks  [TZ:ARS D.1.1, user_measurement:2026-05-27, customer_reminder:SOLAR DISPOREC 2026-05-27]</t>
        </is>
      </c>
      <c r="J344" s="6" t="inlineStr">
        <is>
          <t>ABMV:ABMV_35</t>
        </is>
      </c>
    </row>
    <row r="345">
      <c r="A345" s="10" t="n">
        <v>242</v>
      </c>
      <c r="B345" s="11" t="inlineStr"/>
      <c r="C345" s="10" t="n">
        <v>12</v>
      </c>
      <c r="D345" s="11" t="inlineStr">
        <is>
          <t>M-VK</t>
        </is>
      </c>
      <c r="E345" s="11" t="inlineStr">
        <is>
          <t>M-VK-049</t>
        </is>
      </c>
      <c r="F345" s="12" t="inlineStr">
        <is>
          <t>Čela žlabu kombi (začátek/konec) — 2 čela × 2 větve</t>
        </is>
      </c>
      <c r="G345" s="10" t="inlineStr">
        <is>
          <t>kus</t>
        </is>
      </c>
      <c r="H345" s="10" t="n">
        <v>4</v>
      </c>
      <c r="I345" s="12" t="inlineStr">
        <is>
          <t>2 × 2 = 4 ks  [TZ:ARS D.1.1, user_measurement:2026-05-27, customer_reminder:SOLAR DISPOREC 2026-05-27]</t>
        </is>
      </c>
      <c r="J345" s="12" t="inlineStr">
        <is>
          <t>ABMV:ABMV_35</t>
        </is>
      </c>
    </row>
    <row r="346">
      <c r="A346" s="3" t="inlineStr">
        <is>
          <t>→ Vyspádování okolního terénu k odvodnění</t>
        </is>
      </c>
    </row>
    <row r="347">
      <c r="A347" s="4" t="n">
        <v>243</v>
      </c>
      <c r="B347" s="5" t="inlineStr"/>
      <c r="C347" s="4" t="n">
        <v>12</v>
      </c>
      <c r="D347" s="5" t="inlineStr">
        <is>
          <t>M-VK</t>
        </is>
      </c>
      <c r="E347" s="5" t="inlineStr">
        <is>
          <t>M-VK-019</t>
        </is>
      </c>
      <c r="F347" s="6" t="inlineStr">
        <is>
          <t>Vyspádování okolního terénu k odvodňovacím prvkům (žlabům, retenční nádrži) — hutněná zemina, finální úprava</t>
        </is>
      </c>
      <c r="G347" s="4" t="inlineStr">
        <is>
          <t>m²</t>
        </is>
      </c>
      <c r="H347" s="4" t="n">
        <v>300</v>
      </c>
      <c r="I347" s="6" t="inlineStr">
        <is>
          <t>300 m²  [document:C.3 KOO situace, document:A101 půdorys 1NP, document:A103 řez A-B]</t>
        </is>
      </c>
      <c r="J347" s="6" t="inlineStr"/>
    </row>
    <row r="348">
      <c r="A348" s="3" t="inlineStr">
        <is>
          <t>→ Ohumusování + osetí travou zbytkových ploch</t>
        </is>
      </c>
    </row>
    <row r="349">
      <c r="A349" s="4" t="n">
        <v>244</v>
      </c>
      <c r="B349" s="5" t="inlineStr"/>
      <c r="C349" s="4" t="n">
        <v>12</v>
      </c>
      <c r="D349" s="5" t="inlineStr">
        <is>
          <t>M-VK</t>
        </is>
      </c>
      <c r="E349" s="5" t="inlineStr">
        <is>
          <t>M-VK-018</t>
        </is>
      </c>
      <c r="F349" s="6" t="inlineStr">
        <is>
          <t>Ohumusování tl 100 mm + osetí trávou parkové směsi — rekultivace zbytkových ploch okolo haly</t>
        </is>
      </c>
      <c r="G349" s="4" t="inlineStr">
        <is>
          <t>m²</t>
        </is>
      </c>
      <c r="H349" s="4" t="n">
        <v>500</v>
      </c>
      <c r="I349" s="6" t="inlineStr">
        <is>
          <t>500 m²  [document:C.3 KOO situace, document:A101 půdorys 1NP, document:A103 řez A-B]</t>
        </is>
      </c>
      <c r="J349" s="6" t="inlineStr"/>
    </row>
  </sheetData>
  <mergeCells count="104">
    <mergeCell ref="A307:J307"/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70:J270"/>
    <mergeCell ref="A222:J222"/>
    <mergeCell ref="A49:J49"/>
    <mergeCell ref="A138:J138"/>
    <mergeCell ref="A132:J132"/>
    <mergeCell ref="A36:J36"/>
    <mergeCell ref="A6:J6"/>
    <mergeCell ref="A119:J119"/>
    <mergeCell ref="A3:J3"/>
    <mergeCell ref="A95:J95"/>
    <mergeCell ref="A331:J331"/>
    <mergeCell ref="A303:J303"/>
    <mergeCell ref="A14:J14"/>
    <mergeCell ref="A159:J159"/>
    <mergeCell ref="A29:J29"/>
    <mergeCell ref="A96:J96"/>
    <mergeCell ref="A147:J147"/>
    <mergeCell ref="A121:J121"/>
    <mergeCell ref="A202:J202"/>
    <mergeCell ref="A58:J58"/>
    <mergeCell ref="A329:J329"/>
    <mergeCell ref="A186:J186"/>
    <mergeCell ref="A24:J24"/>
    <mergeCell ref="A201:J201"/>
    <mergeCell ref="A197:J197"/>
    <mergeCell ref="A110:J110"/>
    <mergeCell ref="A228:J228"/>
    <mergeCell ref="A124:J124"/>
    <mergeCell ref="A237:J237"/>
    <mergeCell ref="A305:J305"/>
    <mergeCell ref="A16:J16"/>
    <mergeCell ref="A243:J243"/>
    <mergeCell ref="A223:J223"/>
    <mergeCell ref="A204:J204"/>
    <mergeCell ref="A2:J2"/>
    <mergeCell ref="A42:J42"/>
    <mergeCell ref="A213:J213"/>
    <mergeCell ref="A151:J151"/>
    <mergeCell ref="A22:J22"/>
    <mergeCell ref="A135:J135"/>
    <mergeCell ref="A206:J206"/>
    <mergeCell ref="A144:J144"/>
    <mergeCell ref="A122:J122"/>
    <mergeCell ref="A190:J190"/>
    <mergeCell ref="A72:J72"/>
    <mergeCell ref="A318:J318"/>
    <mergeCell ref="A112:J112"/>
    <mergeCell ref="A348:J348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346:J346"/>
    <mergeCell ref="A227:J227"/>
    <mergeCell ref="A164:J164"/>
    <mergeCell ref="A335:J335"/>
    <mergeCell ref="A145:J145"/>
    <mergeCell ref="A242:J242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259:J259"/>
    <mergeCell ref="A140:J140"/>
    <mergeCell ref="A240:J240"/>
    <mergeCell ref="A10:J10"/>
    <mergeCell ref="A19:J19"/>
    <mergeCell ref="A68:J68"/>
    <mergeCell ref="A102:J102"/>
    <mergeCell ref="A39:J39"/>
    <mergeCell ref="A232:J232"/>
    <mergeCell ref="A142:J142"/>
    <mergeCell ref="A216:J216"/>
    <mergeCell ref="A287:J287"/>
    <mergeCell ref="A65:J65"/>
    <mergeCell ref="A218:J218"/>
    <mergeCell ref="A193:J193"/>
    <mergeCell ref="A80:J80"/>
    <mergeCell ref="A46:J46"/>
    <mergeCell ref="A89:J89"/>
    <mergeCell ref="A57:J57"/>
    <mergeCell ref="A235:J235"/>
    <mergeCell ref="A210:J210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2026-05-28T08:31:29Z</dcterms:created>
  <dcterms:modified xsi:type="dcterms:W3CDTF">2026-05-28T08:31:30Z</dcterms:modified>
</cp:coreProperties>
</file>
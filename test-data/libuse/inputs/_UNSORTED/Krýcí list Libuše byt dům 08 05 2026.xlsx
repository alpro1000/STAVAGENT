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KuzmenkoVik\Documents\Matika\DUM PRAHA\"/>
    </mc:Choice>
  </mc:AlternateContent>
  <xr:revisionPtr revIDLastSave="0" documentId="13_ncr:1_{343B15EE-D73C-4658-859A-FFD2D4E9F7F1}" xr6:coauthVersionLast="47" xr6:coauthVersionMax="47" xr10:uidLastSave="{00000000-0000-0000-0000-000000000000}"/>
  <bookViews>
    <workbookView xWindow="-108" yWindow="-108" windowWidth="23256" windowHeight="13896" firstSheet="1" activeTab="1" xr2:uid="{CF6DDD4E-4F6F-4EFE-AF6E-CC3B9B391240}"/>
  </bookViews>
  <sheets>
    <sheet name="Krycí list " sheetId="1" r:id="rId1"/>
    <sheet name="Silnoproud" sheetId="2" r:id="rId2"/>
    <sheet name="Slaboproud" sheetId="5" r:id="rId3"/>
    <sheet name="ZTI" sheetId="8" r:id="rId4"/>
    <sheet name="Vytapění" sheetId="9" r:id="rId5"/>
    <sheet name=" chlazení" sheetId="10" r:id="rId6"/>
    <sheet name="VZT" sheetId="14" r:id="rId7"/>
    <sheet name="UZEM HROM" sheetId="13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8" i="14" l="1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3" i="14"/>
  <c r="I24" i="14"/>
  <c r="I25" i="14"/>
  <c r="I26" i="14"/>
  <c r="I27" i="14"/>
  <c r="I28" i="14"/>
  <c r="I29" i="14"/>
  <c r="I31" i="14"/>
  <c r="I33" i="14"/>
  <c r="I34" i="14"/>
  <c r="I35" i="14"/>
  <c r="I36" i="14"/>
  <c r="I37" i="14"/>
  <c r="I38" i="14"/>
  <c r="I39" i="14"/>
  <c r="I40" i="14"/>
  <c r="I41" i="14"/>
  <c r="I42" i="14"/>
  <c r="I43" i="14"/>
  <c r="I45" i="14"/>
  <c r="I47" i="14"/>
  <c r="I48" i="14"/>
  <c r="I49" i="14"/>
  <c r="I50" i="14"/>
  <c r="I51" i="14"/>
  <c r="I52" i="14"/>
  <c r="I53" i="14"/>
  <c r="I54" i="14"/>
  <c r="I55" i="14"/>
  <c r="I56" i="14"/>
  <c r="I58" i="14"/>
  <c r="I59" i="14"/>
  <c r="I60" i="14"/>
  <c r="I63" i="14"/>
  <c r="I64" i="14"/>
  <c r="I65" i="14"/>
  <c r="I3" i="14"/>
  <c r="H52" i="10"/>
  <c r="H53" i="10"/>
  <c r="V10" i="5" l="1"/>
  <c r="V12" i="5"/>
  <c r="V14" i="5"/>
  <c r="V15" i="5"/>
  <c r="V16" i="5"/>
  <c r="V22" i="5"/>
  <c r="V23" i="5"/>
  <c r="V24" i="5"/>
  <c r="V25" i="5"/>
  <c r="V28" i="5"/>
  <c r="V29" i="5"/>
  <c r="V31" i="5"/>
  <c r="V32" i="5"/>
  <c r="V33" i="5"/>
  <c r="V34" i="5"/>
  <c r="V35" i="5"/>
  <c r="V36" i="5"/>
  <c r="V37" i="5"/>
  <c r="V38" i="5"/>
  <c r="V39" i="5"/>
  <c r="V40" i="5"/>
  <c r="V41" i="5"/>
  <c r="V47" i="5"/>
  <c r="V48" i="5"/>
  <c r="V49" i="5"/>
  <c r="V50" i="5"/>
  <c r="V52" i="5"/>
  <c r="V53" i="5"/>
  <c r="V55" i="5"/>
  <c r="V56" i="5"/>
  <c r="V58" i="5"/>
  <c r="V59" i="5"/>
  <c r="V60" i="5"/>
  <c r="V61" i="5"/>
  <c r="V62" i="5"/>
  <c r="V63" i="5"/>
  <c r="V64" i="5"/>
  <c r="V65" i="5"/>
  <c r="V66" i="5"/>
  <c r="V67" i="5"/>
  <c r="V68" i="5"/>
  <c r="V69" i="5"/>
  <c r="V71" i="5"/>
  <c r="V76" i="5"/>
  <c r="V77" i="5"/>
  <c r="V78" i="5"/>
  <c r="V79" i="5"/>
  <c r="V80" i="5"/>
  <c r="V81" i="5"/>
  <c r="V82" i="5"/>
  <c r="V83" i="5"/>
  <c r="V84" i="5"/>
  <c r="V85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2" i="5"/>
  <c r="V108" i="5"/>
  <c r="V113" i="5"/>
  <c r="V117" i="5"/>
  <c r="V123" i="5"/>
  <c r="H16" i="9" l="1"/>
  <c r="H17" i="9"/>
  <c r="H18" i="9"/>
  <c r="H19" i="9"/>
  <c r="H20" i="9"/>
  <c r="H21" i="9"/>
  <c r="H22" i="9"/>
  <c r="H23" i="9"/>
  <c r="H26" i="9"/>
  <c r="H33" i="9"/>
  <c r="H34" i="9"/>
  <c r="H35" i="9"/>
  <c r="H36" i="9"/>
  <c r="H39" i="9"/>
  <c r="H40" i="9"/>
  <c r="H42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8" i="9"/>
  <c r="H59" i="9"/>
  <c r="H60" i="9"/>
  <c r="H62" i="9"/>
  <c r="H63" i="9"/>
  <c r="H64" i="9"/>
  <c r="H67" i="9"/>
  <c r="H68" i="9"/>
  <c r="H71" i="9"/>
  <c r="H75" i="9"/>
  <c r="H76" i="9"/>
  <c r="H80" i="9"/>
  <c r="H84" i="9"/>
  <c r="H91" i="9"/>
  <c r="H92" i="9"/>
  <c r="H93" i="9"/>
  <c r="H94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8" i="9"/>
  <c r="H119" i="9"/>
  <c r="H120" i="9"/>
  <c r="H121" i="9"/>
  <c r="H122" i="9"/>
  <c r="H123" i="9"/>
  <c r="H124" i="9"/>
  <c r="H125" i="9"/>
  <c r="H128" i="9"/>
  <c r="H129" i="9"/>
  <c r="H131" i="9"/>
  <c r="H132" i="9"/>
  <c r="H133" i="9"/>
  <c r="H134" i="9"/>
  <c r="H135" i="9"/>
  <c r="H136" i="9"/>
  <c r="H137" i="9"/>
  <c r="H138" i="9"/>
  <c r="H139" i="9"/>
  <c r="H141" i="9"/>
  <c r="H142" i="9"/>
  <c r="H143" i="9"/>
  <c r="H144" i="9"/>
  <c r="H145" i="9"/>
  <c r="H146" i="9"/>
  <c r="H150" i="9"/>
  <c r="H151" i="9"/>
  <c r="H152" i="9"/>
  <c r="H153" i="9"/>
  <c r="H154" i="9"/>
  <c r="H159" i="9"/>
  <c r="H160" i="9"/>
  <c r="H161" i="9"/>
  <c r="H166" i="9"/>
  <c r="H167" i="9"/>
  <c r="H169" i="9"/>
  <c r="H170" i="9"/>
  <c r="H171" i="9"/>
  <c r="H172" i="9"/>
  <c r="H173" i="9"/>
  <c r="H174" i="9"/>
  <c r="H175" i="9"/>
  <c r="H176" i="9"/>
  <c r="H178" i="9"/>
  <c r="H179" i="9"/>
  <c r="H180" i="9"/>
  <c r="H181" i="9"/>
  <c r="H182" i="9"/>
  <c r="H183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6" i="9"/>
  <c r="H8" i="10"/>
  <c r="H9" i="10"/>
  <c r="H11" i="10"/>
  <c r="H13" i="10"/>
  <c r="H15" i="10"/>
  <c r="H17" i="10"/>
  <c r="H19" i="10"/>
  <c r="H21" i="10"/>
  <c r="H23" i="10"/>
  <c r="H24" i="10"/>
  <c r="H26" i="10"/>
  <c r="H28" i="10"/>
  <c r="H30" i="10"/>
  <c r="H32" i="10"/>
  <c r="H34" i="10"/>
  <c r="H36" i="10"/>
  <c r="H38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6" i="10"/>
  <c r="N20" i="8"/>
  <c r="N21" i="8"/>
  <c r="N70" i="8"/>
  <c r="N71" i="8"/>
  <c r="N72" i="8"/>
  <c r="N73" i="8"/>
  <c r="N74" i="8"/>
  <c r="N75" i="8"/>
  <c r="N76" i="8"/>
  <c r="N77" i="8"/>
  <c r="N68" i="8"/>
  <c r="N69" i="8"/>
  <c r="N9" i="8"/>
  <c r="N10" i="8"/>
  <c r="N11" i="8"/>
  <c r="N12" i="8"/>
  <c r="N13" i="8"/>
  <c r="N14" i="8"/>
  <c r="N15" i="8"/>
  <c r="N16" i="8"/>
  <c r="N17" i="8"/>
  <c r="N18" i="8"/>
  <c r="N19" i="8"/>
  <c r="N23" i="8"/>
  <c r="N24" i="8"/>
  <c r="N25" i="8"/>
  <c r="N27" i="8"/>
  <c r="N28" i="8"/>
  <c r="N29" i="8"/>
  <c r="N30" i="8"/>
  <c r="N31" i="8"/>
  <c r="N32" i="8"/>
  <c r="N33" i="8"/>
  <c r="N35" i="8"/>
  <c r="N36" i="8"/>
  <c r="N37" i="8"/>
  <c r="N38" i="8"/>
  <c r="N45" i="8"/>
  <c r="N46" i="8"/>
  <c r="N47" i="8"/>
  <c r="N48" i="8"/>
  <c r="N49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8" i="8"/>
  <c r="J101" i="8"/>
  <c r="J100" i="8"/>
  <c r="J99" i="8"/>
  <c r="J98" i="8"/>
  <c r="J97" i="8"/>
  <c r="J96" i="8"/>
  <c r="J95" i="8"/>
  <c r="J94" i="8"/>
  <c r="J93" i="8"/>
  <c r="J92" i="8"/>
  <c r="J91" i="8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6" i="8"/>
  <c r="J34" i="8"/>
  <c r="J32" i="8"/>
  <c r="J30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K7" i="2" l="1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6" i="2"/>
  <c r="J28" i="13" l="1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J1" i="13"/>
  <c r="F1" i="13"/>
  <c r="C62" i="1" l="1"/>
  <c r="C61" i="1"/>
  <c r="C60" i="1"/>
  <c r="C52" i="1" l="1"/>
  <c r="C51" i="1"/>
  <c r="C42" i="1" l="1"/>
  <c r="C39" i="1" l="1"/>
  <c r="C37" i="1" l="1"/>
  <c r="C38" i="1" l="1"/>
  <c r="C36" i="1"/>
  <c r="C35" i="1" l="1"/>
  <c r="C5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Viktoriia Kuzmenko</author>
  </authors>
  <commentList>
    <comment ref="Y28" authorId="0" shapeId="0" xr:uid="{3D10E5CD-57C0-46AA-A8A2-5FAA34D7E48C}">
      <text>
        <r>
          <rPr>
            <b/>
            <sz val="9"/>
            <color indexed="81"/>
            <rFont val="Tahoma"/>
            <family val="2"/>
            <charset val="238"/>
          </rPr>
          <t>Viktoriia Kuzmenko:</t>
        </r>
        <r>
          <rPr>
            <sz val="9"/>
            <color indexed="81"/>
            <rFont val="Tahoma"/>
            <family val="2"/>
            <charset val="238"/>
          </rPr>
          <t xml:space="preserve">
pro chlazení
</t>
        </r>
      </text>
    </comment>
  </commentList>
</comments>
</file>

<file path=xl/sharedStrings.xml><?xml version="1.0" encoding="utf-8"?>
<sst xmlns="http://schemas.openxmlformats.org/spreadsheetml/2006/main" count="2577" uniqueCount="1355">
  <si>
    <t>Profesí</t>
  </si>
  <si>
    <t>Cena bez DPH, Kč</t>
  </si>
  <si>
    <t>Celkem</t>
  </si>
  <si>
    <t>Informace o projektu:</t>
  </si>
  <si>
    <t>Slaboproud</t>
  </si>
  <si>
    <t>Silnoproud</t>
  </si>
  <si>
    <t>Výtapění</t>
  </si>
  <si>
    <t>Vzduchotechnika</t>
  </si>
  <si>
    <r>
      <t>Jedná se o novostavbu budovy pro dlouhodobé ubytování s částečným polyfunkčním 
využitím parteru v 1.NP v Praze 5 . 
Budova má</t>
    </r>
    <r>
      <rPr>
        <b/>
        <sz val="12"/>
        <color rgb="FF0070C0"/>
        <rFont val="Arial"/>
        <family val="2"/>
        <charset val="238"/>
      </rPr>
      <t xml:space="preserve"> jedno podzemní podlaží až 9 nadzemních podlaží</t>
    </r>
    <r>
      <rPr>
        <sz val="12"/>
        <color theme="1"/>
        <rFont val="Arial"/>
        <family val="2"/>
        <charset val="238"/>
      </rPr>
      <t xml:space="preserve">. Podzemní podlaží jsou 
využita pro garáže, sklípky a technické zázemí, v 1.NP jsou obchodní jednotky a 
restaurace, od 2.NP výše jsou ubytovací jednotky.  </t>
    </r>
  </si>
  <si>
    <r>
      <t xml:space="preserve">Objekt bude mít navrženou jednu vodovodní, jednu plynovodní a jednu přípojku 
splaškové kanalizace. Likvidace dešťových vod bude probíhat retencí přepouštěním do 
jednotné kanalizace. 
Zdrojem tepla bude kotelna II. kategorie tvořena kaskádou dvou kotlů. V objektu bude 
navrženo nucené větrání s rekuperací a bude navrženo chlazení retailů a bytů 
v nejvyšších patrech. 
V bytovém domě se nachází celkově </t>
    </r>
    <r>
      <rPr>
        <b/>
        <sz val="12"/>
        <color rgb="FF0070C0"/>
        <rFont val="Arial"/>
        <family val="2"/>
        <charset val="238"/>
      </rPr>
      <t>373 bytů</t>
    </r>
    <r>
      <rPr>
        <sz val="12"/>
        <color theme="1"/>
        <rFont val="Arial"/>
        <family val="2"/>
        <charset val="238"/>
      </rPr>
      <t xml:space="preserve">. </t>
    </r>
  </si>
  <si>
    <t>Množství</t>
  </si>
  <si>
    <t>MJ</t>
  </si>
  <si>
    <t>Elektroinstalace</t>
  </si>
  <si>
    <t>ks</t>
  </si>
  <si>
    <t>kpl</t>
  </si>
  <si>
    <t>m</t>
  </si>
  <si>
    <t>Požární ucpávky</t>
  </si>
  <si>
    <t>Ostatní</t>
  </si>
  <si>
    <t>Osvětlení</t>
  </si>
  <si>
    <t>Elektronická požární signalizace</t>
  </si>
  <si>
    <t>Kabely</t>
  </si>
  <si>
    <t>EPS</t>
  </si>
  <si>
    <t>Arelove a veřejné osvětlení</t>
  </si>
  <si>
    <t/>
  </si>
  <si>
    <t>Vytápění</t>
  </si>
  <si>
    <t>Zpětná klapka DN50</t>
  </si>
  <si>
    <t>hod</t>
  </si>
  <si>
    <t>Kanalizace</t>
  </si>
  <si>
    <t>m2</t>
  </si>
  <si>
    <t>Vodovod</t>
  </si>
  <si>
    <t>Plynovod</t>
  </si>
  <si>
    <t>Chlazení</t>
  </si>
  <si>
    <t>Měření a regulace</t>
  </si>
  <si>
    <t>Revize</t>
  </si>
  <si>
    <t>7</t>
  </si>
  <si>
    <t>TECHNICKÉ ZAŘÍZENÍ BUDOV</t>
  </si>
  <si>
    <t>o 20% vyšší cena</t>
  </si>
  <si>
    <t>7.1</t>
  </si>
  <si>
    <t>7.2</t>
  </si>
  <si>
    <t>7.3</t>
  </si>
  <si>
    <t>o 15% vyšší cena</t>
  </si>
  <si>
    <t>7.4</t>
  </si>
  <si>
    <t>Řádově vyšší cena plastohliníkové trubky</t>
  </si>
  <si>
    <t>7.5</t>
  </si>
  <si>
    <t>Téměr trojnásobná cena</t>
  </si>
  <si>
    <t>7.6</t>
  </si>
  <si>
    <t>O 35% vyšší cena rekuperačních jednotek. O 30% vyšší cena regulačních modelů.</t>
  </si>
  <si>
    <t>7.7</t>
  </si>
  <si>
    <t>7.8</t>
  </si>
  <si>
    <t>o 15% vyšší cena, plošně vyšší ceny</t>
  </si>
  <si>
    <t>7.10</t>
  </si>
  <si>
    <t>7.99</t>
  </si>
  <si>
    <t>Položky doplněné uchazečem</t>
  </si>
  <si>
    <t>9.2.2026 mail od investora</t>
  </si>
  <si>
    <t>ZTI kanalizace</t>
  </si>
  <si>
    <t>ZTI vodovod</t>
  </si>
  <si>
    <t>ZTI plynovod</t>
  </si>
  <si>
    <t xml:space="preserve"> - Siemens</t>
  </si>
  <si>
    <t xml:space="preserve"> - Sunnymont</t>
  </si>
  <si>
    <t>MaR (2 alternativy)</t>
  </si>
  <si>
    <t>MaR - ZT preferuje Sunnymont</t>
  </si>
  <si>
    <t xml:space="preserve">   VZT jednotky a regulačních modulů ATREA</t>
  </si>
  <si>
    <t xml:space="preserve">   VZT jednotky LINDAB dle PD</t>
  </si>
  <si>
    <t>není započteno v celkovém součtu</t>
  </si>
  <si>
    <t>přepočitali jsme vyměry Pasek FeZn a Svorkaspojovaci FeZn</t>
  </si>
  <si>
    <t>ZP naceněna pouze montáž</t>
  </si>
  <si>
    <t>přeložka VN</t>
  </si>
  <si>
    <t>přeložka NN</t>
  </si>
  <si>
    <t>HROMOSVOD 1</t>
  </si>
  <si>
    <t>HVI včetně svodů jak je v PD</t>
  </si>
  <si>
    <t>HROMOSVOD 2</t>
  </si>
  <si>
    <t>HROMOSVOD 3</t>
  </si>
  <si>
    <t>systém Tremis tedy ALĺMgSi +PVC</t>
  </si>
  <si>
    <t>položka 121 - 140</t>
  </si>
  <si>
    <t>Hromosvod zahrnuty v SLN</t>
  </si>
  <si>
    <t>Máme další 3 vyrianty hromosvodu</t>
  </si>
  <si>
    <t>Hromosvod:</t>
  </si>
  <si>
    <t>HVI jen na střeše</t>
  </si>
  <si>
    <t>NABÍDKA   25.2.2026</t>
  </si>
  <si>
    <t>3.3.2026 dorazila ještě nabídka od Multiklimy na VZT na LINDAB - není to zahrnuto v nabídce 25.2.2026</t>
  </si>
  <si>
    <t>Pol1</t>
  </si>
  <si>
    <t>Trubka  1423, 320N, pod omítku/do podlahy, vč. zasekání</t>
  </si>
  <si>
    <t>Pol2</t>
  </si>
  <si>
    <t>Trubka  1436, 320N, pod omítku/do podlahy, vč. zasekání</t>
  </si>
  <si>
    <t>Pol3</t>
  </si>
  <si>
    <t>Trubka  1416, 320N, pod omítku/do podlahy, vč. zasekání</t>
  </si>
  <si>
    <t>Pol4</t>
  </si>
  <si>
    <t>Trubka 1250, 750N, vč. příchytky (do stoupacích vedení a podhledů)</t>
  </si>
  <si>
    <t>Pol5</t>
  </si>
  <si>
    <t>Krabice přístrojová pod omítku</t>
  </si>
  <si>
    <t>D3</t>
  </si>
  <si>
    <t>Pol6</t>
  </si>
  <si>
    <t>Kabel UTP 4páry kat. 5e, AWG24</t>
  </si>
  <si>
    <t>D4</t>
  </si>
  <si>
    <t>Rozvaděče, zásuvky, ukončovací hw</t>
  </si>
  <si>
    <t>Pol7</t>
  </si>
  <si>
    <t>Plastová rozvodnice pod omítku  24 modulů , bílé dveře,  délka 446/ šířka 346/ hloubka 88mm</t>
  </si>
  <si>
    <t>Pol8</t>
  </si>
  <si>
    <t>Kompletní datová zásuvka 1x RJ45 bílá pro rozvod domovní instalace internetu (Design zásuvek sjednotit se zásuvkami 230V)</t>
  </si>
  <si>
    <t>Pol9</t>
  </si>
  <si>
    <t>Modul na DIN lištu pro jeden keystone kat. 5e, plastový</t>
  </si>
  <si>
    <t>D5</t>
  </si>
  <si>
    <t>Pol10</t>
  </si>
  <si>
    <t>Zednické přípomoce a pomocné montážní práce</t>
  </si>
  <si>
    <t>Pol11</t>
  </si>
  <si>
    <t>Měření metalické kabeláže, vč. měřícího protokolu</t>
  </si>
  <si>
    <t>D6</t>
  </si>
  <si>
    <t>Přístupový systém (EKV)</t>
  </si>
  <si>
    <t>D2</t>
  </si>
  <si>
    <t>Instalační materiál</t>
  </si>
  <si>
    <t>Pol12</t>
  </si>
  <si>
    <t>Pol13</t>
  </si>
  <si>
    <t>Pol14</t>
  </si>
  <si>
    <t>Pol15</t>
  </si>
  <si>
    <t>Pol16</t>
  </si>
  <si>
    <t>FTP Cat.5e LSZH, 4pár, drát, 24 AWG</t>
  </si>
  <si>
    <t>Pol17</t>
  </si>
  <si>
    <t>Kabel 2x1</t>
  </si>
  <si>
    <t>Pol18</t>
  </si>
  <si>
    <t>CYA 6 zelenožlutý ( pro uzemnění rozvodnic)</t>
  </si>
  <si>
    <t>D7</t>
  </si>
  <si>
    <t>Zařízení EKV</t>
  </si>
  <si>
    <t>Pol19</t>
  </si>
  <si>
    <t>Řídící a kontrolní jednotka pro 4 dveře (4 čtečky) + SW + plechový box se zámkem a prostorem pro aku; Připojení max. 4 čteček (Anti-passback) + 4 odchodových tlačítek; max 20000 uživatelů; max.100 000 událostí v paměti; otvírání dveří na dálku; použitelné</t>
  </si>
  <si>
    <t>Pol20</t>
  </si>
  <si>
    <t>Čtečka RFID čipů (karet) v odolném zpracování (antivandal tělo); IP66; Napájení: 12 V DC;  Typ RFID karet: MIFARE 13,56 Mhz; Výstupní formát: Wiegand 26-34 bit (34 bit přednastaveno); Čtecí vzdálenost karty: 2 - 6 cm; optická signalizace: LED dioda (červe</t>
  </si>
  <si>
    <t>Pol21</t>
  </si>
  <si>
    <t>Tlačítko nouzového otevření dveří - zelené, reset pomocí klíčku, výklopný kryt</t>
  </si>
  <si>
    <t>Pol22</t>
  </si>
  <si>
    <t>Bezkontaktní přívěšek</t>
  </si>
  <si>
    <t>Pol23</t>
  </si>
  <si>
    <t>el. otvírač, nízkoodběrový, 12V DC/230mA; vč. čelní plech krátký</t>
  </si>
  <si>
    <t>Pol24</t>
  </si>
  <si>
    <t>elektromechanický  zámek</t>
  </si>
  <si>
    <t>Pol25</t>
  </si>
  <si>
    <t>6m kabel pro zámky</t>
  </si>
  <si>
    <t>Pol26</t>
  </si>
  <si>
    <t>kabelová průchodka kovová zadlab.</t>
  </si>
  <si>
    <t>Pol27</t>
  </si>
  <si>
    <t>protiplech</t>
  </si>
  <si>
    <t>Pol28</t>
  </si>
  <si>
    <t>Pol29</t>
  </si>
  <si>
    <t>Oživení a nastavení systému</t>
  </si>
  <si>
    <t>Pol30</t>
  </si>
  <si>
    <t>Pol31</t>
  </si>
  <si>
    <t>Funkční zkouška, uvedení systému do provozu, zaškolení obsluhy</t>
  </si>
  <si>
    <t>D8</t>
  </si>
  <si>
    <t>Domácí telefon (DT)</t>
  </si>
  <si>
    <t>Pol32</t>
  </si>
  <si>
    <t>Pol33</t>
  </si>
  <si>
    <t>Pol34</t>
  </si>
  <si>
    <t>Pol35</t>
  </si>
  <si>
    <t>Pol36</t>
  </si>
  <si>
    <t>Pol37</t>
  </si>
  <si>
    <t>D9</t>
  </si>
  <si>
    <t>Rozvaděče, propojovací hw, zdroje napájení</t>
  </si>
  <si>
    <t>Pol38</t>
  </si>
  <si>
    <t>Nástěnná ocelopl. Skříň 600/600/200, IP40, vč. dveří se zámkem, kabel. Průchodkami, DIN lišta, mont. Deska</t>
  </si>
  <si>
    <t>Pol39</t>
  </si>
  <si>
    <t>Zemnící svorkovnice</t>
  </si>
  <si>
    <t>D10</t>
  </si>
  <si>
    <t>Zařízení DT</t>
  </si>
  <si>
    <t>Pol40</t>
  </si>
  <si>
    <t>AUDIO telefon</t>
  </si>
  <si>
    <t>Pol41</t>
  </si>
  <si>
    <t>Zvonkové tlačítko (stejný design jako přístroje 230V)</t>
  </si>
  <si>
    <t>Pol42</t>
  </si>
  <si>
    <t>ZDROJ-2VOD AV SYSTEM 6DIN</t>
  </si>
  <si>
    <t>Pol43</t>
  </si>
  <si>
    <t>VIDEOROZBOČOVAČ 2 VOD</t>
  </si>
  <si>
    <t>Pol44</t>
  </si>
  <si>
    <t>ZAKONČOVACÍ ODPOR</t>
  </si>
  <si>
    <t>Pol45</t>
  </si>
  <si>
    <t>INSTAL. KRABICE DO ZDI 3M</t>
  </si>
  <si>
    <t>Pol46</t>
  </si>
  <si>
    <t>KONFIGURÁTOR, 10KS</t>
  </si>
  <si>
    <t>Pol47</t>
  </si>
  <si>
    <t>RÁM + ŠASÍ 3M</t>
  </si>
  <si>
    <t>Pol48</t>
  </si>
  <si>
    <t>BAR. AUD/VIDEO JEDN.</t>
  </si>
  <si>
    <t>Pol49</t>
  </si>
  <si>
    <t>TLAČ.MODUL 8TLAČ</t>
  </si>
  <si>
    <t>Pol50</t>
  </si>
  <si>
    <t>KABEL PRO PANELY 620MM</t>
  </si>
  <si>
    <t>Pol51</t>
  </si>
  <si>
    <t>RELE ZAP.PRO TLACITKA 2NO</t>
  </si>
  <si>
    <t>Pol52</t>
  </si>
  <si>
    <t>Pol53</t>
  </si>
  <si>
    <t>Pol54</t>
  </si>
  <si>
    <t>Funkční zkouška, uvedení systému do provozu</t>
  </si>
  <si>
    <t>D11</t>
  </si>
  <si>
    <t>Společná televizní anténa (STA)</t>
  </si>
  <si>
    <t>Pol55</t>
  </si>
  <si>
    <t>Pol56</t>
  </si>
  <si>
    <t>Trubka  1436, 320N, pod omítku/do podlahy, vč. Zasekání</t>
  </si>
  <si>
    <t>Pol57</t>
  </si>
  <si>
    <t>Pol58</t>
  </si>
  <si>
    <t>Pol59</t>
  </si>
  <si>
    <t>D12</t>
  </si>
  <si>
    <t xml:space="preserve">Kabely </t>
  </si>
  <si>
    <t>Pol60</t>
  </si>
  <si>
    <t>Koaxiální kabel 75 Ohm H125 , vnější</t>
  </si>
  <si>
    <t>Pol61</t>
  </si>
  <si>
    <t>Koaxiální kabel 75 Ohm H121 , vnitřní</t>
  </si>
  <si>
    <t>Pol62</t>
  </si>
  <si>
    <t>Propojovací kabely 250 mm F konektory</t>
  </si>
  <si>
    <t>Pol63</t>
  </si>
  <si>
    <t>Vodič CYA 6 zelenožlutý</t>
  </si>
  <si>
    <t>D13</t>
  </si>
  <si>
    <t>Rozvaděče, pasivní, aktivní prvky</t>
  </si>
  <si>
    <t>Pol64</t>
  </si>
  <si>
    <t>Pol65</t>
  </si>
  <si>
    <t>Pol66</t>
  </si>
  <si>
    <t>Anténa venkovní, příjem DVB-T2, zisk 16 dBi, frekvenční rozsah 470-790 MHz, integrovaný LTE/4G filtr</t>
  </si>
  <si>
    <t>Pol67</t>
  </si>
  <si>
    <t>Anténa venkovní kombinovaná venkovní anténa pro příjem rozhlasového vysílání v pásku FM a DAB/DAB+; Frekvenční rozsah: FM 87,5 ~ 108 MHz, DAB 174 ~ 230 MHz; Zisk: 1-2 Db; Š. paprsku: 360 °</t>
  </si>
  <si>
    <t>Pol68</t>
  </si>
  <si>
    <t>Konektor F na koax.kabel</t>
  </si>
  <si>
    <t>Pol69</t>
  </si>
  <si>
    <t>Rozváděč Plast PC/ABS , instalace na omítku (pro osazení přepěťové ochrany)</t>
  </si>
  <si>
    <t>Pol70</t>
  </si>
  <si>
    <t>Přepěťová ochrana TV pro koax.kabel</t>
  </si>
  <si>
    <t>Pol71</t>
  </si>
  <si>
    <t>Zásuvka koncová TV / R  včetně rámečku (Design zásuvek nutno sjednotit se zásuvkami 230V.)</t>
  </si>
  <si>
    <t>Pol72</t>
  </si>
  <si>
    <t>Zakončovací odpor 75 Ohm do zásuvek / 10 ks</t>
  </si>
  <si>
    <t>sada</t>
  </si>
  <si>
    <t>Pol73</t>
  </si>
  <si>
    <t>Vícepásmový zesil. 24 dB se  zdrojem, regulace zisku, DVB-T2</t>
  </si>
  <si>
    <t>Pol74</t>
  </si>
  <si>
    <t>Multipřepínač pro distribuci pozemních a satelitních signálů pro 12 účastníků, včetně pozemních digitálních rádiových a televizních programů; zabudovaný napájecí zdroj; zemnící svorka;</t>
  </si>
  <si>
    <t>Pol75</t>
  </si>
  <si>
    <t>Pol76</t>
  </si>
  <si>
    <t>Měření  signálu před a po instalaci</t>
  </si>
  <si>
    <t>Pol77</t>
  </si>
  <si>
    <t>Oživení systému, zaškolení obsluhy</t>
  </si>
  <si>
    <t>Pol78</t>
  </si>
  <si>
    <t>Výchozí revize, provední funkční zkoušky systému, uvedení do provozu, zaškolení obsluhy</t>
  </si>
  <si>
    <t>D14</t>
  </si>
  <si>
    <t>Autonomní detekce požáru (ADP)</t>
  </si>
  <si>
    <t>D15</t>
  </si>
  <si>
    <t>Zařízení autonomní detekce</t>
  </si>
  <si>
    <t>Pol79</t>
  </si>
  <si>
    <t>Opticko kouřový hlásič požáru napájený z 9 V baterie s 85 decibelovou sirénou,v souladu s EN14604. Další doporučené je vybavení testovací tlačítko a tlačítko pro vypnutí signalizace</t>
  </si>
  <si>
    <t>Pol80</t>
  </si>
  <si>
    <t>D16</t>
  </si>
  <si>
    <t>Společné kabelové trasy</t>
  </si>
  <si>
    <t>D17</t>
  </si>
  <si>
    <t>Hlavní horizontální a vertikální trasy</t>
  </si>
  <si>
    <t>Pol81</t>
  </si>
  <si>
    <t>Žlab kovový 250/ 100 EKZS, 2m, vč. spojky a víka žlabu</t>
  </si>
  <si>
    <t>Pol82</t>
  </si>
  <si>
    <t>Tvarové prvky a příslušenství pro žlab kovový 250/ 100 EKZS</t>
  </si>
  <si>
    <t>Pol83</t>
  </si>
  <si>
    <t>Nosník/závěs pro žlab 250/ 100,  vč. Montážního příslušenství</t>
  </si>
  <si>
    <t>Pol84</t>
  </si>
  <si>
    <t>Kov. dělící přepážka na kabel. žlabu v.100mm (pro oddělení vedení jednotlivých systémů)</t>
  </si>
  <si>
    <t>Pol85</t>
  </si>
  <si>
    <t>Žlab kovový 125/ 50 EKZS, 2m, vč. spojky a víka žlabu</t>
  </si>
  <si>
    <t>Pol86</t>
  </si>
  <si>
    <t>Tvarové prvky a příslušenství pro žlab kovový 125/ 50 EKZS</t>
  </si>
  <si>
    <t>Pol87</t>
  </si>
  <si>
    <t>Nosník/závěs pro žlab 125/ 50,  vč. Montážního příslušenství</t>
  </si>
  <si>
    <t>Pol88</t>
  </si>
  <si>
    <t>Kov. dělící přepážka na kabel. žlabu v.50mm (pro oddělení vedení jednotlivých systémů)</t>
  </si>
  <si>
    <t>Pol89</t>
  </si>
  <si>
    <t>Požární ucpávky materiál, včetně označení dle ČSN, prostup do 250/250</t>
  </si>
  <si>
    <t>Pol90</t>
  </si>
  <si>
    <t>1PP</t>
  </si>
  <si>
    <t>1NP</t>
  </si>
  <si>
    <t>2 NP</t>
  </si>
  <si>
    <t>3 NP</t>
  </si>
  <si>
    <t>trojnožka 60/3-2000-650U na dlaždice, zinek žár.</t>
  </si>
  <si>
    <t>gumová podložka</t>
  </si>
  <si>
    <t>betonová dlaždice 50 x 50 x 5cm</t>
  </si>
  <si>
    <t>držák antény (na stožár 25-89mm), trubka 28/2mm, zinek žár.</t>
  </si>
  <si>
    <t>Strecha</t>
  </si>
  <si>
    <t>kus</t>
  </si>
  <si>
    <t>MAR</t>
  </si>
  <si>
    <t>Uchazeč:</t>
  </si>
  <si>
    <t>Zpracovatel:</t>
  </si>
  <si>
    <t>Cena celkem [CZK]</t>
  </si>
  <si>
    <t>PČ</t>
  </si>
  <si>
    <t>Typ</t>
  </si>
  <si>
    <t>Kód</t>
  </si>
  <si>
    <t>Popis</t>
  </si>
  <si>
    <t>J.cena [CZK]</t>
  </si>
  <si>
    <t>Náklady soupisu celkem</t>
  </si>
  <si>
    <t>D</t>
  </si>
  <si>
    <t>PSV</t>
  </si>
  <si>
    <t>Práce a dodávky PSV</t>
  </si>
  <si>
    <t>741</t>
  </si>
  <si>
    <t>Elektroinstalace - silnoproud</t>
  </si>
  <si>
    <t>1</t>
  </si>
  <si>
    <t>K</t>
  </si>
  <si>
    <t>741410021</t>
  </si>
  <si>
    <t>Montáž vodič uzemňovací pásek průřezu do 120 mm2 v městské zástavbě v zemi</t>
  </si>
  <si>
    <t>2</t>
  </si>
  <si>
    <t>M</t>
  </si>
  <si>
    <t>35442062</t>
  </si>
  <si>
    <t>pás zemnící 30x4mm FeZn</t>
  </si>
  <si>
    <t>kg</t>
  </si>
  <si>
    <t>3</t>
  </si>
  <si>
    <t>35441986</t>
  </si>
  <si>
    <t>svorka odbočovací a spojovací pro pásek 30x4 mm, FeZn</t>
  </si>
  <si>
    <t>4</t>
  </si>
  <si>
    <t>741420001</t>
  </si>
  <si>
    <t>Montáž drát nebo lano hromosvodné svodové D do 10 mm s podpěrou</t>
  </si>
  <si>
    <t>5</t>
  </si>
  <si>
    <t>35441077</t>
  </si>
  <si>
    <t>drát D 8mm AlMgSi</t>
  </si>
  <si>
    <t>6</t>
  </si>
  <si>
    <t>35441470</t>
  </si>
  <si>
    <t>podpěra vedení FeZn pod taškovou krytinu 100mm</t>
  </si>
  <si>
    <t>35441490</t>
  </si>
  <si>
    <t>podpěra vedení FeZn na hřebenáče a prejzovou krytinu 120mm</t>
  </si>
  <si>
    <t>8</t>
  </si>
  <si>
    <t>35441860</t>
  </si>
  <si>
    <t>svorka FeZn k jímací tyči - 4 šrouby</t>
  </si>
  <si>
    <t>9</t>
  </si>
  <si>
    <t>35441875</t>
  </si>
  <si>
    <t>svorka křížová pro vodič D 6-10mm</t>
  </si>
  <si>
    <t>10</t>
  </si>
  <si>
    <t>35441996</t>
  </si>
  <si>
    <t>svorka odbočovací a spojovací pro spojování kruhových a páskových vodičů, FeZn</t>
  </si>
  <si>
    <t>11</t>
  </si>
  <si>
    <t>35441925</t>
  </si>
  <si>
    <t>svorka zkušební pro lano D 6-12mm, FeZn</t>
  </si>
  <si>
    <t>12</t>
  </si>
  <si>
    <t>13</t>
  </si>
  <si>
    <t>8500029370</t>
  </si>
  <si>
    <t>Drát AlMgSi/PVC pr. 8 mm (20kg/bal = 100bm)</t>
  </si>
  <si>
    <t>14</t>
  </si>
  <si>
    <t>741420022</t>
  </si>
  <si>
    <t>Montáž svorka hromosvodná se 3 šrouby</t>
  </si>
  <si>
    <t>15</t>
  </si>
  <si>
    <t>1004335</t>
  </si>
  <si>
    <t>DEHN SVORKA OKAPOVA SO FEZN /339010/</t>
  </si>
  <si>
    <t>16</t>
  </si>
  <si>
    <t>17</t>
  </si>
  <si>
    <t>1144574</t>
  </si>
  <si>
    <t>KRABICE PRO ZKUSEBNI SVORKY BEZ ZS /5490</t>
  </si>
  <si>
    <t>18</t>
  </si>
  <si>
    <t>741420083</t>
  </si>
  <si>
    <t>Montáž vedení hromosvodné-štítek k označení svodu</t>
  </si>
  <si>
    <t>19</t>
  </si>
  <si>
    <t>DTT104190</t>
  </si>
  <si>
    <t>Štítek - Štítek k označení svodu</t>
  </si>
  <si>
    <t>20</t>
  </si>
  <si>
    <t>741430004</t>
  </si>
  <si>
    <t>Montáž tyč jímací délky do 3 m na střešní hřeben</t>
  </si>
  <si>
    <t>21</t>
  </si>
  <si>
    <t>Hrom</t>
  </si>
  <si>
    <t>Jímací tyč délky 3m včetně příslušenství</t>
  </si>
  <si>
    <t>22</t>
  </si>
  <si>
    <t>741810001</t>
  </si>
  <si>
    <t>Celková prohlídka elektrického rozvodu a zařízení do 100 000,- Kč</t>
  </si>
  <si>
    <t>Hlavní ochranná přípojnice MET</t>
  </si>
  <si>
    <t>Vodič CY 25 mm² (hlavní pospojování)</t>
  </si>
  <si>
    <t>Vodič CY 10 mm² (hlavní pospojování)</t>
  </si>
  <si>
    <t>Vodič CY 4 mm² (doplňkové pospojování</t>
  </si>
  <si>
    <t>Napojení potrubí (voda, plyn, kanalizace</t>
  </si>
  <si>
    <t>Napojení kovových konstrukcí</t>
  </si>
  <si>
    <t>Napojení rozváděčů a technologií</t>
  </si>
  <si>
    <t>Svařování spojů zemniče</t>
  </si>
  <si>
    <t>Svodič přepětí typ 1</t>
  </si>
  <si>
    <t>PŘEPĚŤOVÉ OCHRANY (SPD)</t>
  </si>
  <si>
    <t xml:space="preserve"> Svodič přepětí typ 2</t>
  </si>
  <si>
    <t>Svodič přepětí typ 3</t>
  </si>
  <si>
    <t>Montáž a zapojení SPD</t>
  </si>
  <si>
    <t>Jímací tyč délky 2m včetně příslušenství</t>
  </si>
  <si>
    <t>pomocnyJímací tyč délky 0,5m včetně příslušenství</t>
  </si>
  <si>
    <t>objímka jímací tyče FeZn</t>
  </si>
  <si>
    <t>stojan FeZn pro jímací tyč bez podstavců</t>
  </si>
  <si>
    <t>svorkovnice ekvipotenciální 160x60mm</t>
  </si>
  <si>
    <t>stojan pro jímací tyč s rovným koncem, FeZn, s plastbetonovými podpěrami, pro jímač do 2000mm - rozpětí podpěr 350mm</t>
  </si>
  <si>
    <t>A1</t>
  </si>
  <si>
    <t>Vestavné interiérové svítidlo LED do SDK</t>
  </si>
  <si>
    <t>A2</t>
  </si>
  <si>
    <t>B1</t>
  </si>
  <si>
    <t>Přisazené interiérové svítidlo LED</t>
  </si>
  <si>
    <t>B1.1</t>
  </si>
  <si>
    <t>Vodič 3x0,75 2000mm</t>
  </si>
  <si>
    <t>B1.2</t>
  </si>
  <si>
    <t>Lankový závěs 2000mm</t>
  </si>
  <si>
    <t>18*2 'Přepočtené koeficientem množství</t>
  </si>
  <si>
    <t>B1.3</t>
  </si>
  <si>
    <t>Kalíšek stropní 80x80x32mm</t>
  </si>
  <si>
    <t>P1</t>
  </si>
  <si>
    <t>LINEA 2.4ft 6400/840,svítidlo interiérové přisazené s modulem LED 2x3200 lm, spektrum 840</t>
  </si>
  <si>
    <t>P2</t>
  </si>
  <si>
    <t>LINEA 2.4ft 8800/840,svítidlo interiérové přisazené s modulem LED 2x4400 lm, spektrum 840</t>
  </si>
  <si>
    <t>P3</t>
  </si>
  <si>
    <t>LINEA ROUND 3600/840,svítidlo interiérové přisazené s modulem LED 3600 lm, spektrum 840</t>
  </si>
  <si>
    <t>N1</t>
  </si>
  <si>
    <t>Nouzové svítidlo LED piktogram, vlastní baterie 1H doba nouzového svícení,autotest</t>
  </si>
  <si>
    <t>N2</t>
  </si>
  <si>
    <t>Vestavné  nouzové svítidlo, optika Area, Autotest, 1H</t>
  </si>
  <si>
    <t>N3</t>
  </si>
  <si>
    <t>Vestavné nouzové svítidlo optika route 7W LED, 260lm,autotest</t>
  </si>
  <si>
    <t>N4</t>
  </si>
  <si>
    <t>Přisazené svítidlo NO, area, barva černá, autotest</t>
  </si>
  <si>
    <t>N5</t>
  </si>
  <si>
    <t>Přisazené/nástěnné nouzové svítidlo-Piktogram</t>
  </si>
  <si>
    <t>N6</t>
  </si>
  <si>
    <t>Přisazené nouzové svítidlo-optika route</t>
  </si>
  <si>
    <t>N7</t>
  </si>
  <si>
    <t>Přisazené nouzové svítidlo-Piktogram</t>
  </si>
  <si>
    <t>N7.1</t>
  </si>
  <si>
    <t>Components Flag for doublesided version (for Ontec S)</t>
  </si>
  <si>
    <t>N8</t>
  </si>
  <si>
    <t>Přisazené nouzové svítidlo-optika area</t>
  </si>
  <si>
    <t>NVO</t>
  </si>
  <si>
    <t>Nouzové svítidlo Outdoor 3x1W 1h IP66, barva černá</t>
  </si>
  <si>
    <t>OS20</t>
  </si>
  <si>
    <t>Vestavné svítidlo 43,2W LED 3000K, barva bílá, opálový difuzor</t>
  </si>
  <si>
    <t>OS21</t>
  </si>
  <si>
    <t>Vestavné svítidlo DEEP 1.0 PAR16 W GU10, barva bílá, IP44</t>
  </si>
  <si>
    <t>OS22</t>
  </si>
  <si>
    <t>LED žárovka GU10 P7WDIM stmívatelná</t>
  </si>
  <si>
    <t>ZRC</t>
  </si>
  <si>
    <t>Svítidlo nad Zrcadlo</t>
  </si>
  <si>
    <t>OS23</t>
  </si>
  <si>
    <t>Přisazené/závěsné svítidlo LED</t>
  </si>
  <si>
    <t>OS23.1</t>
  </si>
  <si>
    <t>Sada pro zavěšení 4000mm, lanka 3ks, kabel 4x0,75mm, kalíšek</t>
  </si>
  <si>
    <t>KUCH LINKA</t>
  </si>
  <si>
    <t>LED pásek v profilu s opálovým difuzorem, včetně nápajení nestmívatelné, výkon pásku a typ profilu se bude dále specifikovat</t>
  </si>
  <si>
    <t>OS04</t>
  </si>
  <si>
    <t>TAIO ROUND IP65 WALL SURFACE 1.0 LED 10.5W CRI90 3000K BLACK</t>
  </si>
  <si>
    <t>OSV</t>
  </si>
  <si>
    <t>Montáž svítidel</t>
  </si>
  <si>
    <t>Přístroje</t>
  </si>
  <si>
    <t>741112061</t>
  </si>
  <si>
    <t>Montáž krabice přístrojová zapuštěná plastová kruhová</t>
  </si>
  <si>
    <t>34571511</t>
  </si>
  <si>
    <t>krabice přístrojová instalační 500V, D 69mmx30mm</t>
  </si>
  <si>
    <t>741112101</t>
  </si>
  <si>
    <t>Montáž rozvodka zapuštěná plastová kruhová</t>
  </si>
  <si>
    <t>34571519</t>
  </si>
  <si>
    <t>krabice univerzální odbočná z PH s víčkem, D 73,5mmx43mm</t>
  </si>
  <si>
    <t>Pol109</t>
  </si>
  <si>
    <t>svorkovnice krabicová 273-102 4x1-2,5mm2</t>
  </si>
  <si>
    <t>Pol110</t>
  </si>
  <si>
    <t>svorkovnice krabicová 273-103 8x1-2,5mm2</t>
  </si>
  <si>
    <t>Pol111</t>
  </si>
  <si>
    <t>svorkovnice krabicová 273-104 3x1-2,5mm2</t>
  </si>
  <si>
    <t>Pol112</t>
  </si>
  <si>
    <t>svorkovnice krabicová 273-105 5x1-2,5mm2</t>
  </si>
  <si>
    <t>Pol114</t>
  </si>
  <si>
    <t>ekvipotenciální svorkovnice</t>
  </si>
  <si>
    <t>741310201</t>
  </si>
  <si>
    <t>Montáž vypínač (polo)zapuštěný šroubové připojení 1-jednopólový</t>
  </si>
  <si>
    <t>34535512</t>
  </si>
  <si>
    <t>spínač jednopólový 10A bílý, komplet včetně rámečku</t>
  </si>
  <si>
    <t>741310206</t>
  </si>
  <si>
    <t>Montáž ¨termostat</t>
  </si>
  <si>
    <t>term</t>
  </si>
  <si>
    <t>Termostat digitální</t>
  </si>
  <si>
    <t>741310221</t>
  </si>
  <si>
    <t>Montáž spínač (polo)zapuštěný šroubové připojení řazení 2-pro žaluzie</t>
  </si>
  <si>
    <t>sp1</t>
  </si>
  <si>
    <t>Spínač žaluziový bílý, komplet včetně rámečku</t>
  </si>
  <si>
    <t>741310231</t>
  </si>
  <si>
    <t>Montáž přepínač (polo)zapuštěný šroubové připojení 5-seriový</t>
  </si>
  <si>
    <t>34535573</t>
  </si>
  <si>
    <t>spínač řazení 5 10A bílý, komplet včetně rámečku</t>
  </si>
  <si>
    <t>741310233</t>
  </si>
  <si>
    <t>Montáž přepínač (polo)zapuštěný šroubové připojení 6-střídavý</t>
  </si>
  <si>
    <t>sp2</t>
  </si>
  <si>
    <t>Spínač řazení 6 bílý, komplet včetně rámečku</t>
  </si>
  <si>
    <t>741310239</t>
  </si>
  <si>
    <t>Montáž přepínač (polo)zapuštěný šroubové připojení 7-křížový</t>
  </si>
  <si>
    <t>sp3</t>
  </si>
  <si>
    <t>Spínač řazení 7 bílý, komplet včetěn rámečku</t>
  </si>
  <si>
    <t>741311004</t>
  </si>
  <si>
    <t>Montáž čidlo pohybu nástěnné se zapojením vodičů</t>
  </si>
  <si>
    <t>čid</t>
  </si>
  <si>
    <t>Pohybové čidlo nástěnné 360°</t>
  </si>
  <si>
    <t>741313002</t>
  </si>
  <si>
    <t>Montáž zásuvka (polo)zapuštěná bezšroubové připojení 2P+PE dvojí zapojení - průběžná</t>
  </si>
  <si>
    <t>34555100</t>
  </si>
  <si>
    <t>zásuvka 1násobná 16A bílá</t>
  </si>
  <si>
    <t>Rozváděče</t>
  </si>
  <si>
    <t>Rozv1</t>
  </si>
  <si>
    <t>Rozváděč bytový</t>
  </si>
  <si>
    <t>Rozv3-m</t>
  </si>
  <si>
    <t>REA-RED - montář rozváděč elektroměrový skříňový včetně požárních dveří</t>
  </si>
  <si>
    <t>Rozv3</t>
  </si>
  <si>
    <t>REA - Rozváděč elektroměrový nástěnný včetně požárních dveří</t>
  </si>
  <si>
    <t>Rozv7</t>
  </si>
  <si>
    <t>1*4 'Přepočtené koeficientem množství</t>
  </si>
  <si>
    <t>Rozv8</t>
  </si>
  <si>
    <t>RKOT - rozváděč pro kotelnu</t>
  </si>
  <si>
    <t>Rozv9</t>
  </si>
  <si>
    <t>RCEP- rozváděč pro čerpání</t>
  </si>
  <si>
    <t>Rozv10</t>
  </si>
  <si>
    <t>UPS 10kW 45min</t>
  </si>
  <si>
    <t>Rozv4</t>
  </si>
  <si>
    <t>REB - Rozváděč elektroměrový nástěnný včetně požárních dveří</t>
  </si>
  <si>
    <t>Rozv5</t>
  </si>
  <si>
    <t>REC - Rozváděč elektroměrový nástěnný včetně požárních dveří</t>
  </si>
  <si>
    <t>Rozv6</t>
  </si>
  <si>
    <t>RED - Rozváděč elektroměrový nástěnný včetně požárních dveří</t>
  </si>
  <si>
    <t>Rozv4-m</t>
  </si>
  <si>
    <t>RS - montáž rozváděče pro splečné prostory včetně požárních dveří</t>
  </si>
  <si>
    <t>Rozv5-m</t>
  </si>
  <si>
    <t>Rkot- montáž rozváděče kotelny</t>
  </si>
  <si>
    <t>Rozv6-m</t>
  </si>
  <si>
    <t>Rcep- montáž rozváděče pro čerpadla</t>
  </si>
  <si>
    <t>rozv-m</t>
  </si>
  <si>
    <t>Montáž rozcáděče bytového včetně zapojení vodičů</t>
  </si>
  <si>
    <t>Rozvo2-m</t>
  </si>
  <si>
    <t xml:space="preserve">RE - Montáž rozváděč elektroměrový pod omítkou </t>
  </si>
  <si>
    <t>Rozv2</t>
  </si>
  <si>
    <t>RE - rozváděč elektroměrový pod omítkou nepřímé měření</t>
  </si>
  <si>
    <t>Rozv12</t>
  </si>
  <si>
    <t>Rozv13</t>
  </si>
  <si>
    <t>Rozv11</t>
  </si>
  <si>
    <t>NAB</t>
  </si>
  <si>
    <t>Nabíjecí stanice venkvoní na stěnu 22kW</t>
  </si>
  <si>
    <t>741410072</t>
  </si>
  <si>
    <t>Montáž pospojování ochranné konstrukce ostatní vodičem do 16 mm2 uloženým pevně</t>
  </si>
  <si>
    <t>34140825</t>
  </si>
  <si>
    <t>vodič silový s Cu jádrem 4mm2 (CY H07 V-U)</t>
  </si>
  <si>
    <t>34140826</t>
  </si>
  <si>
    <t>vodič silový s Cu jádrem 6mm2 (CY)</t>
  </si>
  <si>
    <t>741130001</t>
  </si>
  <si>
    <t>Ukončení vodič izolovaný do 2,5 mm2 v rozváděči nebo na přístroji</t>
  </si>
  <si>
    <t>741130003</t>
  </si>
  <si>
    <t>Ukončení vodič izolovaný do 4 mm2 v rozváděči nebo na přístroji</t>
  </si>
  <si>
    <t>741130005</t>
  </si>
  <si>
    <t>Ukončení vodič izolovaný do 10 mm2 v rozváděči nebo na přístroji</t>
  </si>
  <si>
    <t>741130008</t>
  </si>
  <si>
    <t>Ukončení vodič izolovaný do 35 mm2 v rozváděči nebo na přístroji</t>
  </si>
  <si>
    <t>741130012</t>
  </si>
  <si>
    <t>Ukončení vodič izolovaný do 70 mm2 v rozváděči nebo na přístroji</t>
  </si>
  <si>
    <t>741130014</t>
  </si>
  <si>
    <t>Ukončení vodič izolovaný do 120 mm2 v rozváděči nebo na přístroji</t>
  </si>
  <si>
    <t>741122641</t>
  </si>
  <si>
    <t>Montáž kabel Cu plný kulatý žíla 5x1,5 až 2,5 mm2 uložený pevně (např. CYKY)</t>
  </si>
  <si>
    <t>34111090</t>
  </si>
  <si>
    <t>kabel silový s Cu jádrem 1kV 5x1,5mm2 (CYKY)</t>
  </si>
  <si>
    <t>10510*1,3 'Přepočtené koeficientem množství</t>
  </si>
  <si>
    <t>34111094</t>
  </si>
  <si>
    <t>kabel silový s Cu jádrem 1kV 5x2,5mm2 (CYKY)</t>
  </si>
  <si>
    <t>2250*1,3 'Přepočtené koeficientem množství</t>
  </si>
  <si>
    <t>741122011</t>
  </si>
  <si>
    <t>34111030</t>
  </si>
  <si>
    <t>kabel silový s Cu jádrem 1kV 3x1,5mm2 (CYKY)</t>
  </si>
  <si>
    <t>17700*1,2 'Přepočtené koeficientem množství</t>
  </si>
  <si>
    <t>34111036</t>
  </si>
  <si>
    <t>kabel silový s Cu jádrem 1kV 3x2,5mm2 (CYKY)</t>
  </si>
  <si>
    <t>26490*1,2 'Přepočtené koeficientem množství</t>
  </si>
  <si>
    <t>741122032</t>
  </si>
  <si>
    <t>Montáž kabel Cu bez ukončení uložený pod omítku plný kulatý 5x4 až 6 mm2 (např. CYKY)</t>
  </si>
  <si>
    <t>34111098</t>
  </si>
  <si>
    <t>kabel silový s Cu jádrem 1kV 5x4mm2 (CYKY)</t>
  </si>
  <si>
    <t>320*1,2 'Přepočtené koeficientem množství</t>
  </si>
  <si>
    <t>741122033</t>
  </si>
  <si>
    <t>Montáž kabel Cu bez ukončení uložený pod omítku plný kulatý 5x10 mm2 (např. CYKY)</t>
  </si>
  <si>
    <t>34111076</t>
  </si>
  <si>
    <t>kabel silový s Cu jádrem 1kV 5x10mm2 (CYKY)</t>
  </si>
  <si>
    <t>1200*1,3 'Přepočtené koeficientem množství</t>
  </si>
  <si>
    <t>741122625</t>
  </si>
  <si>
    <t>Montáž kabel Cu plný kulatý žíla 5x35 mm2 uložený pevně (např. CYKY)</t>
  </si>
  <si>
    <t>34111620</t>
  </si>
  <si>
    <t>kabel silový s Cu jádrem 1kV 5x35mm2 (1-CYKY)</t>
  </si>
  <si>
    <t>50*1,2 'Přepočtené koeficientem množství</t>
  </si>
  <si>
    <t>741122625-1</t>
  </si>
  <si>
    <t>Montáž kabel Cu plný kulatý žíla 4x35 mm2 uložený pevně (např. CYKY)</t>
  </si>
  <si>
    <t>34111620-1</t>
  </si>
  <si>
    <t>kabel silový s Cu jádrem 1kV 4x35mm2 (1-CYKY)</t>
  </si>
  <si>
    <t>300*1,2 'Přepočtené koeficientem množství</t>
  </si>
  <si>
    <t>741122631</t>
  </si>
  <si>
    <t>Montáž kabel Cu plný kulatý žíla 5x25 mm2 uložený pevně (např. CYKY)</t>
  </si>
  <si>
    <t>34111610</t>
  </si>
  <si>
    <t>kabel silový s Cu jádrem 1kV 5x25mm2 (1-CYKY)</t>
  </si>
  <si>
    <t>741122644</t>
  </si>
  <si>
    <t>Montáž kabel Cu plný kulatý žíla 5x16 mm2 uložený pevně (např. CYKY)</t>
  </si>
  <si>
    <t>260*1,3 'Přepočtené koeficientem množství</t>
  </si>
  <si>
    <t>34111080</t>
  </si>
  <si>
    <t>kabel silový s Cu jádrem 1kV 5x16mm2 (CYKY)</t>
  </si>
  <si>
    <t>741124601</t>
  </si>
  <si>
    <t>Montáž kabel Cu topný volné délky uložený do podlahy nebo stěny</t>
  </si>
  <si>
    <t>top2</t>
  </si>
  <si>
    <t>Topný kabel do rampy</t>
  </si>
  <si>
    <t>1200*1,2 'Přepočtené koeficientem množství</t>
  </si>
  <si>
    <t>top3</t>
  </si>
  <si>
    <t>Čidla do rampy + regulace</t>
  </si>
  <si>
    <t>741124603</t>
  </si>
  <si>
    <t>Montáž kabel Cu topný volné délky uložený na konstrukci</t>
  </si>
  <si>
    <t>top1</t>
  </si>
  <si>
    <t>Topný kabel samoregulační pro otápění potrubí 30W/m</t>
  </si>
  <si>
    <t>741124733</t>
  </si>
  <si>
    <t>Montáž kabel Cu stíněný ovládací žíly 2 až 19x1 mm2 uložený pevně (např. JYTY)</t>
  </si>
  <si>
    <t>kab1</t>
  </si>
  <si>
    <t>Kabel JYTY 7x1</t>
  </si>
  <si>
    <t>4200*1,2 'Přepočtené koeficientem množství</t>
  </si>
  <si>
    <t>Ulož</t>
  </si>
  <si>
    <t>Úložný systém</t>
  </si>
  <si>
    <t>741910413</t>
  </si>
  <si>
    <t>Montáž žlab kovový šířky do 125 mm bez víka</t>
  </si>
  <si>
    <t>34575493</t>
  </si>
  <si>
    <t>žlab kabelový pozinkovaný 2m/ks 100X125</t>
  </si>
  <si>
    <t>741910303</t>
  </si>
  <si>
    <t>Montáž rošt a lávka typová se stojinou,výložníky a odbočkami pozinkovaná - stoupačka</t>
  </si>
  <si>
    <t>lávka</t>
  </si>
  <si>
    <t>Kabelová lávka 500x60</t>
  </si>
  <si>
    <t>741910611</t>
  </si>
  <si>
    <t>Montáž příchytka kovová pro kabelové lávky a žebříky kabel D do 40 mm</t>
  </si>
  <si>
    <t>přích</t>
  </si>
  <si>
    <t>příchytka kabelu na Lávku</t>
  </si>
  <si>
    <t>741110042</t>
  </si>
  <si>
    <t>Montáž trubka plastová ohebná D přes 23 do 35 mm uložená pevně</t>
  </si>
  <si>
    <t>34571065</t>
  </si>
  <si>
    <t>trubka elektroinstalační ohebná z PVC (ČSN) 2336</t>
  </si>
  <si>
    <t>34571073</t>
  </si>
  <si>
    <t>trubka elektroinstalační ohebná z PVC (EN) 2325</t>
  </si>
  <si>
    <t>OST</t>
  </si>
  <si>
    <t>HZS4211</t>
  </si>
  <si>
    <t>Hodinová zúčtovací sazba revizní technik</t>
  </si>
  <si>
    <t>HZS4232</t>
  </si>
  <si>
    <t>Hodinová zúčtovací sazba technik odborný</t>
  </si>
  <si>
    <t>Pol337</t>
  </si>
  <si>
    <t>Ostatní nespecifikovaný drobný montážní a upevňovací materiál</t>
  </si>
  <si>
    <t>MECH</t>
  </si>
  <si>
    <t>Mechanizační prostředky</t>
  </si>
  <si>
    <t>741810003</t>
  </si>
  <si>
    <t>Celková prohlídka elektrického rozvodu a zařízení do 1 milionu Kč</t>
  </si>
  <si>
    <t>741810011</t>
  </si>
  <si>
    <t>Příplatek k celkové prohlídce za každých dalších 500 000,- Kč</t>
  </si>
  <si>
    <t>OST2</t>
  </si>
  <si>
    <t>OST3</t>
  </si>
  <si>
    <t>Zaškolení obsluhy</t>
  </si>
  <si>
    <t>OST4</t>
  </si>
  <si>
    <t>Stavební přípomoci</t>
  </si>
  <si>
    <t>OST5</t>
  </si>
  <si>
    <t>Úklid pracoviště, pomocné lešení, mechanizace</t>
  </si>
  <si>
    <t>pro cely dům</t>
  </si>
  <si>
    <t>Montáž kabel Cu bez ukončení uložený pod omítku plný kulatý 3x1,5 až 2,5 mm2 (např. CYKY)</t>
  </si>
  <si>
    <t>Vysekání rýh pro montáž trubek a kabelů v kamenných nebo betonových zdech hloubky přes 3 do 5 cm a šířky do 5 cm</t>
  </si>
  <si>
    <t>468101121</t>
  </si>
  <si>
    <t>RMAT0042</t>
  </si>
  <si>
    <t>zásuvka kompletní 16A/230V IP44</t>
  </si>
  <si>
    <t>741313008</t>
  </si>
  <si>
    <t>Montáž zásuvek domovních se zapojením vodičů bezšroubové připojení nástěnných nebo do parapetních kanálů 2x (2P + PE) dvojnásobná</t>
  </si>
  <si>
    <t>VZT - 230V, 1-ot., doběhové relé, připojení  a odzkoušení</t>
  </si>
  <si>
    <t>VZT - rekuperace, vývody 230V, tlačítka/boost - příprava</t>
  </si>
  <si>
    <t>Ústředna RWA - napájení, přívod 230V</t>
  </si>
  <si>
    <t>Příprava pro kuchyňské linky</t>
  </si>
  <si>
    <t>Vývod pro rozvaděč SLP</t>
  </si>
  <si>
    <t>Vývod pro rolety (volný konec kabelu v kaslíku s rez. 1,5m)</t>
  </si>
  <si>
    <t>ZTI - vyhřívané vpusti - připojení a odzkoušení</t>
  </si>
  <si>
    <t>UT - vývod 230V pro rozdělovače podlahového topení</t>
  </si>
  <si>
    <t xml:space="preserve">EZS - vývod 230V </t>
  </si>
  <si>
    <t>ZTI/AZS - příprava, vývod 230V, propojení do šachty</t>
  </si>
  <si>
    <t xml:space="preserve">Chlazení bytů - 230V </t>
  </si>
  <si>
    <t>RS - Rozváděč pro společné prostory nástěnný včetně požárních dveří (RS-D)</t>
  </si>
  <si>
    <t>Rozvaděč podohrev vody RV</t>
  </si>
  <si>
    <t>34535054</t>
  </si>
  <si>
    <t>spínač nástěnný jednopólový, řazení 1, IP54, šroubové svorky</t>
  </si>
  <si>
    <t>04</t>
  </si>
  <si>
    <t>ZDRAVOTECHNIKA</t>
  </si>
  <si>
    <t>D1</t>
  </si>
  <si>
    <t>Zařizovací předměty</t>
  </si>
  <si>
    <t>Pol001</t>
  </si>
  <si>
    <t>D-dřez kuchyňský,nerezový +baterie dřezová,stojánková + sifon + příslušenství</t>
  </si>
  <si>
    <t>Pol119</t>
  </si>
  <si>
    <t>U-umyvadlo keramické, Laufen Pro S+ baterie stojánková+ sifon, Laufen+umyvadlová výpusť + příslušenství</t>
  </si>
  <si>
    <t>Pol120</t>
  </si>
  <si>
    <t>Um-umývátko keramické, Laufen Pro S+ baterie stojánková+ sifon, Laufen+umyvadlová výpusť + příslušenství</t>
  </si>
  <si>
    <t>Pol121</t>
  </si>
  <si>
    <t>WC-závěsný keramický záchod, Laufen Pro S, montážní prvek geberit (geberit zahrnut viz kanalizace D1.410) se splachovací nádržkou, ovládací tlačítko, sedátko s poklopem + příslušenství</t>
  </si>
  <si>
    <t>Pol122</t>
  </si>
  <si>
    <t>V-vana 800x1700 mm, Laufen Pro, nástěnná páková baterie pro vany - Hansgrohe Talis E, sifon - Laufen, vypoustěcí a přepadová souprava, kontrolní dvířka + příslušenství</t>
  </si>
  <si>
    <t>Pol123</t>
  </si>
  <si>
    <t>V2-vana 700/1600 mm, Laufen Pro, nástěnná páková baterie pro vany- Hansgrohe Talis E, sifon - Laufen, vypoustěcí a přepadová souprava, kontrolní dvířka + příslušenství</t>
  </si>
  <si>
    <t>Pol124</t>
  </si>
  <si>
    <t>V3-800x1700 mm, Laufen Pro, nástěnná páková baterie pro vany- Hansgrohe Talis E, sifon - Laufen, vypoustěcí a přepadová souprava, kontrolní dvířka + příslušenství</t>
  </si>
  <si>
    <t>Pol125</t>
  </si>
  <si>
    <t>S1-sprchová vanička 800x1350mm, Laufen Pro, nástěnná páková baterie pro sprchy s ruční sprchou- Hansgrohe Talis E+ příslušenství,sprchová stěna,  odpadová souprava se sifónem, Laufen + příslušenství</t>
  </si>
  <si>
    <t>Pol126</t>
  </si>
  <si>
    <t>S2- sprchová vanička 800x960 mm, Laufen Pro, nástěnná páková baterie pro sprchy s ruční sprchou- Hansgrohe Talis E+ příslušenství,sprchová stěna,  odpadová souprava se sifónem, Laufen + příslušenství</t>
  </si>
  <si>
    <t>Pol127</t>
  </si>
  <si>
    <t>S3-sprchová vanička 800x1000 mm, Laufen Pro, nástěnná páková baterie pro sprchy s ruční sprchou- Hansgrohe Talis E+ příslušenství,sprchová stěna,  odpadová souprava se sifónem, Laufen + příslušenství</t>
  </si>
  <si>
    <t>Pol128</t>
  </si>
  <si>
    <t>S4-sprchová vanička 900x900 mm, Laufen Pro, nástěnná páková baterie pro sprchy s ruční sprchou- Hansgrohe Talis E+ příslušenství,sprchová stěna,  odpadová souprava se sifónem, Laufen + příslušenství</t>
  </si>
  <si>
    <t>Pol129</t>
  </si>
  <si>
    <t>S5-sprchová vanička 800x900 mm, Laufen Pro, nástěnná páková baterie pro sprchy s ruční sprchou- Hansgrohe Talis E+ příslušenství,sprchová stěna,  odpadová souprava se sifónem, Laufen + příslušenství</t>
  </si>
  <si>
    <t>Pol130</t>
  </si>
  <si>
    <t>S6-sprchová vanička 800/1600 mm, Laufen Pro, nástěnná páková baterie pro sprchy s ruční sprchou- Hansgrohe Talis E+ příslušenství,sprchová stěna,  odpadová souprava se sifónem, Laufen + příslušenství</t>
  </si>
  <si>
    <t>Pol131</t>
  </si>
  <si>
    <t>VL-výlevka, nástěnná baterie + příslušenství</t>
  </si>
  <si>
    <t>Pol132</t>
  </si>
  <si>
    <t>H19-vnitřní hydrant, tvarově stálá hadice 30m-DN19</t>
  </si>
  <si>
    <t>Pol133</t>
  </si>
  <si>
    <t>H25-vnitřní hydrant,  tvarově stálá hadice 30m-DN19</t>
  </si>
  <si>
    <t>Pol134</t>
  </si>
  <si>
    <t>AP-automatická pračka (*napojení viz. výkaz vodovodu/kanalizace)</t>
  </si>
  <si>
    <t>Pol135</t>
  </si>
  <si>
    <t>M-myčka nádobí (*napojení viz. výkaz vodovodu/kanalizace)</t>
  </si>
  <si>
    <t>Pol136</t>
  </si>
  <si>
    <t>ZV- zahradní ventil (*zahrnuto ve VV vodovod)</t>
  </si>
  <si>
    <t>HWAT systém</t>
  </si>
  <si>
    <t>Pol137</t>
  </si>
  <si>
    <t>Hlavní páteřní rozvod + stoupací potrubí na objektu A</t>
  </si>
  <si>
    <t>P</t>
  </si>
  <si>
    <t>Poznámka k položce:_x000D_
Samoregulační topný kabel HWAT R (12W/m při 70°C)_x000D_
Napojovací a zakončovací sada CE25-01 (kabel / krabice)_x000D_
Svorkovnicová instalační krabice JB16-02_x000D_
Instalační konzole JB-SB-08_x000D_
Hliníková samolepící páska ATE-180 bal.55m_x000D_
Fixační sklotextilní páska GT-66 bal. 20m_x000D_
Kompletní rozvaděč SBS-R-HWAT-3X20A pro max. 3 okruhy vč. řídící jednotky_x000D_
Výstražné štítky ETL-CZ</t>
  </si>
  <si>
    <t>Pol138</t>
  </si>
  <si>
    <t>Hlavní páteřní rozvod + stoupací potrubí na objektu B</t>
  </si>
  <si>
    <t>Pol139</t>
  </si>
  <si>
    <t>Hlavní páteřní rozvod + stoupací potrubí na objektu C</t>
  </si>
  <si>
    <t>Poznámka k položce:_x000D_
Samoregulační topný kabel HWAT R (12W/m při 70°C)_x000D_
Napojovací a zakončovací sada CE25-01 (kabel / krabice)_x000D_
Rozbočovací souprava RAYCLIC-T-02_x000D_
Svorkovnicová instalační krabice JB16-02_x000D_
Instalační konzole JB-SB-08_x000D_
Hliníková samolepící páska ATE-180 bal.55m_x000D_
Fixační sklotextilní páska GT-66 bal. 20m_x000D_
Kompletní rozvaděč SBS-R-HWAT-3X16A pro max. 3 okruhy vč. řídící jednotky_x000D_
Výstražné štítky ETL-CZ</t>
  </si>
  <si>
    <t>23</t>
  </si>
  <si>
    <t>Pol140</t>
  </si>
  <si>
    <t>Hlavní páteřní rozvod + stoupací potrubí na objektu D</t>
  </si>
  <si>
    <t>Poznámka k položce:_x000D_
Samoregulační topný kabel HWAT R (12W/m při 70°C)_x000D_
Napojovací a zakončovací sada CE25-01 (kabel / krabice)_x000D_
Rozbočovací souprava RAYCLIC-T-02_x000D_
Svorkovnicová instalační krabice JB16-02_x000D_
Instalační konzole JB-SB-08_x000D_
Hliníková samolepící páska ATE-180 bal.55m_x000D_
Fixační sklotextilní páska GT-66 bal. 20m_x000D_
Kompletní rozvaděč SBS-R-HWAT-3X20A pro max. 3 okruhy vč. řídící jednotky_x000D_
Výstražné štítky ETL-CZ</t>
  </si>
  <si>
    <t>24</t>
  </si>
  <si>
    <t>Pol141</t>
  </si>
  <si>
    <t>Poznámka k položce:_x000D_
Montáž topného systému, instalace kabelů, osazení rozvaděčů Raychem, zprovoznění a zaškolení_x000D_
Technická dokumentace_x000D_
Ostatní pomocný materiál_x000D_
Doprava</t>
  </si>
  <si>
    <t>25</t>
  </si>
  <si>
    <t>Potrubí vodovodní z plastových trub - Ø20, PEX-PN10-pro pitnou vodu  (včetně fitinek, úchytů, podchytávek, vodorovných a svislých závěsů, pružných pryžových objímek, kompenzátorů, protipožárních ucpávek/manžet, prostupů a drážek)</t>
  </si>
  <si>
    <t>26</t>
  </si>
  <si>
    <t>Potrubí vodovodní z plastových trub - Ø25, PEX-PN10-pro pitnou vodu  (včetně fitinek, úchytů, podchytávek, vodorovných a svislých závěsů, pružných pryžových objímek, kompenzátorů, protipožárních ucpávek/manžet, prostupů a drážek)</t>
  </si>
  <si>
    <t>27</t>
  </si>
  <si>
    <t>Potrubí vodovodní z plastových trub - Ø32, PEX-PN10-pro pitnou vodu  (včetně fitinek, úchytů, podchytávek, vodorovných a svislých závěsů, pružných pryžových objímek, kompenzátorů, protipožárních ucpávek/manžet, prostupů a drážek</t>
  </si>
  <si>
    <t>28</t>
  </si>
  <si>
    <t>Potrubí vodovodní z plastových trub - Ø40, PEX-PN10-pro pitnou vodu  (včetně fitinek, úchytů, podchytávek, vodorovných a svislých závěsů, pružných pryžových objímek, kompenzátorů, protipožárních ucpávek/manžet, prostupů a drážek</t>
  </si>
  <si>
    <t>29</t>
  </si>
  <si>
    <t>Potrubí vodovodní z plastových trub - Ø50,PEX-PN10-pro pitnou vodu  (včetně fitinek, úchytů, podchytávek, vodorovných a svislých závěsů, pružných pryžových objímek, kompenzátorů, protipožárních ucpávek/manžet, prostupů a drážek</t>
  </si>
  <si>
    <t>30</t>
  </si>
  <si>
    <t>Potrubí vodovodní z plastových trub - Ø63,PEX-PN10-pro pitnou vodu  (včetně fitinek, úchytů, podchytávek, vodorovných a svislých závěsů, pružných pryžových objímek, kompenzátorů, protipožárních ucpávek/manžet, prostupů a drážek</t>
  </si>
  <si>
    <t>31</t>
  </si>
  <si>
    <t>Ocel pozinkovaná DN25</t>
  </si>
  <si>
    <t>32</t>
  </si>
  <si>
    <t>Ocel pozinkovaná DN32</t>
  </si>
  <si>
    <t>33</t>
  </si>
  <si>
    <t>Ocel pozinkovaná DN40</t>
  </si>
  <si>
    <t>34</t>
  </si>
  <si>
    <t>Ocel pozinkovaná DN50</t>
  </si>
  <si>
    <t>35</t>
  </si>
  <si>
    <t>PEHD 10, SDR11, 63x5,8mm (včetně zemních prací a stavebních přípomocí)</t>
  </si>
  <si>
    <t>36</t>
  </si>
  <si>
    <t>Tepelná izolace potrubí z pěnového PE tl. 9 mm Ø20</t>
  </si>
  <si>
    <t>37</t>
  </si>
  <si>
    <t>Tepelná izolace potrubí z pěnového PE tl. 9 mm Ø25</t>
  </si>
  <si>
    <t>38</t>
  </si>
  <si>
    <t>Tepelná izolace potrubí z pěnového PE tl. 9 mm Ø32</t>
  </si>
  <si>
    <t>39</t>
  </si>
  <si>
    <t>Tepelná izolace potrubí na SV tl.20 mm Ø20-Mirelon</t>
  </si>
  <si>
    <t>40</t>
  </si>
  <si>
    <t>Tepelná izolace potrubí na SV tl.20 mm Ø25-Mirelon</t>
  </si>
  <si>
    <t>41</t>
  </si>
  <si>
    <t>Tepelná izolace potrubí na SV tl.20 mm Ø32-Mirelon</t>
  </si>
  <si>
    <t>42</t>
  </si>
  <si>
    <t>Tepelná izolace potrubí na SV tl.20 mm Ø40-Mirelon</t>
  </si>
  <si>
    <t>43</t>
  </si>
  <si>
    <t>Tepelná izolace potrubí na SV tl.20 mm Ø50-Mirelon</t>
  </si>
  <si>
    <t>44</t>
  </si>
  <si>
    <t>Tepelná izolace potrubí na SV tl.20 mm Ø63-Mirelon</t>
  </si>
  <si>
    <t>45</t>
  </si>
  <si>
    <t>Tepelná izolace potrubí na TV tl.40 mm Ø20-Rockwool</t>
  </si>
  <si>
    <t>46</t>
  </si>
  <si>
    <t>Tepelná izolace potrubí na TV tl.40 mm Ø25-Rockwool</t>
  </si>
  <si>
    <t>47</t>
  </si>
  <si>
    <t>Tepelná izolace potrubí na TV tl.50 mm Ø32-Rockwool</t>
  </si>
  <si>
    <t>48</t>
  </si>
  <si>
    <t>Tepelná izolace potrubí na TV tl.60mm Ø40-Rockwool</t>
  </si>
  <si>
    <t>49</t>
  </si>
  <si>
    <t>Tepelná izolace potrubí na TV tl.50 mm Ø50-Rockwool</t>
  </si>
  <si>
    <t>50</t>
  </si>
  <si>
    <t>Tepelná izolace potrubí na TV tl.70 mm Ø63-Rockwool</t>
  </si>
  <si>
    <t>51</t>
  </si>
  <si>
    <t>Tepelná izolace 9mm na požárním potrubí DN25-Mirelon</t>
  </si>
  <si>
    <t>52</t>
  </si>
  <si>
    <t>Tepelná izolace 9mm na požárním potrubí DN32-Mirelon</t>
  </si>
  <si>
    <t>53</t>
  </si>
  <si>
    <t>Tepelná izolace 9mm na požárním potrubí DN40-Mirelon</t>
  </si>
  <si>
    <t>54</t>
  </si>
  <si>
    <t>Tepelná izolace 9mm na požárním potrubí DN50-Mirelon</t>
  </si>
  <si>
    <t>55</t>
  </si>
  <si>
    <t>Podružný vodoměr s dálkovým odečtem DN15</t>
  </si>
  <si>
    <t>56</t>
  </si>
  <si>
    <t>Rohový ventil DN15</t>
  </si>
  <si>
    <t>57</t>
  </si>
  <si>
    <t>Kulový kohout DN15</t>
  </si>
  <si>
    <t>58</t>
  </si>
  <si>
    <t>Kulový kohout DN20</t>
  </si>
  <si>
    <t>59</t>
  </si>
  <si>
    <t>Kulový kohout DN25</t>
  </si>
  <si>
    <t>60</t>
  </si>
  <si>
    <t>Výtokový ventil pračkový se zpětnou klapkou a přivzdušněním (pro pračku a myčku)</t>
  </si>
  <si>
    <t>61</t>
  </si>
  <si>
    <t>Pol91</t>
  </si>
  <si>
    <t>Zahradní, nezámrzný ventil DN15, se ZK a přivzdušněním</t>
  </si>
  <si>
    <t>62</t>
  </si>
  <si>
    <t>Pol92</t>
  </si>
  <si>
    <t>Revizní dvířka pro zahradní ventil</t>
  </si>
  <si>
    <t>63</t>
  </si>
  <si>
    <t>Pol93</t>
  </si>
  <si>
    <t>Zpětná armatura typu EA</t>
  </si>
  <si>
    <t>64</t>
  </si>
  <si>
    <t>Pol94</t>
  </si>
  <si>
    <t>Uzavírací ventil s odvodněním DN15</t>
  </si>
  <si>
    <t>65</t>
  </si>
  <si>
    <t>Pol95</t>
  </si>
  <si>
    <t>Uzavírací ventil s odvodněním DN20</t>
  </si>
  <si>
    <t>66</t>
  </si>
  <si>
    <t>Pol96</t>
  </si>
  <si>
    <t>Uzavírací ventil s odvodněním DN25</t>
  </si>
  <si>
    <t>67</t>
  </si>
  <si>
    <t>Pol97</t>
  </si>
  <si>
    <t>Uzavírací ventil s odvodněním DN32</t>
  </si>
  <si>
    <t>68</t>
  </si>
  <si>
    <t>Pol98</t>
  </si>
  <si>
    <t>Uzavírací ventil s odvodněním DN40</t>
  </si>
  <si>
    <t>69</t>
  </si>
  <si>
    <t>Pol99</t>
  </si>
  <si>
    <t>Uzavírací ventil s odvodněním DN50</t>
  </si>
  <si>
    <t>70</t>
  </si>
  <si>
    <t>Pol100</t>
  </si>
  <si>
    <t>Uzavírací ventil DN25</t>
  </si>
  <si>
    <t>71</t>
  </si>
  <si>
    <t>Pol101</t>
  </si>
  <si>
    <t>Uzavírací ventil DN32</t>
  </si>
  <si>
    <t>72</t>
  </si>
  <si>
    <t>Pol102</t>
  </si>
  <si>
    <t>Uzavírací ventil DN50</t>
  </si>
  <si>
    <t>73</t>
  </si>
  <si>
    <t>Pol103</t>
  </si>
  <si>
    <t>Filtr DN50 s automatickým proplachem</t>
  </si>
  <si>
    <t>74</t>
  </si>
  <si>
    <t>Pol104</t>
  </si>
  <si>
    <t>Redukční ventil DN50</t>
  </si>
  <si>
    <t>75</t>
  </si>
  <si>
    <t>Pol105</t>
  </si>
  <si>
    <t>Zpětná armatura typu-DN50</t>
  </si>
  <si>
    <t>76</t>
  </si>
  <si>
    <t>Pol106</t>
  </si>
  <si>
    <t>Vzorkovací armatura DN15</t>
  </si>
  <si>
    <t>77</t>
  </si>
  <si>
    <t>Pol107</t>
  </si>
  <si>
    <t>Podružný vodoměr s dálkovým odečtem pro TV DN32, Q4=10m3/hod</t>
  </si>
  <si>
    <t>78</t>
  </si>
  <si>
    <t>Pol108</t>
  </si>
  <si>
    <t>Tlakoměr</t>
  </si>
  <si>
    <t>79</t>
  </si>
  <si>
    <t>80</t>
  </si>
  <si>
    <t>Pojistný ventil DN20,tlak 6bar</t>
  </si>
  <si>
    <t>81</t>
  </si>
  <si>
    <t>Expanzní nádoba -REFLEX Refix 300</t>
  </si>
  <si>
    <t>82</t>
  </si>
  <si>
    <t>Teploměr</t>
  </si>
  <si>
    <t>83</t>
  </si>
  <si>
    <t>Pol113</t>
  </si>
  <si>
    <t>Zpětná klapka DN15 (***VYTÁPĚNÍ)</t>
  </si>
  <si>
    <t>84</t>
  </si>
  <si>
    <t>Výtokový ventil DN15</t>
  </si>
  <si>
    <t>85</t>
  </si>
  <si>
    <t>Pol115</t>
  </si>
  <si>
    <t>Požární prostup do D50</t>
  </si>
  <si>
    <t>86</t>
  </si>
  <si>
    <t>Pol116</t>
  </si>
  <si>
    <t>Požární prostup nad D50</t>
  </si>
  <si>
    <t>87</t>
  </si>
  <si>
    <t>Pol117</t>
  </si>
  <si>
    <t>Tlaková zkouška, proplach a desinfekce potrubí</t>
  </si>
  <si>
    <t>Vývod pro HWAT-R</t>
  </si>
  <si>
    <t>Vyvod pro zapojeni filtru z proplachem</t>
  </si>
  <si>
    <t>Modul dálkového odečtu</t>
  </si>
  <si>
    <t>Kulový kohout k vodoměru DN15</t>
  </si>
  <si>
    <t>Kulový kohout DN50 s vypouštěním</t>
  </si>
  <si>
    <t>Zásobník TV 750 l</t>
  </si>
  <si>
    <t>Potrubí požární DN32–DN50</t>
  </si>
  <si>
    <t>Rozvaděč HWAT (SBS-R-HWAT)</t>
  </si>
  <si>
    <t>OBJEKT D</t>
  </si>
  <si>
    <t>Venkovní jednotky chlazení, příslušenství - DAIKIN</t>
  </si>
  <si>
    <t>Dodávka - Venkovní kondenzační jednotka DAIKIN RXYQ20U; chladící/topný výkon 52,0/45,3 kW</t>
  </si>
  <si>
    <t>Montáž poz.1.1</t>
  </si>
  <si>
    <t>Vnitřní jednotky chlazení, příslušenství - DAIKIN</t>
  </si>
  <si>
    <t>Dodávka - Nástěnná jednotka DAIKIN PERFERA, Qchl=2,5kW, Qtop=2,8kW, Daikin FTXM25R</t>
  </si>
  <si>
    <t>Montáž poz.2.1</t>
  </si>
  <si>
    <t>Dodávka - Nástěnná jednotka DAIKIN PERFERA, Qchl=2,0kW, Qtop=2,5kW, Daikin FTXM20R</t>
  </si>
  <si>
    <t>Montáž poz.2.2</t>
  </si>
  <si>
    <t>Dodávka - Třiportový BS box pro VRV IV DAIKIN BPMKS967A3</t>
  </si>
  <si>
    <t>Montáž poz.2.3</t>
  </si>
  <si>
    <t>Dodávka - Dvouportový BS box pro VRV IV DAIKIN BPMKS967A2</t>
  </si>
  <si>
    <t>Montáž poz.2.4</t>
  </si>
  <si>
    <t>Dodávka - Rozbočovač potrubí - refnet DAIKIN KHRQ22M20T</t>
  </si>
  <si>
    <t>Montáž poz.2.5</t>
  </si>
  <si>
    <t>Dodávka - Rozbočovač potrubí - refnet DAIKIN KHRQ22M64T</t>
  </si>
  <si>
    <t>Montáž poz.2.6</t>
  </si>
  <si>
    <t>Dodávka - Rozbočovač potrubí - refnet DAIKIN KHRQ22M29T9</t>
  </si>
  <si>
    <t>Montáž poz.2.7</t>
  </si>
  <si>
    <t>Potrubí pro chladivo včetně izolaci tepelná vodivost max 0,038W/mK R410A</t>
  </si>
  <si>
    <t>Dodávka - Cu potrubí Ø6,4mm</t>
  </si>
  <si>
    <t>Dodávka - Cu potrubí Ø9,5mm</t>
  </si>
  <si>
    <t>Dodávka - Cu potrubí Ø12,7mm</t>
  </si>
  <si>
    <t>Dodávka - Cu potrubí Ø15,88mm</t>
  </si>
  <si>
    <t>Dodávka - Cu potrubí Ø19,1mm</t>
  </si>
  <si>
    <t>Dodávka - Cu potrubí Ø22,2mm</t>
  </si>
  <si>
    <t>Dodávka - Cu potrubí Ø25,4mm</t>
  </si>
  <si>
    <t>Dodávka - Cu potrubí Ø31,8mm</t>
  </si>
  <si>
    <t>Montáž poz.2.8</t>
  </si>
  <si>
    <t>Pomocný a montážní materiál</t>
  </si>
  <si>
    <t>Montážní materiál na zhotovení závěsů, spojovací a těsnící materiál, podkladová rýhovaná guma pod jednotky a na závěsy vč. značení a popisků.</t>
  </si>
  <si>
    <t>Montáž poz.3.1</t>
  </si>
  <si>
    <t>Chladivo R410a (přesné množství upřesněno v průběhu realizace)</t>
  </si>
  <si>
    <t>Montáž poz.3.2</t>
  </si>
  <si>
    <t>Práce nutné pro kompletaci díla</t>
  </si>
  <si>
    <t>Dodávka, individuální zkoušky, školení obsluhy, komplexní zkoušky, uvedení do provozu ( oživení zařízení)</t>
  </si>
  <si>
    <t>Prostupy a drážky ve zdivu + jejich opětovné zapravení, do DN100</t>
  </si>
  <si>
    <t>✔ Technická zpráva chlazení NEpožaduje drážky ve zdivu.
✔ Potrubí VRV má být vedeno v podhledech nebo v instalačních šachtách.</t>
  </si>
  <si>
    <t>Likvidace odpadového materiálu</t>
  </si>
  <si>
    <t>Lešení případně plošiny pro montáž potrubí ve výškách</t>
  </si>
  <si>
    <t>ve vykresach FTXM25N</t>
  </si>
  <si>
    <t>ve vykresach чертежах FTXM20N</t>
  </si>
  <si>
    <t>1_PP</t>
  </si>
  <si>
    <t>1_NP</t>
  </si>
  <si>
    <t>2_NP</t>
  </si>
  <si>
    <t>3_NP</t>
  </si>
  <si>
    <t>D530</t>
  </si>
  <si>
    <t>DODÁVKY A MONTÁŽE ZAŘÍZENÍ ÚT</t>
  </si>
  <si>
    <t>1.  Zdroj tepla (ZT)</t>
  </si>
  <si>
    <t>Pol250</t>
  </si>
  <si>
    <t>VIESSMANN VITODENS 200-W, P=12-98 kW (80/60°C), verze se 2 kotly</t>
  </si>
  <si>
    <t>Poznámka k položce:</t>
  </si>
  <si>
    <t>Plynový závěsný kondenzační kotel VITODENS 200-W, P=10,9-45 kW (80/60°C), PN 4 bary, 1,2-4,8 m3 ZP/h, 230 V, 62 W</t>
  </si>
  <si>
    <t>Vitotronic 100 HC1B obslužná jednotka</t>
  </si>
  <si>
    <t>Vitotronic 300-K MW2B</t>
  </si>
  <si>
    <t>Kaskádovy modul</t>
  </si>
  <si>
    <t>Připojovací sada topného okruhu vč. oběhového čerpadla 230 V, 8-140 W; bočného krytu pro připojovací sadu</t>
  </si>
  <si>
    <t>Plynový uzavírací kohout 3/4 s TAE</t>
  </si>
  <si>
    <t>Držák na stěnu 2-kotl. zař.; stěn. konzole pro Vitotronic</t>
  </si>
  <si>
    <t xml:space="preserve">Příslušenství: </t>
  </si>
  <si>
    <t>Pol251</t>
  </si>
  <si>
    <t>Hydraulická výhybka DN 80, PN 6, dod. Viessmann</t>
  </si>
  <si>
    <t>Pol252</t>
  </si>
  <si>
    <t>Plynový filtr Rp 3/4</t>
  </si>
  <si>
    <t>Pol253</t>
  </si>
  <si>
    <t>Rozšíření pro 2.+3. TO MW2B</t>
  </si>
  <si>
    <t>Pol254</t>
  </si>
  <si>
    <t>Čidlo výstupní teploty NTC Nr.2 l=5800</t>
  </si>
  <si>
    <t>Pol255</t>
  </si>
  <si>
    <t>Vitodens 200-W spal. kaskáda 2x49/60 kW</t>
  </si>
  <si>
    <t>Pol256</t>
  </si>
  <si>
    <t>Pojistná skupina podle ČSN 73 66 60</t>
  </si>
  <si>
    <t>Pol257</t>
  </si>
  <si>
    <t>Vitotronic 200-H, HK1B</t>
  </si>
  <si>
    <t>Pol258</t>
  </si>
  <si>
    <t>2x komunikační modul LON, vč. spoj. kabel, zakončovací odpor (2ks), konektor č. "20" a "52" (3ks)</t>
  </si>
  <si>
    <t>Poznámka: Viz nabídka firmy Viessmann č. 9720116052 z 8.10.2021</t>
  </si>
  <si>
    <t>Pol259</t>
  </si>
  <si>
    <t>Odkouření kotle a přívod spalovacího vzduchu ke kotli - plastový spalinový systém :</t>
  </si>
  <si>
    <t>Společný koax. kouřovod  Ø225/160 mm veden svisle v instal. šachtě (výška cca 17 m)</t>
  </si>
  <si>
    <t>2x přípojky od kotlů Ø125/80 mm (délka cca 0,75 m)</t>
  </si>
  <si>
    <t>Kouřovody vedeny ve spádu, zakončení střešní hlavicí, vč. kontrolních otvorů (kolena, T- kusy), zpětných klapek</t>
  </si>
  <si>
    <t>Poznámka: Odkouření kotlů a sání spalovacího vzduchu bude komplexní dodávkou specializované firmy. Konečné provedení odkouření bude specifikováno na základě zaměření na místě  a konzultace s projektantem ÚT a bude předmětem cenové nabídky spec. firmy.</t>
  </si>
  <si>
    <t>2.  Strojní zařízení</t>
  </si>
  <si>
    <t>Pol260</t>
  </si>
  <si>
    <t>Doplňovací a oddělovací souprava REFLEX Fillcontrol Plus Compact, zásuvka 230 V, 10 A</t>
  </si>
  <si>
    <t>Pol261</t>
  </si>
  <si>
    <t>Rozdělovač a sběrač topné vody, DN 80, PN 6, vč. tepelné izolace 80 mm + Al plech 0,8 mm</t>
  </si>
  <si>
    <t>Pol262</t>
  </si>
  <si>
    <t>Zásobníkový ohřívač TUV VIESSMANN VITOCELL 100-V CVA 750 l, topná vložka 3,7 m2, PN 10</t>
  </si>
  <si>
    <t>Pol263</t>
  </si>
  <si>
    <t>Membránová expanzní nádoba NG 140/6, 140 l, PN 6 bar, vč. servisního kohoutu</t>
  </si>
  <si>
    <t>Pol264</t>
  </si>
  <si>
    <t>Změkčovací filtr, bez regenerace, výměnné náplně</t>
  </si>
  <si>
    <t>3.  Oběhová čerpadla samoregulační, nátrubková, mokroběžná</t>
  </si>
  <si>
    <t>Pol265</t>
  </si>
  <si>
    <t>Oběhové čerpadlo GRUNDFOS MAGNA1 25-80, 230 V, 128 W, 1,03 A, 3 m3/h, 62 kPa</t>
  </si>
  <si>
    <t>Pol266</t>
  </si>
  <si>
    <t>Oběhové čerpadlo GRUNDFOS ALPHA2 25-80, 230 V, 50 W, 0,44 A, 2 m3/h, 45 kPa</t>
  </si>
  <si>
    <t>4.  El. regul. armatury</t>
  </si>
  <si>
    <t>Pol267</t>
  </si>
  <si>
    <t>3- cestný el. regulační ventil, DN 25, kv=10, PN 16, vč. el. servopohonu 230 V, 3- bodové ovládání</t>
  </si>
  <si>
    <t>5.  Armatury závitové - kotelna</t>
  </si>
  <si>
    <t>Pol268</t>
  </si>
  <si>
    <t>Pojistný ventil DUCO, DN 15 (1/2" x 3/4"), Pot=400 kPa</t>
  </si>
  <si>
    <t>Pol269</t>
  </si>
  <si>
    <t>Kulový kohout DN 20, PN 25</t>
  </si>
  <si>
    <t>Pol270</t>
  </si>
  <si>
    <t>Kulový kohout DN 25, PN 25</t>
  </si>
  <si>
    <t>Pol271</t>
  </si>
  <si>
    <t>Kulový kohout DN 32, PN 25</t>
  </si>
  <si>
    <t>Pol272</t>
  </si>
  <si>
    <t>Kulový kohout DN 40, PN 25</t>
  </si>
  <si>
    <t>Pol273</t>
  </si>
  <si>
    <t>Vyvažovací ventil TA Stad, závitový, DN 25, PN 20, vč. tlak. odběrů a vypouštení</t>
  </si>
  <si>
    <t>Pol274</t>
  </si>
  <si>
    <t>Vyvažovací ventil TA Stad, závitový, DN 40, PN 20, vč. tlak. odběrů a vypouštení</t>
  </si>
  <si>
    <t>Pol275</t>
  </si>
  <si>
    <t>Zpětný ventil závitový Giacomini R60, DN 32, PN 10</t>
  </si>
  <si>
    <t>Pol276</t>
  </si>
  <si>
    <t>Filtr závitový DN 32, PN 6</t>
  </si>
  <si>
    <t>Pol277</t>
  </si>
  <si>
    <t>Filtr závitový DN 40, PN 6</t>
  </si>
  <si>
    <t>Pol278</t>
  </si>
  <si>
    <t>Šroubení radiátorové standardní, DN 40, přímé</t>
  </si>
  <si>
    <t>Pol279</t>
  </si>
  <si>
    <t>Vypouštěcí kulový kohout DN 15</t>
  </si>
  <si>
    <t>Pol280</t>
  </si>
  <si>
    <t>Automatický odvzdušňovací ventil Flamco</t>
  </si>
  <si>
    <t>6.  Armatury závitové - patrní rozvody</t>
  </si>
  <si>
    <t>7. Patrové rozdělovače / Sestava MEIBES LOGOfloor - typ 2</t>
  </si>
  <si>
    <t xml:space="preserve">Patrový rozdělovač - připojení na levé straně R+S </t>
  </si>
  <si>
    <t>Pol281</t>
  </si>
  <si>
    <t>2 bytové okruhy</t>
  </si>
  <si>
    <t xml:space="preserve">Rozdělovač s izolací, odvzdušnění, vypouštění, montážní konzole, kulové kohouty DN15 s jímkou pro napojení čidla měřiče tepla </t>
  </si>
  <si>
    <t>Sběrač s izolací, odvzdušnění, vypouštění, montážní konzole, mezikus pro měřič tepla, regulační zónový ventil, kulový kohout DN15</t>
  </si>
  <si>
    <t>Pol282</t>
  </si>
  <si>
    <t>3 bytové okruhy</t>
  </si>
  <si>
    <t>Pol283</t>
  </si>
  <si>
    <t>4 bytové okruhy</t>
  </si>
  <si>
    <t>Patrový rozdělovač - připojení na pravé straně R+S</t>
  </si>
  <si>
    <t>Pol284</t>
  </si>
  <si>
    <t>Ultrazvukový měřič, elektrotermický pohon, prostorový termostat</t>
  </si>
  <si>
    <t xml:space="preserve">Ultrazvukový měřič tepla Multical 302 0,6 m3/h, vč. M-bus modul </t>
  </si>
  <si>
    <t>Elektrotermický pohon ON/OFF, bez proudu vypnuto 230 V</t>
  </si>
  <si>
    <t>Prostorový termostat Meibes TAMP s týdenním programem, připojení řeší EL</t>
  </si>
  <si>
    <t>D110</t>
  </si>
  <si>
    <t>ARMATURY A OTOPNÁ TĚLESA</t>
  </si>
  <si>
    <t>Armatury závitové na vstupu a výstupu patrového rozdělovače:</t>
  </si>
  <si>
    <t>Pol285</t>
  </si>
  <si>
    <t>Filtr závitový DN 20, PN 6</t>
  </si>
  <si>
    <t>Pol286</t>
  </si>
  <si>
    <t>Regulačně uzavírací ventil TA Stad, závitový, DN 15, PN 20</t>
  </si>
  <si>
    <t>8.  Armatury měřicí</t>
  </si>
  <si>
    <t>Pol287</t>
  </si>
  <si>
    <t>Tlakoměr typ 312, ∅100 mm, 0-400 kPa, vč. kulového kohoutu DN 15</t>
  </si>
  <si>
    <t>Pol288</t>
  </si>
  <si>
    <t>Teploměr kruhový přímý, ∅63 mm, 0-120°C, stonek 100 mm, vč, jímky</t>
  </si>
  <si>
    <t>9.  Otopná tělesa ocelová desková - RADIK KLASIK, vč. připevňovacích prvků</t>
  </si>
  <si>
    <t>Pol289</t>
  </si>
  <si>
    <t>33-090060-50-</t>
  </si>
  <si>
    <t>Pol290</t>
  </si>
  <si>
    <t>33-090070-50-</t>
  </si>
  <si>
    <t>10.  Otopná tělesa ocelová desková - RADIK VENTIL KOMPAKT (pravé spodní připojení), vč. připevňovací</t>
  </si>
  <si>
    <t>Pol291</t>
  </si>
  <si>
    <t>11-060040-60-</t>
  </si>
  <si>
    <t>монтаж 4 - 2шт, 2 - 2 шт, 6 - 4шт</t>
  </si>
  <si>
    <t>Pol292</t>
  </si>
  <si>
    <t>11-060050-60-</t>
  </si>
  <si>
    <t>монтаж 3 - 4 шт и 4 - 1 шт</t>
  </si>
  <si>
    <t>Pol293</t>
  </si>
  <si>
    <t>11-060060-60-</t>
  </si>
  <si>
    <t>монтаж 3 - 1 шт и 6 - 1 шт</t>
  </si>
  <si>
    <t>Pol294</t>
  </si>
  <si>
    <t>11-060070-60-</t>
  </si>
  <si>
    <t>Pol295</t>
  </si>
  <si>
    <t>11-060080-60-</t>
  </si>
  <si>
    <t>Pol296</t>
  </si>
  <si>
    <t>11-060100-60-</t>
  </si>
  <si>
    <t>Pol297</t>
  </si>
  <si>
    <t>11-090040-60-</t>
  </si>
  <si>
    <t>Pol298</t>
  </si>
  <si>
    <t>11-090050-60-</t>
  </si>
  <si>
    <t>Pol299</t>
  </si>
  <si>
    <t>11-090060-60-</t>
  </si>
  <si>
    <t>Pol300</t>
  </si>
  <si>
    <t>11-090080-60-</t>
  </si>
  <si>
    <t>Pol301</t>
  </si>
  <si>
    <t>21-090050-60-</t>
  </si>
  <si>
    <t>Pol302</t>
  </si>
  <si>
    <t>21-090060-60-</t>
  </si>
  <si>
    <t>Pol303</t>
  </si>
  <si>
    <t>21-090080-60-</t>
  </si>
  <si>
    <t>Pol304</t>
  </si>
  <si>
    <t>22-060070-60-</t>
  </si>
  <si>
    <t>Pol305</t>
  </si>
  <si>
    <t>22-060080-60-</t>
  </si>
  <si>
    <t>11.  Podlahový konvektor - KORADO KORAFLEX Basic FKB provedení Economic, vč. krycí mřížky</t>
  </si>
  <si>
    <t>Pol306</t>
  </si>
  <si>
    <t>180-09-26 (délka - hloubka - šířka [cm])</t>
  </si>
  <si>
    <t>Pol307</t>
  </si>
  <si>
    <t>190-09-26</t>
  </si>
  <si>
    <t>Pol308</t>
  </si>
  <si>
    <t>200-09-26</t>
  </si>
  <si>
    <t>Pol309</t>
  </si>
  <si>
    <t>210-09-26</t>
  </si>
  <si>
    <t>Pol310</t>
  </si>
  <si>
    <t>230-09-26</t>
  </si>
  <si>
    <t>8 - 4шт, 6 - 1шт, 7 - 1шт</t>
  </si>
  <si>
    <t>Pol311</t>
  </si>
  <si>
    <t>240-09-26</t>
  </si>
  <si>
    <t>Pol312</t>
  </si>
  <si>
    <t>300-09-26</t>
  </si>
  <si>
    <t>Poznámka: materiál krycí mřížky bude stanoven dle požadavků architekta, pro účely rozpočtu naceněn materiál hliník elox stříbrný</t>
  </si>
  <si>
    <t>12.  Otopná tělesa trubková KORALUX LINEAR CLASSIC - M,  vč. připevňovacích prvků</t>
  </si>
  <si>
    <t>Pol313</t>
  </si>
  <si>
    <t>KLCM1500.450</t>
  </si>
  <si>
    <t>Pol314</t>
  </si>
  <si>
    <t>KLCM1500.600</t>
  </si>
  <si>
    <t>13.  Regulační armatury OT (včetně svěrného šroubení na plast. trubku 16x2 mm)</t>
  </si>
  <si>
    <t>Pol315</t>
  </si>
  <si>
    <t>Regulační ventil HEIMEIER V-exakt II, rohový, DN 15</t>
  </si>
  <si>
    <t>Pol316</t>
  </si>
  <si>
    <t>Regulační ventil HEIMEIER Multilux, rohový</t>
  </si>
  <si>
    <t>Pol317</t>
  </si>
  <si>
    <t>Uzavírací šroubení HEIMEIER Vekolux, rohové (připojení OT VK)</t>
  </si>
  <si>
    <t>Pol318</t>
  </si>
  <si>
    <t>Regulačně uzavírací šroubení HEIMEIER Regulux , DN 15</t>
  </si>
  <si>
    <t>Pol319</t>
  </si>
  <si>
    <t>Termostatická hlavice HEIMEIER K</t>
  </si>
  <si>
    <t>Pol320</t>
  </si>
  <si>
    <t>Termostatická hlavice HEIMEIER K, provedení pro veřejné prostory - proti zcizení</t>
  </si>
  <si>
    <t>Pol321</t>
  </si>
  <si>
    <t>Elektrické topné těleso, výkon 400 W</t>
  </si>
  <si>
    <t>Pol322</t>
  </si>
  <si>
    <t>Elektrické topné těleso, výkon 500 W</t>
  </si>
  <si>
    <t>Pol323</t>
  </si>
  <si>
    <t>Prostorový termostat ovládaní el. patrony žebříku s časovým programem, kabel. připojení řeší EL</t>
  </si>
  <si>
    <t>D18</t>
  </si>
  <si>
    <t>Armatury pro připojení podlahových konvektorů (PK):</t>
  </si>
  <si>
    <t>Pol324</t>
  </si>
  <si>
    <t>Regulační ventil HEIMEIER V-exakt II, DN 15, přímý, připojení na plastové potrubí 16x2mm, vč. svěrného šroubení</t>
  </si>
  <si>
    <t>Pol325</t>
  </si>
  <si>
    <t>Regulačně uzavírací šroubení HEIMEIER Regulux , DN 15, přimé, připojení na plastové potrubí 16x2mm, vč. svěrného šroubení</t>
  </si>
  <si>
    <t>Pol326</t>
  </si>
  <si>
    <t>Pancéřová hadice DN 15, l= cca 200 mm, příslušenství PK</t>
  </si>
  <si>
    <t>D19</t>
  </si>
  <si>
    <t>Termostatická hlavice Heimeier F s dálkovým ovládáním  (HDO) - včetně kapiláry a chráničky (husího k</t>
  </si>
  <si>
    <t>Pol327</t>
  </si>
  <si>
    <t>Délka kapiláry 2m</t>
  </si>
  <si>
    <t>Pol328</t>
  </si>
  <si>
    <t>Délka kapiláry 5m</t>
  </si>
  <si>
    <t>Pol329</t>
  </si>
  <si>
    <t>Délka kapiláry 10m</t>
  </si>
  <si>
    <t>D200</t>
  </si>
  <si>
    <t>POTRUBÍ, IZOLACE, NÁTĚRY, OSTATNÍ</t>
  </si>
  <si>
    <t>D20</t>
  </si>
  <si>
    <t>14.  Potrubí ÚT - ocelové trubky závitové, běžné, bezešvé, jakost 11353.0</t>
  </si>
  <si>
    <t>Pol330</t>
  </si>
  <si>
    <t>DN 15 – Ø 1/2“</t>
  </si>
  <si>
    <t>Pol331</t>
  </si>
  <si>
    <t>DN 20 – Ø 3/4“</t>
  </si>
  <si>
    <t>Pol332</t>
  </si>
  <si>
    <t>DN 25 – Ø 1“</t>
  </si>
  <si>
    <t>Pol333</t>
  </si>
  <si>
    <t>DN 32 – Ø 5/4“</t>
  </si>
  <si>
    <t>Pol334</t>
  </si>
  <si>
    <t>DN 40 – Ø 6/4“</t>
  </si>
  <si>
    <t>- dodávka a montáž potrubí včetně kolen,nebo oblouků, přechodů, přírub, redukcí, spojek, mezikusů, přechodových kusů, pomocných prací a materiálu, spojovacího materiálu, těsnění, uzemnění dle ČSN, čištění potrubí a lešení, požární ucpávky v případě průchodu požárně odolnou konstrukcí.</t>
  </si>
  <si>
    <t>Poznámka:  uvedené metráže jsou bez přídavku na prořez</t>
  </si>
  <si>
    <t>D21</t>
  </si>
  <si>
    <t>15.  Plastové potrubí typu AlPex (Henco)</t>
  </si>
  <si>
    <t>Pol335</t>
  </si>
  <si>
    <t>16 x 2 mm</t>
  </si>
  <si>
    <t>Pol336</t>
  </si>
  <si>
    <t>18 x 2 mm</t>
  </si>
  <si>
    <t>20 x 2 mm</t>
  </si>
  <si>
    <t>Pol338</t>
  </si>
  <si>
    <t>Potrubní lisovací tvarovky, doplňkový materiál - závěsy, upevnění</t>
  </si>
  <si>
    <t>D22</t>
  </si>
  <si>
    <t>16.  Potrubí SV z plastových trubek (PPR) - EKOPLASTIK PN 16, PN 20</t>
  </si>
  <si>
    <t>Pol339</t>
  </si>
  <si>
    <t>Ø 25 / 3,5 mm, PN 20, vč. tep. izolace</t>
  </si>
  <si>
    <t>Pol340</t>
  </si>
  <si>
    <t>Potrubní tvarovky EKOPLASTIK, doplňkový materiál - závěsy, upevnění</t>
  </si>
  <si>
    <t>D23</t>
  </si>
  <si>
    <t>17.  Tepelná izolace potrubí ÚT - hadicová Tubolit DG (tloušťky dle vyhl. č. 193/2007 Sb. MPO)</t>
  </si>
  <si>
    <t>Pol341</t>
  </si>
  <si>
    <t>tl. 9 mm, plast. potr. 16 x 2 mm</t>
  </si>
  <si>
    <t>Pol342</t>
  </si>
  <si>
    <t>tl. 9 mm, plast. potr. 18 x 2 mm</t>
  </si>
  <si>
    <t>Pol343</t>
  </si>
  <si>
    <t>tl. 9 mm, plast. potr. 20 x 2 mm</t>
  </si>
  <si>
    <t>Pol344</t>
  </si>
  <si>
    <t>tl. 20 mm, plast. potr. 16 x 2 mm (veřejná chodba)</t>
  </si>
  <si>
    <t>Pol345</t>
  </si>
  <si>
    <t>tl. 20 mm, plast. potr. 18 x 2 mm (veřejná chodba)</t>
  </si>
  <si>
    <t>Pol346</t>
  </si>
  <si>
    <t>tl. 20 mm, plast. potr. 20 x 2 mm (veřejná chodba)</t>
  </si>
  <si>
    <t>Pol347</t>
  </si>
  <si>
    <t>tl. 20 mm, DN 20</t>
  </si>
  <si>
    <t>Pol348</t>
  </si>
  <si>
    <t>tl. 20 mm, DN 25</t>
  </si>
  <si>
    <t>D24</t>
  </si>
  <si>
    <t>18.  Tepelná izolace potrubí ÚT z minerální vaty Al. folií</t>
  </si>
  <si>
    <t>Pol349</t>
  </si>
  <si>
    <t>tl. 60 mm, Al folie,  potrubí DN 15 (nevytápěný suterén)</t>
  </si>
  <si>
    <t>Pol350</t>
  </si>
  <si>
    <t>tl. 60 mm, Al folie,  potrubí DN 20 (nevytápěný suterén)</t>
  </si>
  <si>
    <t>Pol351</t>
  </si>
  <si>
    <t>tl. 60 mm, Al folie,  potrubí DN 25 (nevytápěný suterén)</t>
  </si>
  <si>
    <t>Pol352</t>
  </si>
  <si>
    <t>tl. 60 mm, Al folie,  potrubí DN 32 (nevytápěný suterén)</t>
  </si>
  <si>
    <t>Pol353</t>
  </si>
  <si>
    <t>tl. 60 mm, Al folie,  potrubí DN 40 (nevytápěný suterén)</t>
  </si>
  <si>
    <t>D25</t>
  </si>
  <si>
    <t>19. Nátěry</t>
  </si>
  <si>
    <t>Pol354</t>
  </si>
  <si>
    <t>Nátěry</t>
  </si>
  <si>
    <t>Syntetický základní nátěr Fe potrubí ÚT (pod tep. izolaci)</t>
  </si>
  <si>
    <t xml:space="preserve">Syntetický nátěr potrubí ÚT - základní, s 2-násobným emailováním (nezaizolované úseky) </t>
  </si>
  <si>
    <t>Syntetický nátěr ocelových konstrukcí - základní, s 2-násobným emailováním</t>
  </si>
  <si>
    <t>D26</t>
  </si>
  <si>
    <t>20. Doplňkový materiál</t>
  </si>
  <si>
    <t>Pol355</t>
  </si>
  <si>
    <t>Doplňkový materiál</t>
  </si>
  <si>
    <t>Závěsy potrubí, konzole, objímky (WEMEFA, HILTI),  pomocný montážní materiál apod.</t>
  </si>
  <si>
    <t>Požární ucpávky prostupů potrubí stavebními konstrukcemi odělujícími požární úseky, Intumex</t>
  </si>
  <si>
    <t>D27</t>
  </si>
  <si>
    <t>21. Značení potrubí + zřízení ÚT</t>
  </si>
  <si>
    <t>Pol356</t>
  </si>
  <si>
    <t>Značení potrubí + zařízení ÚT</t>
  </si>
  <si>
    <t>Identifikační štítky, šipky toku média apod.</t>
  </si>
  <si>
    <t>MN</t>
  </si>
  <si>
    <t>na cely dům</t>
  </si>
  <si>
    <t>AHU6 - Větrání sklepů</t>
  </si>
  <si>
    <t>180</t>
  </si>
  <si>
    <t>AHU6</t>
  </si>
  <si>
    <t>Vzduchotechnická jednotka DUPLEX 650 Flexi RD5</t>
  </si>
  <si>
    <t>Poznámka k položce:
Složení: klapka, filtr EU7, rekuperační výměník, ventilátor s Ecmotorem
Odvod: klapka, filtr EU5, ventilátor s ECmotorem
Vp = 610m3/h / Pext = 220 Pa
Vo = 610m3/h / Pext = 220 Pa
jednotka vč.: 
pružných vložek na sání a výtlaku z jednotky, MaR</t>
  </si>
  <si>
    <t>181</t>
  </si>
  <si>
    <t>Pol243</t>
  </si>
  <si>
    <t>Tlumič hluku do kruhového potrubí MAA200/600</t>
  </si>
  <si>
    <t>182</t>
  </si>
  <si>
    <t>Pol244</t>
  </si>
  <si>
    <t>Tlumič hluku do kruhového potrubí MAA200/900</t>
  </si>
  <si>
    <t>183</t>
  </si>
  <si>
    <t>Pol185</t>
  </si>
  <si>
    <t>Odvodní talířový ventil D80</t>
  </si>
  <si>
    <t>184</t>
  </si>
  <si>
    <t>Pol190</t>
  </si>
  <si>
    <t>Přívodní talířový ventil D125</t>
  </si>
  <si>
    <t>185</t>
  </si>
  <si>
    <t>Pol191</t>
  </si>
  <si>
    <t>Regulátor průtoku vzduchu D100</t>
  </si>
  <si>
    <t>186</t>
  </si>
  <si>
    <t>Pol192</t>
  </si>
  <si>
    <t>Regulátor průtoku vzduchu D125</t>
  </si>
  <si>
    <t>187</t>
  </si>
  <si>
    <t>Pol217</t>
  </si>
  <si>
    <t>Sací kus se sítem vel. D200</t>
  </si>
  <si>
    <t>188</t>
  </si>
  <si>
    <t>PK02.2</t>
  </si>
  <si>
    <t>Požární klapka do kruhového potrubí se servopohonem 230V vel. D200</t>
  </si>
  <si>
    <t>189</t>
  </si>
  <si>
    <t>PK02.3</t>
  </si>
  <si>
    <t>190</t>
  </si>
  <si>
    <t>PK02.4</t>
  </si>
  <si>
    <t>191</t>
  </si>
  <si>
    <t>PK02.5</t>
  </si>
  <si>
    <t>192</t>
  </si>
  <si>
    <t>Pol196</t>
  </si>
  <si>
    <t>Požární stěnový uzávěr 390x160</t>
  </si>
  <si>
    <t>193</t>
  </si>
  <si>
    <t>Pol197</t>
  </si>
  <si>
    <t>Kruhové potrubí z pozinkovaného plechu o síle dle norem, včetně tvarovek, regulačních klapek, spojovacího, kotvícího a těsnícího materiálu (SPIRO) průměr 200</t>
  </si>
  <si>
    <t>bm</t>
  </si>
  <si>
    <t>194</t>
  </si>
  <si>
    <t>Pol198</t>
  </si>
  <si>
    <t>Kruhové potrubí z pozinkovaného plechu o síle dle norem, včetně tvarovek, regulačních klapek, spojovacího, kotvícího a těsnícího materiálu (SPIRO) průměr 160</t>
  </si>
  <si>
    <t>195</t>
  </si>
  <si>
    <t>Pol199</t>
  </si>
  <si>
    <t>Kruhové potrubí z pozinkovaného plechu o síle dle norem, včetně tvarovek, regulačních klapek, spojovacího, kotvícího a těsnícího materiálu (SPIRO) průměr 125</t>
  </si>
  <si>
    <t>196</t>
  </si>
  <si>
    <t>Pol200</t>
  </si>
  <si>
    <t>Kruhové potrubí z pozinkovaného plechu o síle dle norem, včetně tvarovek, regulačních klapek, spojovacího, kotvícího a těsnícího materiálu (SPIRO) průměr 100</t>
  </si>
  <si>
    <t>197</t>
  </si>
  <si>
    <t>Pol202</t>
  </si>
  <si>
    <t>Požární izolace potrubí - minerální vlna s polepem - odolnost 30min</t>
  </si>
  <si>
    <t>EF1 - Odvětrání kotelny v 1pp</t>
  </si>
  <si>
    <t>198</t>
  </si>
  <si>
    <t>EF1</t>
  </si>
  <si>
    <t>Ventilátor do kruhového potrubí , V = 300 m3/h, Pext = 110Pa (RM 160N) Včetně pružného připojení na potrubí</t>
  </si>
  <si>
    <t>199</t>
  </si>
  <si>
    <t>Pol245</t>
  </si>
  <si>
    <t>Krycí mřížka na kruhové potrubí D160</t>
  </si>
  <si>
    <t>200</t>
  </si>
  <si>
    <t>Pol246</t>
  </si>
  <si>
    <t>Sací kus se sítem vel. D125</t>
  </si>
  <si>
    <t>201</t>
  </si>
  <si>
    <t>Pol247</t>
  </si>
  <si>
    <t>Zpětná klapka D125</t>
  </si>
  <si>
    <t>202</t>
  </si>
  <si>
    <t>Pol248</t>
  </si>
  <si>
    <t>Tlumič hluku do kruhového potrubí MAA125/600</t>
  </si>
  <si>
    <t>203</t>
  </si>
  <si>
    <t>204</t>
  </si>
  <si>
    <t>AHU5.1 - Větrání bytů</t>
  </si>
  <si>
    <t>205</t>
  </si>
  <si>
    <t>AHU5.1</t>
  </si>
  <si>
    <t>Vzduchotechnická jednotka DUPLEX 170 EC5.CP</t>
  </si>
  <si>
    <t>Poznámka k položce:
Složení: klapka, filtr EU7, rekuperační výměník, elektircký ohřívač, ventilátor s Ecmotorem
Odvod: klapka, filtr EU4, ventilátor s ECmotorem
Vp = 160  m3/h / Pext = 95 Pa
Vo = 160  m3/h / Pext = 140 Pa
jednotka vč.: 
pružných vložek na sání a výtlaku z jednotky, MaR</t>
  </si>
  <si>
    <t>206</t>
  </si>
  <si>
    <t>Pol203</t>
  </si>
  <si>
    <t>Tlumič hluku do kruhového potrubí MAA160/600</t>
  </si>
  <si>
    <t>207</t>
  </si>
  <si>
    <t>Pol204</t>
  </si>
  <si>
    <t>Odvodní talířový ventil D125</t>
  </si>
  <si>
    <t>208</t>
  </si>
  <si>
    <t>Pol205</t>
  </si>
  <si>
    <t>Sací kus se sítem vel. D160</t>
  </si>
  <si>
    <t>209</t>
  </si>
  <si>
    <t>210</t>
  </si>
  <si>
    <t>Pol206</t>
  </si>
  <si>
    <t>Přívodní vyúst s regulací R1, vel. 325x75</t>
  </si>
  <si>
    <t>211</t>
  </si>
  <si>
    <t>Pol233</t>
  </si>
  <si>
    <t>Regulační klapka ruční D160</t>
  </si>
  <si>
    <t>212</t>
  </si>
  <si>
    <t>213</t>
  </si>
  <si>
    <t>214</t>
  </si>
  <si>
    <t>215</t>
  </si>
  <si>
    <t>Pol209</t>
  </si>
  <si>
    <t>Ohebné potrubí SONOFLEX D160</t>
  </si>
  <si>
    <t>216</t>
  </si>
  <si>
    <t>Pol234</t>
  </si>
  <si>
    <t>Ohebné potrubí SONOFLEX D125</t>
  </si>
  <si>
    <t>AHU5.2 - Větrání bytů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</si>
  <si>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</si>
  <si>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</si>
  <si>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</si>
  <si>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</si>
  <si>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</si>
  <si>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</si>
  <si>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</si>
  <si>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</si>
  <si>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</si>
  <si>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</si>
  <si>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</si>
  <si>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 xml:space="preserve">Odvod vzduchu od kuchyňských digestoří </t>
  </si>
  <si>
    <t>228</t>
  </si>
  <si>
    <t>Pol241</t>
  </si>
  <si>
    <t>Výdechová stříška D200</t>
  </si>
  <si>
    <t>229</t>
  </si>
  <si>
    <t>230</t>
  </si>
  <si>
    <t>SPOLEČNÉ</t>
  </si>
  <si>
    <t>231</t>
  </si>
  <si>
    <t>Pol249</t>
  </si>
  <si>
    <t>Uvedení zařízení do provozu, seřízení a zaregulování všech systémů a zařízení, provedení předepsaných zkoušek</t>
  </si>
  <si>
    <t>232</t>
  </si>
  <si>
    <t>Pol371</t>
  </si>
  <si>
    <t>Požární ucpávky prostupů ve smyslu projektu PBŘ</t>
  </si>
  <si>
    <t>233</t>
  </si>
  <si>
    <t>Pol372</t>
  </si>
  <si>
    <t>Materiál na závěsy</t>
  </si>
  <si>
    <t>Nosna konstrukce pro  jednotky chlazení</t>
  </si>
  <si>
    <t>Poznámka k položce:
Složení: klapka, filtr EU7, rekuperační výměník, elektircký ohřívač, ventilátor s Ecmotorem
Odvod: klapka, filtr EU4, ventilátor s ECmotorem
Vp = 140  m3/h / Pext = 95 Pa
Vo = 140  m3/h / Pext = 140 Pa
jednotka vč.: 
pružných vložek na sání a výtlaku z jednotky, MaR</t>
  </si>
  <si>
    <t>dodano</t>
  </si>
  <si>
    <t>Poznámka: Digestoře jsou uvažovány vč. tukového filtru a zpětné klapky.</t>
  </si>
  <si>
    <t>odstranit</t>
  </si>
  <si>
    <t>Dodano</t>
  </si>
  <si>
    <t>MaR – řízení ventilátoru</t>
  </si>
  <si>
    <t>MaR – časový program VZT</t>
  </si>
  <si>
    <t>MaR – signalizace poruch a filtrů</t>
  </si>
  <si>
    <t>řízení VZT zařízení (AHU)</t>
  </si>
  <si>
    <t>MaR – oživení, zaregulování a uvedení do provozu</t>
  </si>
  <si>
    <t>kontrol</t>
  </si>
  <si>
    <t>DODANO</t>
  </si>
  <si>
    <t>zapojení zásobníku (armatury komplet)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</si>
</sst>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Kč&quot;"/>
    <numFmt numFmtId="165" formatCode="#,##0.000"/>
    <numFmt numFmtId="166" formatCode="#,##0_ ;[Red]\-#,##0\ "/>
  </numFmts>
  <fonts count="55">
    <font>
      <sz val="10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6"/>
      <color rgb="FFFF0000"/>
      <name val="Arial"/>
      <family val="2"/>
      <charset val="238"/>
    </font>
    <font>
      <sz val="16"/>
      <color rgb="FFFF0000"/>
      <name val="Arial"/>
      <family val="2"/>
      <charset val="238"/>
    </font>
    <font>
      <b/>
      <sz val="16"/>
      <color theme="1"/>
      <name val="Arial"/>
      <family val="2"/>
      <charset val="238"/>
    </font>
    <font>
      <sz val="8"/>
      <color theme="2" tint="-0.249977111117893"/>
      <name val="Arial"/>
      <family val="2"/>
      <charset val="238"/>
    </font>
    <font>
      <b/>
      <sz val="10"/>
      <color theme="1"/>
      <name val="Arial"/>
      <family val="2"/>
      <charset val="238"/>
    </font>
    <font>
      <sz val="12"/>
      <color rgb="FF000000"/>
      <name val="Calibri"/>
      <family val="2"/>
      <charset val="238"/>
    </font>
    <font>
      <b/>
      <sz val="14"/>
      <color theme="1"/>
      <name val="Arial"/>
      <family val="2"/>
      <charset val="238"/>
    </font>
    <font>
      <b/>
      <u/>
      <sz val="12"/>
      <color theme="1"/>
      <name val="Arial"/>
      <family val="2"/>
      <charset val="238"/>
    </font>
    <font>
      <sz val="12"/>
      <color theme="1"/>
      <name val="Arial"/>
      <family val="2"/>
      <charset val="238"/>
    </font>
    <font>
      <sz val="8"/>
      <name val="MS Sans Serif"/>
      <charset val="1"/>
    </font>
    <font>
      <sz val="10"/>
      <name val="Arial CE"/>
      <charset val="238"/>
    </font>
    <font>
      <b/>
      <sz val="12"/>
      <color rgb="FF0070C0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</font>
    <font>
      <sz val="10"/>
      <name val="Arial"/>
      <family val="2"/>
      <charset val="238"/>
    </font>
    <font>
      <sz val="8"/>
      <name val="Arial"/>
      <family val="2"/>
    </font>
    <font>
      <sz val="8"/>
      <name val="Arial"/>
      <family val="2"/>
      <charset val="238"/>
    </font>
    <font>
      <b/>
      <sz val="10"/>
      <color indexed="18"/>
      <name val="Arial"/>
      <family val="2"/>
    </font>
    <font>
      <b/>
      <sz val="9"/>
      <color indexed="18"/>
      <name val="Arial"/>
      <family val="2"/>
    </font>
    <font>
      <sz val="9"/>
      <color indexed="18"/>
      <name val="Arial"/>
      <family val="2"/>
      <charset val="238"/>
    </font>
    <font>
      <sz val="10"/>
      <color theme="2" tint="-9.9978637043366805E-2"/>
      <name val="Arial"/>
      <family val="2"/>
      <charset val="238"/>
    </font>
    <font>
      <sz val="10"/>
      <color theme="0" tint="-0.14999847407452621"/>
      <name val="Arial"/>
      <family val="2"/>
      <charset val="238"/>
    </font>
    <font>
      <b/>
      <i/>
      <u/>
      <sz val="12"/>
      <color rgb="FF000000"/>
      <name val="Calibri"/>
      <family val="2"/>
      <charset val="238"/>
    </font>
    <font>
      <i/>
      <sz val="10"/>
      <color rgb="FFFF0000"/>
      <name val="Calibri"/>
      <family val="2"/>
      <charset val="238"/>
    </font>
    <font>
      <sz val="12"/>
      <color rgb="FFFF0000"/>
      <name val="Calibri"/>
      <family val="2"/>
      <charset val="238"/>
    </font>
    <font>
      <b/>
      <i/>
      <u/>
      <sz val="10"/>
      <color rgb="FF000000"/>
      <name val="Calibri"/>
      <family val="2"/>
      <charset val="238"/>
    </font>
    <font>
      <i/>
      <sz val="12"/>
      <color rgb="FFFF0000"/>
      <name val="Calibri"/>
      <family val="2"/>
      <charset val="238"/>
    </font>
    <font>
      <b/>
      <u/>
      <sz val="14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sz val="10"/>
      <color rgb="FFFF0000"/>
      <name val="Arial"/>
      <family val="2"/>
      <charset val="238"/>
    </font>
    <font>
      <sz val="8"/>
      <name val="Arial CE"/>
      <charset val="134"/>
    </font>
    <font>
      <sz val="10"/>
      <color rgb="FF969696"/>
      <name val="Arial CE"/>
      <charset val="134"/>
    </font>
    <font>
      <sz val="10"/>
      <name val="Arial CE"/>
      <charset val="134"/>
    </font>
    <font>
      <sz val="9"/>
      <name val="Arial CE"/>
      <charset val="134"/>
    </font>
    <font>
      <sz val="12"/>
      <color rgb="FF003366"/>
      <name val="Arial CE"/>
      <charset val="134"/>
    </font>
    <font>
      <sz val="10"/>
      <color rgb="FF003366"/>
      <name val="Arial CE"/>
      <charset val="134"/>
    </font>
    <font>
      <sz val="8"/>
      <color rgb="FF003366"/>
      <name val="Arial CE"/>
      <charset val="134"/>
    </font>
    <font>
      <b/>
      <sz val="12"/>
      <color rgb="FF960000"/>
      <name val="Arial CE"/>
      <charset val="134"/>
    </font>
    <font>
      <sz val="7"/>
      <color rgb="FF969696"/>
      <name val="Arial CE"/>
      <charset val="134"/>
    </font>
    <font>
      <i/>
      <sz val="7"/>
      <color rgb="FF969696"/>
      <name val="Arial CE"/>
      <charset val="134"/>
    </font>
    <font>
      <i/>
      <sz val="9"/>
      <color rgb="FF0000FF"/>
      <name val="Arial CE"/>
      <charset val="134"/>
    </font>
    <font>
      <b/>
      <sz val="9"/>
      <name val="Arial CE"/>
      <charset val="238"/>
    </font>
    <font>
      <sz val="9"/>
      <color indexed="8"/>
      <name val="Arial"/>
      <family val="2"/>
      <charset val="238"/>
    </font>
    <font>
      <sz val="8"/>
      <color theme="1"/>
      <name val="Segoe UI"/>
      <family val="2"/>
      <charset val="238"/>
    </font>
    <font>
      <sz val="12"/>
      <color rgb="FF003366"/>
      <name val="Arial"/>
      <family val="2"/>
      <charset val="238"/>
    </font>
    <font>
      <sz val="11"/>
      <color theme="1"/>
      <name val="Aptos Narrow"/>
      <family val="2"/>
    </font>
    <font>
      <sz val="10"/>
      <color rgb="FF003366"/>
      <name val="Arial"/>
      <family val="2"/>
      <charset val="238"/>
    </font>
    <font>
      <sz val="9"/>
      <color theme="1"/>
      <name val="Arial"/>
      <family val="2"/>
      <charset val="238"/>
    </font>
    <font>
      <b/>
      <sz val="12"/>
      <color rgb="FF003366"/>
      <name val="Arial"/>
      <family val="2"/>
      <charset val="238"/>
    </font>
    <font>
      <sz val="8"/>
      <color rgb="FF003366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6E0AD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/>
      <bottom/>
      <diagonal/>
    </border>
    <border>
      <left style="hair">
        <color rgb="FF969696"/>
      </left>
      <right/>
      <top style="hair">
        <color rgb="FF969696"/>
      </top>
      <bottom style="hair">
        <color rgb="FF969696"/>
      </bottom>
      <diagonal/>
    </border>
    <border>
      <left/>
      <right/>
      <top style="hair">
        <color rgb="FF969696"/>
      </top>
      <bottom style="hair">
        <color rgb="FF969696"/>
      </bottom>
      <diagonal/>
    </border>
    <border>
      <left/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5">
    <xf numFmtId="0" fontId="0" fillId="0" borderId="0"/>
    <xf numFmtId="0" fontId="11" fillId="0" borderId="0" applyAlignment="0">
      <alignment vertical="top"/>
      <protection locked="0"/>
    </xf>
    <xf numFmtId="0" fontId="12" fillId="0" borderId="0"/>
    <xf numFmtId="0" fontId="32" fillId="0" borderId="0"/>
    <xf numFmtId="0" fontId="16" fillId="0" borderId="0"/>
  </cellStyleXfs>
  <cellXfs count="17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6" fillId="2" borderId="1" xfId="0" applyFont="1" applyFill="1" applyBorder="1"/>
    <xf numFmtId="0" fontId="7" fillId="0" borderId="1" xfId="0" applyFont="1" applyBorder="1"/>
    <xf numFmtId="0" fontId="1" fillId="3" borderId="1" xfId="0" applyFont="1" applyFill="1" applyBorder="1"/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165" fontId="0" fillId="0" borderId="0" xfId="0" applyNumberFormat="1" applyAlignment="1">
      <alignment horizontal="right"/>
    </xf>
    <xf numFmtId="4" fontId="0" fillId="0" borderId="0" xfId="0" applyNumberFormat="1"/>
    <xf numFmtId="165" fontId="15" fillId="0" borderId="0" xfId="0" applyNumberFormat="1" applyFont="1" applyAlignment="1">
      <alignment horizontal="right"/>
    </xf>
    <xf numFmtId="4" fontId="15" fillId="0" borderId="0" xfId="0" applyNumberFormat="1" applyFont="1"/>
    <xf numFmtId="2" fontId="15" fillId="0" borderId="0" xfId="0" applyNumberFormat="1" applyFont="1"/>
    <xf numFmtId="4" fontId="14" fillId="0" borderId="0" xfId="0" applyNumberFormat="1" applyFont="1" applyAlignment="1">
      <alignment horizontal="center" vertical="center"/>
    </xf>
    <xf numFmtId="4" fontId="14" fillId="0" borderId="0" xfId="0" applyNumberFormat="1" applyFont="1"/>
    <xf numFmtId="49" fontId="15" fillId="0" borderId="0" xfId="0" applyNumberFormat="1" applyFont="1" applyAlignment="1">
      <alignment horizontal="left"/>
    </xf>
    <xf numFmtId="49" fontId="15" fillId="0" borderId="0" xfId="0" applyNumberFormat="1" applyFont="1" applyAlignment="1">
      <alignment wrapText="1"/>
    </xf>
    <xf numFmtId="49" fontId="15" fillId="0" borderId="0" xfId="0" applyNumberFormat="1" applyFont="1"/>
    <xf numFmtId="0" fontId="7" fillId="6" borderId="1" xfId="0" applyFont="1" applyFill="1" applyBorder="1"/>
    <xf numFmtId="0" fontId="0" fillId="7" borderId="0" xfId="0" applyFill="1"/>
    <xf numFmtId="0" fontId="0" fillId="7" borderId="0" xfId="0" applyFill="1" applyAlignment="1">
      <alignment vertical="top"/>
    </xf>
    <xf numFmtId="0" fontId="0" fillId="0" borderId="0" xfId="0" applyAlignment="1">
      <alignment vertical="top"/>
    </xf>
    <xf numFmtId="0" fontId="18" fillId="9" borderId="0" xfId="0" applyFont="1" applyFill="1" applyAlignment="1">
      <alignment vertical="top"/>
    </xf>
    <xf numFmtId="0" fontId="18" fillId="10" borderId="0" xfId="0" applyFont="1" applyFill="1" applyAlignment="1">
      <alignment vertical="top"/>
    </xf>
    <xf numFmtId="0" fontId="18" fillId="0" borderId="0" xfId="0" applyFont="1" applyAlignment="1">
      <alignment vertical="top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66" fontId="21" fillId="0" borderId="0" xfId="0" applyNumberFormat="1" applyFont="1"/>
    <xf numFmtId="166" fontId="18" fillId="0" borderId="0" xfId="0" applyNumberFormat="1" applyFont="1"/>
    <xf numFmtId="166" fontId="16" fillId="0" borderId="0" xfId="0" applyNumberFormat="1" applyFont="1"/>
    <xf numFmtId="166" fontId="17" fillId="0" borderId="0" xfId="0" applyNumberFormat="1" applyFont="1"/>
    <xf numFmtId="0" fontId="14" fillId="0" borderId="0" xfId="0" applyFont="1" applyAlignment="1">
      <alignment vertical="center"/>
    </xf>
    <xf numFmtId="3" fontId="22" fillId="0" borderId="0" xfId="0" applyNumberFormat="1" applyFont="1"/>
    <xf numFmtId="14" fontId="22" fillId="0" borderId="0" xfId="0" applyNumberFormat="1" applyFont="1"/>
    <xf numFmtId="4" fontId="15" fillId="8" borderId="0" xfId="0" applyNumberFormat="1" applyFont="1" applyFill="1"/>
    <xf numFmtId="0" fontId="0" fillId="8" borderId="0" xfId="0" applyFill="1"/>
    <xf numFmtId="4" fontId="7" fillId="0" borderId="1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4" fontId="7" fillId="6" borderId="1" xfId="0" applyNumberFormat="1" applyFon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right"/>
    </xf>
    <xf numFmtId="4" fontId="14" fillId="8" borderId="0" xfId="0" applyNumberFormat="1" applyFont="1" applyFill="1"/>
    <xf numFmtId="0" fontId="23" fillId="0" borderId="0" xfId="0" applyFont="1"/>
    <xf numFmtId="10" fontId="0" fillId="0" borderId="0" xfId="0" applyNumberFormat="1"/>
    <xf numFmtId="49" fontId="1" fillId="0" borderId="0" xfId="0" applyNumberFormat="1" applyFont="1" applyAlignment="1">
      <alignment vertical="center"/>
    </xf>
    <xf numFmtId="49" fontId="1" fillId="0" borderId="0" xfId="0" applyNumberFormat="1" applyFont="1"/>
    <xf numFmtId="49" fontId="0" fillId="0" borderId="0" xfId="0" applyNumberFormat="1" applyAlignment="1">
      <alignment vertical="center" wrapText="1"/>
    </xf>
    <xf numFmtId="49" fontId="0" fillId="0" borderId="0" xfId="0" applyNumberFormat="1"/>
    <xf numFmtId="49" fontId="5" fillId="0" borderId="0" xfId="0" applyNumberFormat="1" applyFont="1"/>
    <xf numFmtId="49" fontId="0" fillId="0" borderId="0" xfId="0" applyNumberFormat="1" applyAlignment="1">
      <alignment horizontal="right"/>
    </xf>
    <xf numFmtId="0" fontId="24" fillId="0" borderId="1" xfId="0" applyFont="1" applyBorder="1"/>
    <xf numFmtId="4" fontId="24" fillId="0" borderId="1" xfId="0" applyNumberFormat="1" applyFont="1" applyBorder="1" applyAlignment="1">
      <alignment horizontal="right"/>
    </xf>
    <xf numFmtId="0" fontId="7" fillId="5" borderId="1" xfId="0" applyFont="1" applyFill="1" applyBorder="1"/>
    <xf numFmtId="4" fontId="7" fillId="5" borderId="1" xfId="0" applyNumberFormat="1" applyFont="1" applyFill="1" applyBorder="1" applyAlignment="1">
      <alignment horizontal="right"/>
    </xf>
    <xf numFmtId="0" fontId="25" fillId="6" borderId="1" xfId="0" applyFont="1" applyFill="1" applyBorder="1"/>
    <xf numFmtId="4" fontId="26" fillId="6" borderId="1" xfId="0" applyNumberFormat="1" applyFont="1" applyFill="1" applyBorder="1" applyAlignment="1">
      <alignment horizontal="right"/>
    </xf>
    <xf numFmtId="0" fontId="27" fillId="6" borderId="1" xfId="0" applyFont="1" applyFill="1" applyBorder="1"/>
    <xf numFmtId="4" fontId="24" fillId="6" borderId="1" xfId="0" applyNumberFormat="1" applyFont="1" applyFill="1" applyBorder="1" applyAlignment="1">
      <alignment horizontal="right"/>
    </xf>
    <xf numFmtId="0" fontId="28" fillId="0" borderId="1" xfId="0" applyFont="1" applyBorder="1"/>
    <xf numFmtId="4" fontId="28" fillId="0" borderId="1" xfId="0" applyNumberFormat="1" applyFont="1" applyBorder="1" applyAlignment="1">
      <alignment horizontal="right"/>
    </xf>
    <xf numFmtId="4" fontId="29" fillId="0" borderId="0" xfId="0" applyNumberFormat="1" applyFont="1"/>
    <xf numFmtId="0" fontId="30" fillId="0" borderId="0" xfId="0" applyFont="1"/>
    <xf numFmtId="0" fontId="31" fillId="0" borderId="0" xfId="0" applyFont="1"/>
    <xf numFmtId="0" fontId="43" fillId="0" borderId="7" xfId="3" applyFont="1" applyBorder="1" applyAlignment="1">
      <alignment horizontal="left" vertical="center" wrapText="1"/>
    </xf>
    <xf numFmtId="49" fontId="35" fillId="0" borderId="7" xfId="3" applyNumberFormat="1" applyFont="1" applyBorder="1" applyAlignment="1">
      <alignment horizontal="left" vertical="center" wrapText="1"/>
    </xf>
    <xf numFmtId="0" fontId="35" fillId="0" borderId="7" xfId="3" applyFont="1" applyBorder="1" applyAlignment="1">
      <alignment horizontal="left" vertical="center" wrapText="1"/>
    </xf>
    <xf numFmtId="0" fontId="35" fillId="0" borderId="7" xfId="3" applyFont="1" applyBorder="1" applyAlignment="1">
      <alignment horizontal="center" vertical="center" wrapText="1"/>
    </xf>
    <xf numFmtId="165" fontId="35" fillId="0" borderId="7" xfId="3" applyNumberFormat="1" applyFont="1" applyBorder="1" applyAlignment="1">
      <alignment vertical="center"/>
    </xf>
    <xf numFmtId="0" fontId="35" fillId="11" borderId="5" xfId="3" applyFont="1" applyFill="1" applyBorder="1" applyAlignment="1">
      <alignment horizontal="center" vertical="center" wrapText="1"/>
    </xf>
    <xf numFmtId="0" fontId="35" fillId="11" borderId="5" xfId="3" applyFont="1" applyFill="1" applyBorder="1" applyAlignment="1">
      <alignment horizontal="center" vertical="center" wrapText="1"/>
    </xf>
    <xf numFmtId="49" fontId="35" fillId="0" borderId="7" xfId="3" applyNumberFormat="1" applyFont="1" applyBorder="1" applyAlignment="1">
      <alignment horizontal="left" vertical="center" wrapText="1"/>
    </xf>
    <xf numFmtId="0" fontId="44" fillId="0" borderId="2" xfId="4" applyFont="1" applyBorder="1" applyAlignment="1">
      <alignment horizontal="left" vertical="center" wrapText="1"/>
    </xf>
    <xf numFmtId="49" fontId="44" fillId="0" borderId="2" xfId="4" applyNumberFormat="1" applyFont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34" fillId="0" borderId="0" xfId="0" applyFont="1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34" fillId="0" borderId="0" xfId="0" applyFont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35" fillId="11" borderId="4" xfId="0" applyFont="1" applyFill="1" applyBorder="1" applyAlignment="1">
      <alignment horizontal="center" vertical="center" wrapText="1"/>
    </xf>
    <xf numFmtId="0" fontId="35" fillId="11" borderId="5" xfId="0" applyFont="1" applyFill="1" applyBorder="1" applyAlignment="1">
      <alignment horizontal="center" vertical="center" wrapText="1"/>
    </xf>
    <xf numFmtId="0" fontId="35" fillId="11" borderId="6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left" vertical="center"/>
    </xf>
    <xf numFmtId="4" fontId="39" fillId="0" borderId="0" xfId="0" applyNumberFormat="1" applyFont="1"/>
    <xf numFmtId="0" fontId="38" fillId="0" borderId="0" xfId="0" applyFont="1"/>
    <xf numFmtId="0" fontId="38" fillId="0" borderId="3" xfId="0" applyFont="1" applyBorder="1"/>
    <xf numFmtId="0" fontId="38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38" fillId="0" borderId="0" xfId="0" applyFont="1" applyProtection="1">
      <protection locked="0"/>
    </xf>
    <xf numFmtId="4" fontId="36" fillId="0" borderId="0" xfId="0" applyNumberFormat="1" applyFont="1"/>
    <xf numFmtId="0" fontId="37" fillId="0" borderId="0" xfId="0" applyFont="1" applyAlignment="1">
      <alignment horizontal="left"/>
    </xf>
    <xf numFmtId="4" fontId="37" fillId="0" borderId="0" xfId="0" applyNumberFormat="1" applyFont="1"/>
    <xf numFmtId="0" fontId="35" fillId="0" borderId="7" xfId="0" applyFont="1" applyBorder="1" applyAlignment="1">
      <alignment horizontal="center" vertical="center"/>
    </xf>
    <xf numFmtId="49" fontId="35" fillId="0" borderId="7" xfId="0" applyNumberFormat="1" applyFont="1" applyBorder="1" applyAlignment="1">
      <alignment horizontal="left" vertical="center" wrapText="1"/>
    </xf>
    <xf numFmtId="0" fontId="35" fillId="0" borderId="7" xfId="0" applyFont="1" applyBorder="1" applyAlignment="1">
      <alignment horizontal="left" vertical="center" wrapText="1"/>
    </xf>
    <xf numFmtId="0" fontId="35" fillId="0" borderId="7" xfId="0" applyFont="1" applyBorder="1" applyAlignment="1">
      <alignment horizontal="center" vertical="center" wrapText="1"/>
    </xf>
    <xf numFmtId="165" fontId="35" fillId="0" borderId="7" xfId="0" applyNumberFormat="1" applyFont="1" applyBorder="1" applyAlignment="1">
      <alignment vertical="center"/>
    </xf>
    <xf numFmtId="4" fontId="35" fillId="12" borderId="7" xfId="0" applyNumberFormat="1" applyFont="1" applyFill="1" applyBorder="1" applyAlignment="1" applyProtection="1">
      <alignment vertical="center"/>
      <protection locked="0"/>
    </xf>
    <xf numFmtId="4" fontId="35" fillId="0" borderId="7" xfId="0" applyNumberFormat="1" applyFont="1" applyBorder="1" applyAlignment="1">
      <alignment vertical="center"/>
    </xf>
    <xf numFmtId="0" fontId="42" fillId="0" borderId="7" xfId="0" applyFont="1" applyBorder="1" applyAlignment="1">
      <alignment horizontal="center" vertical="center"/>
    </xf>
    <xf numFmtId="49" fontId="42" fillId="0" borderId="7" xfId="0" applyNumberFormat="1" applyFont="1" applyBorder="1" applyAlignment="1">
      <alignment horizontal="left" vertical="center" wrapText="1"/>
    </xf>
    <xf numFmtId="0" fontId="42" fillId="0" borderId="7" xfId="0" applyFont="1" applyBorder="1" applyAlignment="1">
      <alignment horizontal="left" vertical="center" wrapText="1"/>
    </xf>
    <xf numFmtId="0" fontId="42" fillId="0" borderId="7" xfId="0" applyFont="1" applyBorder="1" applyAlignment="1">
      <alignment horizontal="center" vertical="center" wrapText="1"/>
    </xf>
    <xf numFmtId="165" fontId="42" fillId="0" borderId="7" xfId="0" applyNumberFormat="1" applyFont="1" applyBorder="1" applyAlignment="1">
      <alignment vertical="center"/>
    </xf>
    <xf numFmtId="4" fontId="42" fillId="12" borderId="7" xfId="0" applyNumberFormat="1" applyFont="1" applyFill="1" applyBorder="1" applyAlignment="1" applyProtection="1">
      <alignment vertical="center"/>
      <protection locked="0"/>
    </xf>
    <xf numFmtId="4" fontId="42" fillId="0" borderId="7" xfId="0" applyNumberFormat="1" applyFont="1" applyBorder="1" applyAlignment="1">
      <alignment vertical="center"/>
    </xf>
    <xf numFmtId="0" fontId="45" fillId="0" borderId="0" xfId="0" applyFont="1" applyAlignment="1">
      <alignment vertical="center"/>
    </xf>
    <xf numFmtId="0" fontId="0" fillId="0" borderId="2" xfId="0" quotePrefix="1" applyBorder="1" applyAlignment="1">
      <alignment horizontal="left" vertical="center" wrapText="1"/>
    </xf>
    <xf numFmtId="0" fontId="0" fillId="0" borderId="2" xfId="0" quotePrefix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0" xfId="0" quotePrefix="1" applyBorder="1" applyAlignment="1">
      <alignment horizontal="left" vertical="center"/>
    </xf>
    <xf numFmtId="0" fontId="42" fillId="0" borderId="0" xfId="0" applyFont="1" applyBorder="1" applyAlignment="1">
      <alignment horizontal="center" vertical="center" wrapText="1"/>
    </xf>
    <xf numFmtId="165" fontId="42" fillId="0" borderId="0" xfId="0" applyNumberFormat="1" applyFont="1" applyBorder="1" applyAlignment="1">
      <alignment vertical="center"/>
    </xf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vertical="center" wrapText="1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46" fillId="0" borderId="10" xfId="0" applyFont="1" applyBorder="1" applyAlignment="1">
      <alignment wrapText="1"/>
    </xf>
    <xf numFmtId="0" fontId="47" fillId="0" borderId="10" xfId="0" applyFont="1" applyBorder="1" applyAlignment="1">
      <alignment wrapText="1"/>
    </xf>
    <xf numFmtId="0" fontId="50" fillId="0" borderId="10" xfId="0" applyFont="1" applyBorder="1" applyAlignment="1">
      <alignment wrapText="1"/>
    </xf>
    <xf numFmtId="0" fontId="6" fillId="0" borderId="0" xfId="0" applyFont="1"/>
    <xf numFmtId="0" fontId="51" fillId="0" borderId="0" xfId="0" applyFont="1"/>
    <xf numFmtId="0" fontId="51" fillId="0" borderId="0" xfId="0" applyFont="1" applyAlignment="1">
      <alignment horizontal="left"/>
    </xf>
    <xf numFmtId="0" fontId="46" fillId="0" borderId="0" xfId="0" applyFont="1" applyAlignment="1">
      <alignment horizontal="left"/>
    </xf>
    <xf numFmtId="4" fontId="46" fillId="0" borderId="0" xfId="0" applyNumberFormat="1" applyFont="1"/>
    <xf numFmtId="0" fontId="48" fillId="0" borderId="0" xfId="0" applyFont="1" applyAlignment="1">
      <alignment horizontal="left"/>
    </xf>
    <xf numFmtId="4" fontId="48" fillId="0" borderId="0" xfId="0" applyNumberFormat="1" applyFont="1"/>
    <xf numFmtId="0" fontId="49" fillId="0" borderId="7" xfId="0" applyFont="1" applyBorder="1" applyAlignment="1">
      <alignment horizontal="center" vertical="center"/>
    </xf>
    <xf numFmtId="49" fontId="49" fillId="0" borderId="7" xfId="0" applyNumberFormat="1" applyFont="1" applyBorder="1" applyAlignment="1">
      <alignment horizontal="left" vertical="center" wrapText="1"/>
    </xf>
    <xf numFmtId="0" fontId="49" fillId="0" borderId="7" xfId="0" applyFont="1" applyBorder="1" applyAlignment="1">
      <alignment horizontal="left" vertical="center" wrapText="1"/>
    </xf>
    <xf numFmtId="0" fontId="49" fillId="0" borderId="7" xfId="0" applyFont="1" applyBorder="1" applyAlignment="1">
      <alignment horizontal="center" vertical="center" wrapText="1"/>
    </xf>
    <xf numFmtId="165" fontId="49" fillId="0" borderId="7" xfId="0" applyNumberFormat="1" applyFont="1" applyBorder="1" applyAlignment="1">
      <alignment vertical="center"/>
    </xf>
    <xf numFmtId="4" fontId="49" fillId="13" borderId="7" xfId="0" applyNumberFormat="1" applyFont="1" applyFill="1" applyBorder="1" applyAlignment="1">
      <alignment vertical="center"/>
    </xf>
    <xf numFmtId="4" fontId="49" fillId="0" borderId="7" xfId="0" applyNumberFormat="1" applyFont="1" applyBorder="1" applyAlignment="1">
      <alignment vertical="center"/>
    </xf>
    <xf numFmtId="0" fontId="52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center" vertical="center" wrapText="1"/>
    </xf>
    <xf numFmtId="0" fontId="8" fillId="5" borderId="0" xfId="0" applyFont="1" applyFill="1" applyAlignment="1">
      <alignment horizontal="center" wrapText="1"/>
    </xf>
    <xf numFmtId="0" fontId="8" fillId="5" borderId="0" xfId="0" applyFont="1" applyFill="1" applyAlignment="1">
      <alignment horizontal="center"/>
    </xf>
    <xf numFmtId="0" fontId="10" fillId="0" borderId="0" xfId="0" applyFont="1" applyAlignment="1">
      <alignment horizontal="left" vertical="center" wrapText="1"/>
    </xf>
    <xf numFmtId="49" fontId="14" fillId="0" borderId="0" xfId="0" applyNumberFormat="1" applyFont="1" applyAlignment="1">
      <alignment horizontal="left"/>
    </xf>
    <xf numFmtId="49" fontId="49" fillId="8" borderId="7" xfId="0" applyNumberFormat="1" applyFont="1" applyFill="1" applyBorder="1" applyAlignment="1">
      <alignment horizontal="left" vertical="center" wrapText="1"/>
    </xf>
    <xf numFmtId="0" fontId="45" fillId="8" borderId="0" xfId="0" applyFont="1" applyFill="1" applyAlignment="1">
      <alignment vertical="center"/>
    </xf>
    <xf numFmtId="0" fontId="42" fillId="8" borderId="7" xfId="0" applyFont="1" applyFill="1" applyBorder="1" applyAlignment="1">
      <alignment horizontal="left" vertical="center" wrapText="1"/>
    </xf>
    <xf numFmtId="0" fontId="35" fillId="8" borderId="7" xfId="0" applyFont="1" applyFill="1" applyBorder="1" applyAlignment="1">
      <alignment horizontal="left" vertical="center" wrapText="1"/>
    </xf>
    <xf numFmtId="0" fontId="35" fillId="8" borderId="7" xfId="0" applyFont="1" applyFill="1" applyBorder="1" applyAlignment="1">
      <alignment horizontal="center" vertical="center" wrapText="1"/>
    </xf>
    <xf numFmtId="165" fontId="35" fillId="8" borderId="7" xfId="0" applyNumberFormat="1" applyFont="1" applyFill="1" applyBorder="1" applyAlignment="1">
      <alignment vertical="center"/>
    </xf>
    <xf numFmtId="4" fontId="35" fillId="8" borderId="7" xfId="0" applyNumberFormat="1" applyFont="1" applyFill="1" applyBorder="1" applyAlignment="1" applyProtection="1">
      <alignment vertical="center"/>
      <protection locked="0"/>
    </xf>
    <xf numFmtId="4" fontId="35" fillId="8" borderId="7" xfId="0" applyNumberFormat="1" applyFont="1" applyFill="1" applyBorder="1" applyAlignment="1">
      <alignment vertical="center"/>
    </xf>
    <xf numFmtId="0" fontId="42" fillId="8" borderId="7" xfId="0" applyFont="1" applyFill="1" applyBorder="1" applyAlignment="1">
      <alignment horizontal="center" vertical="center" wrapText="1"/>
    </xf>
    <xf numFmtId="165" fontId="42" fillId="8" borderId="7" xfId="0" applyNumberFormat="1" applyFont="1" applyFill="1" applyBorder="1" applyAlignment="1">
      <alignment vertical="center"/>
    </xf>
    <xf numFmtId="4" fontId="42" fillId="8" borderId="7" xfId="0" applyNumberFormat="1" applyFont="1" applyFill="1" applyBorder="1" applyAlignment="1" applyProtection="1">
      <alignment vertical="center"/>
      <protection locked="0"/>
    </xf>
    <xf numFmtId="4" fontId="42" fillId="8" borderId="7" xfId="0" applyNumberFormat="1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8" borderId="0" xfId="0" applyFill="1" applyBorder="1" applyAlignment="1">
      <alignment vertical="center"/>
    </xf>
    <xf numFmtId="0" fontId="43" fillId="8" borderId="7" xfId="3" applyFont="1" applyFill="1" applyBorder="1" applyAlignment="1">
      <alignment horizontal="left" vertical="center" wrapText="1"/>
    </xf>
    <xf numFmtId="0" fontId="35" fillId="8" borderId="7" xfId="3" applyFont="1" applyFill="1" applyBorder="1" applyAlignment="1">
      <alignment horizontal="center" vertical="center" wrapText="1"/>
    </xf>
    <xf numFmtId="165" fontId="35" fillId="8" borderId="7" xfId="3" applyNumberFormat="1" applyFont="1" applyFill="1" applyBorder="1" applyAlignment="1">
      <alignment vertical="center"/>
    </xf>
    <xf numFmtId="0" fontId="35" fillId="8" borderId="7" xfId="3" applyFont="1" applyFill="1" applyBorder="1" applyAlignment="1">
      <alignment horizontal="left" vertical="center" wrapText="1"/>
    </xf>
    <xf numFmtId="0" fontId="44" fillId="8" borderId="2" xfId="4" applyFont="1" applyFill="1" applyBorder="1" applyAlignment="1">
      <alignment horizontal="left" vertical="center" wrapText="1"/>
    </xf>
  </cellXfs>
  <cellStyles count="5">
    <cellStyle name="Normální" xfId="0" builtinId="0"/>
    <cellStyle name="Normální 2" xfId="3" xr:uid="{76DCFED1-9C37-4B43-987A-BD388457222B}"/>
    <cellStyle name="Normální 2 2" xfId="4" xr:uid="{C7BE55D5-7B35-466C-80D2-491E4FE2043D}"/>
    <cellStyle name="Normální 3" xfId="1" xr:uid="{C81EA335-F1CE-4DC2-AF09-3C037BBBADB6}"/>
    <cellStyle name="Normální 3 2" xfId="2" xr:uid="{660F267B-C032-40E8-A0C6-3058A9D42E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42E52-87BD-42CA-B188-30E2E1AC1EB8}">
  <dimension ref="A1:S62"/>
  <sheetViews>
    <sheetView topLeftCell="A12" zoomScale="85" zoomScaleNormal="85" workbookViewId="0">
      <selection activeCell="B1" sqref="A1:F7"/>
    </sheetView>
  </sheetViews>
  <sheetFormatPr defaultRowHeight="13.2"/>
  <cols>
    <col min="1" max="1" width="9.88671875" style="57" bestFit="1" customWidth="1"/>
    <col min="2" max="2" width="33.5546875" customWidth="1"/>
    <col min="3" max="3" width="25" style="14" customWidth="1"/>
    <col min="4" max="4" width="15" customWidth="1"/>
    <col min="5" max="5" width="11.109375" customWidth="1"/>
    <col min="6" max="6" width="31.109375" customWidth="1"/>
    <col min="7" max="7" width="0.77734375" customWidth="1"/>
    <col min="8" max="8" width="0" hidden="1" customWidth="1"/>
    <col min="9" max="9" width="28.109375" hidden="1" customWidth="1"/>
    <col min="10" max="10" width="18.21875" hidden="1" customWidth="1"/>
    <col min="11" max="18" width="0" hidden="1" customWidth="1"/>
  </cols>
  <sheetData>
    <row r="1" spans="1:7" ht="15.6">
      <c r="A1" s="54"/>
      <c r="B1" s="2"/>
      <c r="C1" s="15"/>
      <c r="D1" s="2"/>
      <c r="E1" s="2"/>
      <c r="F1" s="2"/>
      <c r="G1" s="2"/>
    </row>
    <row r="2" spans="1:7" ht="15.6">
      <c r="A2" s="55"/>
      <c r="B2" s="2"/>
      <c r="C2" s="15"/>
      <c r="D2" s="2"/>
      <c r="E2" s="2"/>
      <c r="F2" s="2"/>
      <c r="G2" s="2"/>
    </row>
    <row r="3" spans="1:7" ht="15.6">
      <c r="A3" s="55"/>
      <c r="B3" s="2"/>
      <c r="C3" s="15"/>
      <c r="D3" s="2"/>
      <c r="E3" s="2"/>
      <c r="F3" s="2"/>
      <c r="G3" s="2"/>
    </row>
    <row r="4" spans="1:7" ht="15.6">
      <c r="A4" s="55"/>
      <c r="B4" s="2"/>
      <c r="C4" s="15"/>
      <c r="D4" s="2"/>
      <c r="E4" s="2"/>
      <c r="F4" s="2"/>
      <c r="G4" s="2"/>
    </row>
    <row r="5" spans="1:7" ht="15.6">
      <c r="A5" s="55"/>
      <c r="B5" s="2"/>
      <c r="C5" s="15"/>
      <c r="D5" s="2"/>
      <c r="E5" s="2"/>
      <c r="F5" s="2"/>
      <c r="G5" s="2"/>
    </row>
    <row r="6" spans="1:7" ht="15.6">
      <c r="A6" s="55"/>
      <c r="B6" s="2"/>
      <c r="C6" s="15"/>
      <c r="D6" s="2"/>
      <c r="E6" s="2"/>
      <c r="F6" s="2"/>
      <c r="G6" s="2"/>
    </row>
    <row r="7" spans="1:7" ht="21">
      <c r="A7" s="147"/>
      <c r="B7" s="148"/>
      <c r="C7" s="148"/>
      <c r="D7" s="148"/>
      <c r="E7" s="148"/>
      <c r="F7" s="148"/>
      <c r="G7" s="2"/>
    </row>
    <row r="8" spans="1:7" ht="5.7" customHeight="1">
      <c r="A8" s="56"/>
      <c r="E8" s="3"/>
      <c r="F8" s="2"/>
      <c r="G8" s="2"/>
    </row>
    <row r="9" spans="1:7" ht="16.2" customHeight="1">
      <c r="B9" s="150"/>
      <c r="C9" s="151"/>
      <c r="D9" s="151"/>
      <c r="E9" s="151"/>
    </row>
    <row r="10" spans="1:7">
      <c r="A10" s="58"/>
    </row>
    <row r="11" spans="1:7">
      <c r="A11" s="58"/>
    </row>
    <row r="12" spans="1:7">
      <c r="A12" s="58"/>
    </row>
    <row r="13" spans="1:7">
      <c r="A13" s="58"/>
    </row>
    <row r="14" spans="1:7">
      <c r="A14" s="58"/>
    </row>
    <row r="15" spans="1:7">
      <c r="A15" s="58"/>
    </row>
    <row r="21" spans="1:9">
      <c r="B21" s="8"/>
    </row>
    <row r="22" spans="1:9">
      <c r="C22" s="16"/>
    </row>
    <row r="24" spans="1:9" ht="15.6">
      <c r="B24" s="1"/>
    </row>
    <row r="25" spans="1:9" ht="60" customHeight="1">
      <c r="B25" s="152"/>
      <c r="C25" s="152"/>
      <c r="D25" s="152"/>
      <c r="E25" s="152"/>
    </row>
    <row r="26" spans="1:9" ht="7.35" customHeight="1">
      <c r="B26" s="12"/>
      <c r="C26" s="17"/>
      <c r="D26" s="12"/>
      <c r="E26" s="12"/>
    </row>
    <row r="27" spans="1:9" ht="15">
      <c r="B27" s="11"/>
    </row>
    <row r="28" spans="1:9" ht="15.6">
      <c r="A28" s="59"/>
      <c r="B28" s="10" t="s">
        <v>3</v>
      </c>
    </row>
    <row r="29" spans="1:9" ht="111.75" customHeight="1">
      <c r="A29" s="59"/>
      <c r="B29" s="152" t="s">
        <v>8</v>
      </c>
      <c r="C29" s="152"/>
      <c r="D29" s="152"/>
      <c r="E29" s="152"/>
      <c r="F29" s="152"/>
      <c r="G29" s="152"/>
    </row>
    <row r="30" spans="1:9" ht="110.55" customHeight="1">
      <c r="A30" s="59"/>
      <c r="B30" s="152" t="s">
        <v>9</v>
      </c>
      <c r="C30" s="152"/>
      <c r="D30" s="152"/>
      <c r="E30" s="152"/>
      <c r="F30" s="152"/>
      <c r="G30" s="152"/>
    </row>
    <row r="31" spans="1:9" ht="12.75" customHeight="1">
      <c r="A31" s="59"/>
      <c r="B31" s="13"/>
      <c r="C31" s="17"/>
      <c r="D31" s="13"/>
      <c r="E31" s="13"/>
      <c r="F31" s="13"/>
      <c r="G31" s="13"/>
    </row>
    <row r="32" spans="1:9">
      <c r="B32" s="149" t="s">
        <v>78</v>
      </c>
      <c r="C32" s="149"/>
      <c r="D32" s="149"/>
      <c r="H32" s="46" t="s">
        <v>53</v>
      </c>
      <c r="I32" s="46"/>
    </row>
    <row r="33" spans="1:19">
      <c r="B33" s="4"/>
      <c r="C33" s="9"/>
      <c r="F33" s="52"/>
    </row>
    <row r="34" spans="1:19">
      <c r="B34" s="5" t="s">
        <v>0</v>
      </c>
      <c r="C34" s="18" t="s">
        <v>1</v>
      </c>
      <c r="E34" s="44"/>
    </row>
    <row r="35" spans="1:19" ht="15.6">
      <c r="A35" s="57" t="s">
        <v>48</v>
      </c>
      <c r="B35" s="6" t="s">
        <v>5</v>
      </c>
      <c r="C35" s="47" t="e">
        <f>Silnoproud!#REF!</f>
        <v>#REF!</v>
      </c>
      <c r="D35" t="s">
        <v>64</v>
      </c>
      <c r="E35" s="43"/>
      <c r="H35" t="s">
        <v>48</v>
      </c>
      <c r="I35" s="48" t="s">
        <v>12</v>
      </c>
      <c r="J35" s="47">
        <v>71491295.24000001</v>
      </c>
      <c r="K35" t="s">
        <v>49</v>
      </c>
    </row>
    <row r="36" spans="1:19" ht="15.6">
      <c r="B36" s="6" t="s">
        <v>18</v>
      </c>
      <c r="C36" s="47" t="e">
        <f>#REF!</f>
        <v>#REF!</v>
      </c>
      <c r="E36" s="43"/>
    </row>
    <row r="37" spans="1:19" ht="15.6">
      <c r="B37" s="6" t="s">
        <v>4</v>
      </c>
      <c r="C37" s="47" t="e">
        <f>Slaboproud!#REF!</f>
        <v>#REF!</v>
      </c>
      <c r="E37" s="43"/>
    </row>
    <row r="38" spans="1:19" ht="15.6">
      <c r="A38" s="57" t="s">
        <v>50</v>
      </c>
      <c r="B38" s="6" t="s">
        <v>21</v>
      </c>
      <c r="C38" s="47" t="e">
        <f>#REF!</f>
        <v>#REF!</v>
      </c>
      <c r="E38" s="43"/>
      <c r="H38" t="s">
        <v>50</v>
      </c>
      <c r="I38" s="48" t="s">
        <v>19</v>
      </c>
      <c r="J38" s="47">
        <v>2148765.7000000002</v>
      </c>
    </row>
    <row r="39" spans="1:19" ht="15.6">
      <c r="B39" s="6" t="s">
        <v>22</v>
      </c>
      <c r="C39" s="47" t="e">
        <f>#REF!</f>
        <v>#REF!</v>
      </c>
      <c r="E39" s="43"/>
    </row>
    <row r="40" spans="1:19" ht="15.6">
      <c r="A40" s="57" t="s">
        <v>47</v>
      </c>
      <c r="B40" s="6" t="s">
        <v>59</v>
      </c>
      <c r="C40" s="47"/>
      <c r="E40" s="43"/>
      <c r="H40" t="s">
        <v>47</v>
      </c>
      <c r="I40" s="48" t="s">
        <v>32</v>
      </c>
      <c r="J40" s="47">
        <v>2082752.3400000003</v>
      </c>
      <c r="K40" t="s">
        <v>40</v>
      </c>
    </row>
    <row r="41" spans="1:19" ht="15.6">
      <c r="B41" s="68" t="s">
        <v>57</v>
      </c>
      <c r="C41" s="69">
        <v>1109166</v>
      </c>
      <c r="D41" t="s">
        <v>63</v>
      </c>
      <c r="E41" s="43"/>
      <c r="I41" s="48"/>
      <c r="J41" s="47"/>
    </row>
    <row r="42" spans="1:19" ht="15.6">
      <c r="B42" s="60" t="s">
        <v>58</v>
      </c>
      <c r="C42" s="61" t="e">
        <f>#REF!</f>
        <v>#REF!</v>
      </c>
      <c r="D42" s="20" t="s">
        <v>60</v>
      </c>
      <c r="E42" s="43"/>
      <c r="I42" s="48"/>
      <c r="J42" s="47"/>
    </row>
    <row r="43" spans="1:19" ht="15.6">
      <c r="A43" s="57" t="s">
        <v>37</v>
      </c>
      <c r="B43" s="29" t="s">
        <v>54</v>
      </c>
      <c r="C43" s="49">
        <v>4341261.26</v>
      </c>
      <c r="E43" s="43"/>
      <c r="H43" t="s">
        <v>37</v>
      </c>
      <c r="I43" s="48" t="s">
        <v>27</v>
      </c>
      <c r="J43" s="47">
        <v>4427071.5299999993</v>
      </c>
    </row>
    <row r="44" spans="1:19" ht="15.6">
      <c r="A44" s="57" t="s">
        <v>38</v>
      </c>
      <c r="B44" s="29" t="s">
        <v>55</v>
      </c>
      <c r="C44" s="49">
        <v>4558405</v>
      </c>
      <c r="D44" t="s">
        <v>65</v>
      </c>
      <c r="E44" s="43"/>
      <c r="H44" t="s">
        <v>38</v>
      </c>
      <c r="I44" s="48" t="s">
        <v>29</v>
      </c>
      <c r="J44" s="47">
        <v>4988387.7699999986</v>
      </c>
    </row>
    <row r="45" spans="1:19" ht="15.6">
      <c r="A45" s="57" t="s">
        <v>39</v>
      </c>
      <c r="B45" s="29" t="s">
        <v>56</v>
      </c>
      <c r="C45" s="49">
        <v>707663</v>
      </c>
      <c r="E45" s="43"/>
      <c r="H45" t="s">
        <v>39</v>
      </c>
      <c r="I45" s="48" t="s">
        <v>30</v>
      </c>
      <c r="J45" s="47">
        <v>822030.52999999991</v>
      </c>
      <c r="K45" t="s">
        <v>40</v>
      </c>
    </row>
    <row r="46" spans="1:19" ht="15.6">
      <c r="A46" s="57" t="s">
        <v>41</v>
      </c>
      <c r="B46" s="29" t="s">
        <v>6</v>
      </c>
      <c r="C46" s="49">
        <v>23905929</v>
      </c>
      <c r="D46" s="20"/>
      <c r="E46" s="43"/>
      <c r="H46" t="s">
        <v>41</v>
      </c>
      <c r="I46" s="48" t="s">
        <v>24</v>
      </c>
      <c r="J46" s="47">
        <v>28450974.91</v>
      </c>
      <c r="K46" t="s">
        <v>42</v>
      </c>
    </row>
    <row r="47" spans="1:19" ht="15.6">
      <c r="A47" s="57" t="s">
        <v>45</v>
      </c>
      <c r="B47" s="29" t="s">
        <v>7</v>
      </c>
      <c r="C47" s="49"/>
      <c r="E47" s="43"/>
      <c r="H47" t="s">
        <v>45</v>
      </c>
      <c r="I47" s="48" t="s">
        <v>7</v>
      </c>
      <c r="J47" s="47">
        <v>53384044.020000003</v>
      </c>
      <c r="K47" t="s">
        <v>46</v>
      </c>
      <c r="S47" s="72" t="s">
        <v>79</v>
      </c>
    </row>
    <row r="48" spans="1:19" ht="15.6">
      <c r="B48" s="66" t="s">
        <v>62</v>
      </c>
      <c r="C48" s="67">
        <v>41991709.200000003</v>
      </c>
      <c r="E48" s="43"/>
      <c r="I48" s="48"/>
      <c r="J48" s="47"/>
    </row>
    <row r="49" spans="1:11" ht="15.6">
      <c r="B49" s="64" t="s">
        <v>61</v>
      </c>
      <c r="C49" s="65">
        <v>34878265</v>
      </c>
      <c r="D49" t="s">
        <v>63</v>
      </c>
      <c r="E49" s="43"/>
      <c r="I49" s="48"/>
      <c r="J49" s="47"/>
    </row>
    <row r="50" spans="1:11" ht="15.6">
      <c r="A50" s="57" t="s">
        <v>43</v>
      </c>
      <c r="B50" s="29" t="s">
        <v>31</v>
      </c>
      <c r="C50" s="49">
        <v>700497.02</v>
      </c>
      <c r="E50" s="43"/>
      <c r="F50" s="53"/>
      <c r="H50" t="s">
        <v>43</v>
      </c>
      <c r="I50" s="48" t="s">
        <v>31</v>
      </c>
      <c r="J50" s="47">
        <v>2490239.7099999995</v>
      </c>
      <c r="K50" t="s">
        <v>44</v>
      </c>
    </row>
    <row r="51" spans="1:11" ht="15.6">
      <c r="B51" s="62" t="s">
        <v>66</v>
      </c>
      <c r="C51" s="63" t="e">
        <f>#REF!</f>
        <v>#REF!</v>
      </c>
      <c r="E51" s="43"/>
      <c r="H51" t="s">
        <v>51</v>
      </c>
      <c r="I51" s="48" t="s">
        <v>52</v>
      </c>
      <c r="J51" s="47">
        <v>0</v>
      </c>
    </row>
    <row r="52" spans="1:11" ht="15.6">
      <c r="B52" s="62" t="s">
        <v>67</v>
      </c>
      <c r="C52" s="63" t="e">
        <f>#REF!</f>
        <v>#REF!</v>
      </c>
      <c r="E52" s="43"/>
      <c r="I52" s="48"/>
      <c r="J52" s="47"/>
    </row>
    <row r="53" spans="1:11" ht="15.6">
      <c r="B53" s="7" t="s">
        <v>2</v>
      </c>
      <c r="C53" s="50" t="e">
        <f>SUM(C35:C52)-C49-C41</f>
        <v>#REF!</v>
      </c>
      <c r="E53" s="43"/>
      <c r="H53" t="s">
        <v>34</v>
      </c>
      <c r="I53" s="48" t="s">
        <v>35</v>
      </c>
      <c r="J53" s="47">
        <v>170285561.75</v>
      </c>
      <c r="K53" t="s">
        <v>36</v>
      </c>
    </row>
    <row r="54" spans="1:11">
      <c r="C54" s="16"/>
    </row>
    <row r="55" spans="1:11">
      <c r="C55" s="16"/>
    </row>
    <row r="56" spans="1:11" ht="40.5" customHeight="1">
      <c r="B56" s="70" t="s">
        <v>76</v>
      </c>
      <c r="C56" s="16"/>
    </row>
    <row r="57" spans="1:11">
      <c r="C57" s="16"/>
      <c r="F57" s="20"/>
    </row>
    <row r="58" spans="1:11">
      <c r="B58" s="48" t="s">
        <v>74</v>
      </c>
      <c r="C58" t="s">
        <v>73</v>
      </c>
    </row>
    <row r="59" spans="1:11">
      <c r="B59" t="s">
        <v>75</v>
      </c>
    </row>
    <row r="60" spans="1:11" ht="15.6">
      <c r="B60" s="71" t="s">
        <v>68</v>
      </c>
      <c r="C60" s="63" t="e">
        <f>#REF!</f>
        <v>#REF!</v>
      </c>
      <c r="D60" t="s">
        <v>69</v>
      </c>
    </row>
    <row r="61" spans="1:11" ht="15.6">
      <c r="B61" s="71" t="s">
        <v>70</v>
      </c>
      <c r="C61" s="63" t="e">
        <f>#REF!</f>
        <v>#REF!</v>
      </c>
      <c r="D61" t="s">
        <v>77</v>
      </c>
    </row>
    <row r="62" spans="1:11" ht="15.6">
      <c r="B62" s="71" t="s">
        <v>71</v>
      </c>
      <c r="C62" s="63" t="e">
        <f>#REF!</f>
        <v>#REF!</v>
      </c>
      <c r="D62" t="s">
        <v>72</v>
      </c>
    </row>
  </sheetData>
  <mergeCells count="6">
    <mergeCell ref="A7:F7"/>
    <mergeCell ref="B32:D32"/>
    <mergeCell ref="B9:E9"/>
    <mergeCell ref="B25:E25"/>
    <mergeCell ref="B30:G30"/>
    <mergeCell ref="B29:G29"/>
  </mergeCells>
  <pageMargins left="0.7" right="0.7" top="0.78740157499999996" bottom="0.78740157499999996" header="0.3" footer="0.3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3B7BE-AE51-47C4-9323-4F28B3E5222F}">
  <dimension ref="A1:X457"/>
  <sheetViews>
    <sheetView tabSelected="1" zoomScale="85" zoomScaleNormal="85" workbookViewId="0">
      <selection activeCell="T156" sqref="T156"/>
    </sheetView>
  </sheetViews>
  <sheetFormatPr defaultColWidth="11.33203125" defaultRowHeight="13.2" outlineLevelRow="4"/>
  <cols>
    <col min="1" max="1" width="13.77734375" style="28" bestFit="1" customWidth="1"/>
    <col min="2" max="2" width="10.6640625" style="27" customWidth="1"/>
    <col min="3" max="3" width="42.6640625" style="21" customWidth="1"/>
    <col min="4" max="4" width="4.88671875" style="22" customWidth="1"/>
    <col min="5" max="5" width="11.33203125" style="22" hidden="1" customWidth="1"/>
    <col min="6" max="6" width="12.33203125" style="22" hidden="1" customWidth="1"/>
    <col min="7" max="7" width="9.88671875" style="22" hidden="1" customWidth="1"/>
    <col min="8" max="8" width="12.33203125" style="22" hidden="1" customWidth="1"/>
    <col min="9" max="9" width="11.33203125" style="22" hidden="1" customWidth="1"/>
    <col min="10" max="10" width="12.33203125" style="22" hidden="1" customWidth="1"/>
    <col min="11" max="11" width="13" style="22" customWidth="1"/>
    <col min="12" max="12" width="21.21875" style="22" customWidth="1"/>
    <col min="13" max="13" width="9.88671875" style="22" hidden="1" customWidth="1"/>
    <col min="14" max="14" width="12.33203125" style="22" hidden="1" customWidth="1"/>
    <col min="15" max="15" width="11.33203125" style="22" hidden="1" customWidth="1"/>
    <col min="16" max="16" width="12.33203125" style="22" hidden="1" customWidth="1"/>
    <col min="17" max="18" width="4.21875" style="22" hidden="1" customWidth="1"/>
    <col min="19" max="19" width="11.33203125" style="22" customWidth="1"/>
    <col min="20" max="20" width="22.33203125" style="22" customWidth="1"/>
    <col min="21" max="21" width="9.88671875" style="22" customWidth="1"/>
    <col min="22" max="22" width="17.33203125" style="22" customWidth="1"/>
    <col min="23" max="23" width="17" style="23" customWidth="1"/>
    <col min="24" max="24" width="17.33203125" style="22" customWidth="1"/>
    <col min="25" max="256" width="11.33203125" style="22"/>
    <col min="257" max="257" width="13.77734375" style="22" bestFit="1" customWidth="1"/>
    <col min="258" max="258" width="60.77734375" style="22" customWidth="1"/>
    <col min="259" max="259" width="9.88671875" style="22" bestFit="1" customWidth="1"/>
    <col min="260" max="260" width="3.21875" style="22" bestFit="1" customWidth="1"/>
    <col min="261" max="261" width="11.33203125" style="22"/>
    <col min="262" max="262" width="12.33203125" style="22" bestFit="1" customWidth="1"/>
    <col min="263" max="263" width="9.88671875" style="22" bestFit="1" customWidth="1"/>
    <col min="264" max="264" width="12.33203125" style="22" bestFit="1" customWidth="1"/>
    <col min="265" max="265" width="11.33203125" style="22"/>
    <col min="266" max="266" width="12.33203125" style="22" bestFit="1" customWidth="1"/>
    <col min="267" max="267" width="11.33203125" style="22"/>
    <col min="268" max="268" width="12.33203125" style="22" bestFit="1" customWidth="1"/>
    <col min="269" max="269" width="9.88671875" style="22" bestFit="1" customWidth="1"/>
    <col min="270" max="270" width="12.33203125" style="22" bestFit="1" customWidth="1"/>
    <col min="271" max="271" width="11.33203125" style="22"/>
    <col min="272" max="272" width="12.33203125" style="22" bestFit="1" customWidth="1"/>
    <col min="273" max="274" width="4.21875" style="22" bestFit="1" customWidth="1"/>
    <col min="275" max="275" width="11.33203125" style="22"/>
    <col min="276" max="276" width="12.33203125" style="22" bestFit="1" customWidth="1"/>
    <col min="277" max="277" width="9.88671875" style="22" bestFit="1" customWidth="1"/>
    <col min="278" max="278" width="12.33203125" style="22" bestFit="1" customWidth="1"/>
    <col min="279" max="512" width="11.33203125" style="22"/>
    <col min="513" max="513" width="13.77734375" style="22" bestFit="1" customWidth="1"/>
    <col min="514" max="514" width="60.77734375" style="22" customWidth="1"/>
    <col min="515" max="515" width="9.88671875" style="22" bestFit="1" customWidth="1"/>
    <col min="516" max="516" width="3.21875" style="22" bestFit="1" customWidth="1"/>
    <col min="517" max="517" width="11.33203125" style="22"/>
    <col min="518" max="518" width="12.33203125" style="22" bestFit="1" customWidth="1"/>
    <col min="519" max="519" width="9.88671875" style="22" bestFit="1" customWidth="1"/>
    <col min="520" max="520" width="12.33203125" style="22" bestFit="1" customWidth="1"/>
    <col min="521" max="521" width="11.33203125" style="22"/>
    <col min="522" max="522" width="12.33203125" style="22" bestFit="1" customWidth="1"/>
    <col min="523" max="523" width="11.33203125" style="22"/>
    <col min="524" max="524" width="12.33203125" style="22" bestFit="1" customWidth="1"/>
    <col min="525" max="525" width="9.88671875" style="22" bestFit="1" customWidth="1"/>
    <col min="526" max="526" width="12.33203125" style="22" bestFit="1" customWidth="1"/>
    <col min="527" max="527" width="11.33203125" style="22"/>
    <col min="528" max="528" width="12.33203125" style="22" bestFit="1" customWidth="1"/>
    <col min="529" max="530" width="4.21875" style="22" bestFit="1" customWidth="1"/>
    <col min="531" max="531" width="11.33203125" style="22"/>
    <col min="532" max="532" width="12.33203125" style="22" bestFit="1" customWidth="1"/>
    <col min="533" max="533" width="9.88671875" style="22" bestFit="1" customWidth="1"/>
    <col min="534" max="534" width="12.33203125" style="22" bestFit="1" customWidth="1"/>
    <col min="535" max="768" width="11.33203125" style="22"/>
    <col min="769" max="769" width="13.77734375" style="22" bestFit="1" customWidth="1"/>
    <col min="770" max="770" width="60.77734375" style="22" customWidth="1"/>
    <col min="771" max="771" width="9.88671875" style="22" bestFit="1" customWidth="1"/>
    <col min="772" max="772" width="3.21875" style="22" bestFit="1" customWidth="1"/>
    <col min="773" max="773" width="11.33203125" style="22"/>
    <col min="774" max="774" width="12.33203125" style="22" bestFit="1" customWidth="1"/>
    <col min="775" max="775" width="9.88671875" style="22" bestFit="1" customWidth="1"/>
    <col min="776" max="776" width="12.33203125" style="22" bestFit="1" customWidth="1"/>
    <col min="777" max="777" width="11.33203125" style="22"/>
    <col min="778" max="778" width="12.33203125" style="22" bestFit="1" customWidth="1"/>
    <col min="779" max="779" width="11.33203125" style="22"/>
    <col min="780" max="780" width="12.33203125" style="22" bestFit="1" customWidth="1"/>
    <col min="781" max="781" width="9.88671875" style="22" bestFit="1" customWidth="1"/>
    <col min="782" max="782" width="12.33203125" style="22" bestFit="1" customWidth="1"/>
    <col min="783" max="783" width="11.33203125" style="22"/>
    <col min="784" max="784" width="12.33203125" style="22" bestFit="1" customWidth="1"/>
    <col min="785" max="786" width="4.21875" style="22" bestFit="1" customWidth="1"/>
    <col min="787" max="787" width="11.33203125" style="22"/>
    <col min="788" max="788" width="12.33203125" style="22" bestFit="1" customWidth="1"/>
    <col min="789" max="789" width="9.88671875" style="22" bestFit="1" customWidth="1"/>
    <col min="790" max="790" width="12.33203125" style="22" bestFit="1" customWidth="1"/>
    <col min="791" max="1024" width="11.33203125" style="22"/>
    <col min="1025" max="1025" width="13.77734375" style="22" bestFit="1" customWidth="1"/>
    <col min="1026" max="1026" width="60.77734375" style="22" customWidth="1"/>
    <col min="1027" max="1027" width="9.88671875" style="22" bestFit="1" customWidth="1"/>
    <col min="1028" max="1028" width="3.21875" style="22" bestFit="1" customWidth="1"/>
    <col min="1029" max="1029" width="11.33203125" style="22"/>
    <col min="1030" max="1030" width="12.33203125" style="22" bestFit="1" customWidth="1"/>
    <col min="1031" max="1031" width="9.88671875" style="22" bestFit="1" customWidth="1"/>
    <col min="1032" max="1032" width="12.33203125" style="22" bestFit="1" customWidth="1"/>
    <col min="1033" max="1033" width="11.33203125" style="22"/>
    <col min="1034" max="1034" width="12.33203125" style="22" bestFit="1" customWidth="1"/>
    <col min="1035" max="1035" width="11.33203125" style="22"/>
    <col min="1036" max="1036" width="12.33203125" style="22" bestFit="1" customWidth="1"/>
    <col min="1037" max="1037" width="9.88671875" style="22" bestFit="1" customWidth="1"/>
    <col min="1038" max="1038" width="12.33203125" style="22" bestFit="1" customWidth="1"/>
    <col min="1039" max="1039" width="11.33203125" style="22"/>
    <col min="1040" max="1040" width="12.33203125" style="22" bestFit="1" customWidth="1"/>
    <col min="1041" max="1042" width="4.21875" style="22" bestFit="1" customWidth="1"/>
    <col min="1043" max="1043" width="11.33203125" style="22"/>
    <col min="1044" max="1044" width="12.33203125" style="22" bestFit="1" customWidth="1"/>
    <col min="1045" max="1045" width="9.88671875" style="22" bestFit="1" customWidth="1"/>
    <col min="1046" max="1046" width="12.33203125" style="22" bestFit="1" customWidth="1"/>
    <col min="1047" max="1280" width="11.33203125" style="22"/>
    <col min="1281" max="1281" width="13.77734375" style="22" bestFit="1" customWidth="1"/>
    <col min="1282" max="1282" width="60.77734375" style="22" customWidth="1"/>
    <col min="1283" max="1283" width="9.88671875" style="22" bestFit="1" customWidth="1"/>
    <col min="1284" max="1284" width="3.21875" style="22" bestFit="1" customWidth="1"/>
    <col min="1285" max="1285" width="11.33203125" style="22"/>
    <col min="1286" max="1286" width="12.33203125" style="22" bestFit="1" customWidth="1"/>
    <col min="1287" max="1287" width="9.88671875" style="22" bestFit="1" customWidth="1"/>
    <col min="1288" max="1288" width="12.33203125" style="22" bestFit="1" customWidth="1"/>
    <col min="1289" max="1289" width="11.33203125" style="22"/>
    <col min="1290" max="1290" width="12.33203125" style="22" bestFit="1" customWidth="1"/>
    <col min="1291" max="1291" width="11.33203125" style="22"/>
    <col min="1292" max="1292" width="12.33203125" style="22" bestFit="1" customWidth="1"/>
    <col min="1293" max="1293" width="9.88671875" style="22" bestFit="1" customWidth="1"/>
    <col min="1294" max="1294" width="12.33203125" style="22" bestFit="1" customWidth="1"/>
    <col min="1295" max="1295" width="11.33203125" style="22"/>
    <col min="1296" max="1296" width="12.33203125" style="22" bestFit="1" customWidth="1"/>
    <col min="1297" max="1298" width="4.21875" style="22" bestFit="1" customWidth="1"/>
    <col min="1299" max="1299" width="11.33203125" style="22"/>
    <col min="1300" max="1300" width="12.33203125" style="22" bestFit="1" customWidth="1"/>
    <col min="1301" max="1301" width="9.88671875" style="22" bestFit="1" customWidth="1"/>
    <col min="1302" max="1302" width="12.33203125" style="22" bestFit="1" customWidth="1"/>
    <col min="1303" max="1536" width="11.33203125" style="22"/>
    <col min="1537" max="1537" width="13.77734375" style="22" bestFit="1" customWidth="1"/>
    <col min="1538" max="1538" width="60.77734375" style="22" customWidth="1"/>
    <col min="1539" max="1539" width="9.88671875" style="22" bestFit="1" customWidth="1"/>
    <col min="1540" max="1540" width="3.21875" style="22" bestFit="1" customWidth="1"/>
    <col min="1541" max="1541" width="11.33203125" style="22"/>
    <col min="1542" max="1542" width="12.33203125" style="22" bestFit="1" customWidth="1"/>
    <col min="1543" max="1543" width="9.88671875" style="22" bestFit="1" customWidth="1"/>
    <col min="1544" max="1544" width="12.33203125" style="22" bestFit="1" customWidth="1"/>
    <col min="1545" max="1545" width="11.33203125" style="22"/>
    <col min="1546" max="1546" width="12.33203125" style="22" bestFit="1" customWidth="1"/>
    <col min="1547" max="1547" width="11.33203125" style="22"/>
    <col min="1548" max="1548" width="12.33203125" style="22" bestFit="1" customWidth="1"/>
    <col min="1549" max="1549" width="9.88671875" style="22" bestFit="1" customWidth="1"/>
    <col min="1550" max="1550" width="12.33203125" style="22" bestFit="1" customWidth="1"/>
    <col min="1551" max="1551" width="11.33203125" style="22"/>
    <col min="1552" max="1552" width="12.33203125" style="22" bestFit="1" customWidth="1"/>
    <col min="1553" max="1554" width="4.21875" style="22" bestFit="1" customWidth="1"/>
    <col min="1555" max="1555" width="11.33203125" style="22"/>
    <col min="1556" max="1556" width="12.33203125" style="22" bestFit="1" customWidth="1"/>
    <col min="1557" max="1557" width="9.88671875" style="22" bestFit="1" customWidth="1"/>
    <col min="1558" max="1558" width="12.33203125" style="22" bestFit="1" customWidth="1"/>
    <col min="1559" max="1792" width="11.33203125" style="22"/>
    <col min="1793" max="1793" width="13.77734375" style="22" bestFit="1" customWidth="1"/>
    <col min="1794" max="1794" width="60.77734375" style="22" customWidth="1"/>
    <col min="1795" max="1795" width="9.88671875" style="22" bestFit="1" customWidth="1"/>
    <col min="1796" max="1796" width="3.21875" style="22" bestFit="1" customWidth="1"/>
    <col min="1797" max="1797" width="11.33203125" style="22"/>
    <col min="1798" max="1798" width="12.33203125" style="22" bestFit="1" customWidth="1"/>
    <col min="1799" max="1799" width="9.88671875" style="22" bestFit="1" customWidth="1"/>
    <col min="1800" max="1800" width="12.33203125" style="22" bestFit="1" customWidth="1"/>
    <col min="1801" max="1801" width="11.33203125" style="22"/>
    <col min="1802" max="1802" width="12.33203125" style="22" bestFit="1" customWidth="1"/>
    <col min="1803" max="1803" width="11.33203125" style="22"/>
    <col min="1804" max="1804" width="12.33203125" style="22" bestFit="1" customWidth="1"/>
    <col min="1805" max="1805" width="9.88671875" style="22" bestFit="1" customWidth="1"/>
    <col min="1806" max="1806" width="12.33203125" style="22" bestFit="1" customWidth="1"/>
    <col min="1807" max="1807" width="11.33203125" style="22"/>
    <col min="1808" max="1808" width="12.33203125" style="22" bestFit="1" customWidth="1"/>
    <col min="1809" max="1810" width="4.21875" style="22" bestFit="1" customWidth="1"/>
    <col min="1811" max="1811" width="11.33203125" style="22"/>
    <col min="1812" max="1812" width="12.33203125" style="22" bestFit="1" customWidth="1"/>
    <col min="1813" max="1813" width="9.88671875" style="22" bestFit="1" customWidth="1"/>
    <col min="1814" max="1814" width="12.33203125" style="22" bestFit="1" customWidth="1"/>
    <col min="1815" max="2048" width="11.33203125" style="22"/>
    <col min="2049" max="2049" width="13.77734375" style="22" bestFit="1" customWidth="1"/>
    <col min="2050" max="2050" width="60.77734375" style="22" customWidth="1"/>
    <col min="2051" max="2051" width="9.88671875" style="22" bestFit="1" customWidth="1"/>
    <col min="2052" max="2052" width="3.21875" style="22" bestFit="1" customWidth="1"/>
    <col min="2053" max="2053" width="11.33203125" style="22"/>
    <col min="2054" max="2054" width="12.33203125" style="22" bestFit="1" customWidth="1"/>
    <col min="2055" max="2055" width="9.88671875" style="22" bestFit="1" customWidth="1"/>
    <col min="2056" max="2056" width="12.33203125" style="22" bestFit="1" customWidth="1"/>
    <col min="2057" max="2057" width="11.33203125" style="22"/>
    <col min="2058" max="2058" width="12.33203125" style="22" bestFit="1" customWidth="1"/>
    <col min="2059" max="2059" width="11.33203125" style="22"/>
    <col min="2060" max="2060" width="12.33203125" style="22" bestFit="1" customWidth="1"/>
    <col min="2061" max="2061" width="9.88671875" style="22" bestFit="1" customWidth="1"/>
    <col min="2062" max="2062" width="12.33203125" style="22" bestFit="1" customWidth="1"/>
    <col min="2063" max="2063" width="11.33203125" style="22"/>
    <col min="2064" max="2064" width="12.33203125" style="22" bestFit="1" customWidth="1"/>
    <col min="2065" max="2066" width="4.21875" style="22" bestFit="1" customWidth="1"/>
    <col min="2067" max="2067" width="11.33203125" style="22"/>
    <col min="2068" max="2068" width="12.33203125" style="22" bestFit="1" customWidth="1"/>
    <col min="2069" max="2069" width="9.88671875" style="22" bestFit="1" customWidth="1"/>
    <col min="2070" max="2070" width="12.33203125" style="22" bestFit="1" customWidth="1"/>
    <col min="2071" max="2304" width="11.33203125" style="22"/>
    <col min="2305" max="2305" width="13.77734375" style="22" bestFit="1" customWidth="1"/>
    <col min="2306" max="2306" width="60.77734375" style="22" customWidth="1"/>
    <col min="2307" max="2307" width="9.88671875" style="22" bestFit="1" customWidth="1"/>
    <col min="2308" max="2308" width="3.21875" style="22" bestFit="1" customWidth="1"/>
    <col min="2309" max="2309" width="11.33203125" style="22"/>
    <col min="2310" max="2310" width="12.33203125" style="22" bestFit="1" customWidth="1"/>
    <col min="2311" max="2311" width="9.88671875" style="22" bestFit="1" customWidth="1"/>
    <col min="2312" max="2312" width="12.33203125" style="22" bestFit="1" customWidth="1"/>
    <col min="2313" max="2313" width="11.33203125" style="22"/>
    <col min="2314" max="2314" width="12.33203125" style="22" bestFit="1" customWidth="1"/>
    <col min="2315" max="2315" width="11.33203125" style="22"/>
    <col min="2316" max="2316" width="12.33203125" style="22" bestFit="1" customWidth="1"/>
    <col min="2317" max="2317" width="9.88671875" style="22" bestFit="1" customWidth="1"/>
    <col min="2318" max="2318" width="12.33203125" style="22" bestFit="1" customWidth="1"/>
    <col min="2319" max="2319" width="11.33203125" style="22"/>
    <col min="2320" max="2320" width="12.33203125" style="22" bestFit="1" customWidth="1"/>
    <col min="2321" max="2322" width="4.21875" style="22" bestFit="1" customWidth="1"/>
    <col min="2323" max="2323" width="11.33203125" style="22"/>
    <col min="2324" max="2324" width="12.33203125" style="22" bestFit="1" customWidth="1"/>
    <col min="2325" max="2325" width="9.88671875" style="22" bestFit="1" customWidth="1"/>
    <col min="2326" max="2326" width="12.33203125" style="22" bestFit="1" customWidth="1"/>
    <col min="2327" max="2560" width="11.33203125" style="22"/>
    <col min="2561" max="2561" width="13.77734375" style="22" bestFit="1" customWidth="1"/>
    <col min="2562" max="2562" width="60.77734375" style="22" customWidth="1"/>
    <col min="2563" max="2563" width="9.88671875" style="22" bestFit="1" customWidth="1"/>
    <col min="2564" max="2564" width="3.21875" style="22" bestFit="1" customWidth="1"/>
    <col min="2565" max="2565" width="11.33203125" style="22"/>
    <col min="2566" max="2566" width="12.33203125" style="22" bestFit="1" customWidth="1"/>
    <col min="2567" max="2567" width="9.88671875" style="22" bestFit="1" customWidth="1"/>
    <col min="2568" max="2568" width="12.33203125" style="22" bestFit="1" customWidth="1"/>
    <col min="2569" max="2569" width="11.33203125" style="22"/>
    <col min="2570" max="2570" width="12.33203125" style="22" bestFit="1" customWidth="1"/>
    <col min="2571" max="2571" width="11.33203125" style="22"/>
    <col min="2572" max="2572" width="12.33203125" style="22" bestFit="1" customWidth="1"/>
    <col min="2573" max="2573" width="9.88671875" style="22" bestFit="1" customWidth="1"/>
    <col min="2574" max="2574" width="12.33203125" style="22" bestFit="1" customWidth="1"/>
    <col min="2575" max="2575" width="11.33203125" style="22"/>
    <col min="2576" max="2576" width="12.33203125" style="22" bestFit="1" customWidth="1"/>
    <col min="2577" max="2578" width="4.21875" style="22" bestFit="1" customWidth="1"/>
    <col min="2579" max="2579" width="11.33203125" style="22"/>
    <col min="2580" max="2580" width="12.33203125" style="22" bestFit="1" customWidth="1"/>
    <col min="2581" max="2581" width="9.88671875" style="22" bestFit="1" customWidth="1"/>
    <col min="2582" max="2582" width="12.33203125" style="22" bestFit="1" customWidth="1"/>
    <col min="2583" max="2816" width="11.33203125" style="22"/>
    <col min="2817" max="2817" width="13.77734375" style="22" bestFit="1" customWidth="1"/>
    <col min="2818" max="2818" width="60.77734375" style="22" customWidth="1"/>
    <col min="2819" max="2819" width="9.88671875" style="22" bestFit="1" customWidth="1"/>
    <col min="2820" max="2820" width="3.21875" style="22" bestFit="1" customWidth="1"/>
    <col min="2821" max="2821" width="11.33203125" style="22"/>
    <col min="2822" max="2822" width="12.33203125" style="22" bestFit="1" customWidth="1"/>
    <col min="2823" max="2823" width="9.88671875" style="22" bestFit="1" customWidth="1"/>
    <col min="2824" max="2824" width="12.33203125" style="22" bestFit="1" customWidth="1"/>
    <col min="2825" max="2825" width="11.33203125" style="22"/>
    <col min="2826" max="2826" width="12.33203125" style="22" bestFit="1" customWidth="1"/>
    <col min="2827" max="2827" width="11.33203125" style="22"/>
    <col min="2828" max="2828" width="12.33203125" style="22" bestFit="1" customWidth="1"/>
    <col min="2829" max="2829" width="9.88671875" style="22" bestFit="1" customWidth="1"/>
    <col min="2830" max="2830" width="12.33203125" style="22" bestFit="1" customWidth="1"/>
    <col min="2831" max="2831" width="11.33203125" style="22"/>
    <col min="2832" max="2832" width="12.33203125" style="22" bestFit="1" customWidth="1"/>
    <col min="2833" max="2834" width="4.21875" style="22" bestFit="1" customWidth="1"/>
    <col min="2835" max="2835" width="11.33203125" style="22"/>
    <col min="2836" max="2836" width="12.33203125" style="22" bestFit="1" customWidth="1"/>
    <col min="2837" max="2837" width="9.88671875" style="22" bestFit="1" customWidth="1"/>
    <col min="2838" max="2838" width="12.33203125" style="22" bestFit="1" customWidth="1"/>
    <col min="2839" max="3072" width="11.33203125" style="22"/>
    <col min="3073" max="3073" width="13.77734375" style="22" bestFit="1" customWidth="1"/>
    <col min="3074" max="3074" width="60.77734375" style="22" customWidth="1"/>
    <col min="3075" max="3075" width="9.88671875" style="22" bestFit="1" customWidth="1"/>
    <col min="3076" max="3076" width="3.21875" style="22" bestFit="1" customWidth="1"/>
    <col min="3077" max="3077" width="11.33203125" style="22"/>
    <col min="3078" max="3078" width="12.33203125" style="22" bestFit="1" customWidth="1"/>
    <col min="3079" max="3079" width="9.88671875" style="22" bestFit="1" customWidth="1"/>
    <col min="3080" max="3080" width="12.33203125" style="22" bestFit="1" customWidth="1"/>
    <col min="3081" max="3081" width="11.33203125" style="22"/>
    <col min="3082" max="3082" width="12.33203125" style="22" bestFit="1" customWidth="1"/>
    <col min="3083" max="3083" width="11.33203125" style="22"/>
    <col min="3084" max="3084" width="12.33203125" style="22" bestFit="1" customWidth="1"/>
    <col min="3085" max="3085" width="9.88671875" style="22" bestFit="1" customWidth="1"/>
    <col min="3086" max="3086" width="12.33203125" style="22" bestFit="1" customWidth="1"/>
    <col min="3087" max="3087" width="11.33203125" style="22"/>
    <col min="3088" max="3088" width="12.33203125" style="22" bestFit="1" customWidth="1"/>
    <col min="3089" max="3090" width="4.21875" style="22" bestFit="1" customWidth="1"/>
    <col min="3091" max="3091" width="11.33203125" style="22"/>
    <col min="3092" max="3092" width="12.33203125" style="22" bestFit="1" customWidth="1"/>
    <col min="3093" max="3093" width="9.88671875" style="22" bestFit="1" customWidth="1"/>
    <col min="3094" max="3094" width="12.33203125" style="22" bestFit="1" customWidth="1"/>
    <col min="3095" max="3328" width="11.33203125" style="22"/>
    <col min="3329" max="3329" width="13.77734375" style="22" bestFit="1" customWidth="1"/>
    <col min="3330" max="3330" width="60.77734375" style="22" customWidth="1"/>
    <col min="3331" max="3331" width="9.88671875" style="22" bestFit="1" customWidth="1"/>
    <col min="3332" max="3332" width="3.21875" style="22" bestFit="1" customWidth="1"/>
    <col min="3333" max="3333" width="11.33203125" style="22"/>
    <col min="3334" max="3334" width="12.33203125" style="22" bestFit="1" customWidth="1"/>
    <col min="3335" max="3335" width="9.88671875" style="22" bestFit="1" customWidth="1"/>
    <col min="3336" max="3336" width="12.33203125" style="22" bestFit="1" customWidth="1"/>
    <col min="3337" max="3337" width="11.33203125" style="22"/>
    <col min="3338" max="3338" width="12.33203125" style="22" bestFit="1" customWidth="1"/>
    <col min="3339" max="3339" width="11.33203125" style="22"/>
    <col min="3340" max="3340" width="12.33203125" style="22" bestFit="1" customWidth="1"/>
    <col min="3341" max="3341" width="9.88671875" style="22" bestFit="1" customWidth="1"/>
    <col min="3342" max="3342" width="12.33203125" style="22" bestFit="1" customWidth="1"/>
    <col min="3343" max="3343" width="11.33203125" style="22"/>
    <col min="3344" max="3344" width="12.33203125" style="22" bestFit="1" customWidth="1"/>
    <col min="3345" max="3346" width="4.21875" style="22" bestFit="1" customWidth="1"/>
    <col min="3347" max="3347" width="11.33203125" style="22"/>
    <col min="3348" max="3348" width="12.33203125" style="22" bestFit="1" customWidth="1"/>
    <col min="3349" max="3349" width="9.88671875" style="22" bestFit="1" customWidth="1"/>
    <col min="3350" max="3350" width="12.33203125" style="22" bestFit="1" customWidth="1"/>
    <col min="3351" max="3584" width="11.33203125" style="22"/>
    <col min="3585" max="3585" width="13.77734375" style="22" bestFit="1" customWidth="1"/>
    <col min="3586" max="3586" width="60.77734375" style="22" customWidth="1"/>
    <col min="3587" max="3587" width="9.88671875" style="22" bestFit="1" customWidth="1"/>
    <col min="3588" max="3588" width="3.21875" style="22" bestFit="1" customWidth="1"/>
    <col min="3589" max="3589" width="11.33203125" style="22"/>
    <col min="3590" max="3590" width="12.33203125" style="22" bestFit="1" customWidth="1"/>
    <col min="3591" max="3591" width="9.88671875" style="22" bestFit="1" customWidth="1"/>
    <col min="3592" max="3592" width="12.33203125" style="22" bestFit="1" customWidth="1"/>
    <col min="3593" max="3593" width="11.33203125" style="22"/>
    <col min="3594" max="3594" width="12.33203125" style="22" bestFit="1" customWidth="1"/>
    <col min="3595" max="3595" width="11.33203125" style="22"/>
    <col min="3596" max="3596" width="12.33203125" style="22" bestFit="1" customWidth="1"/>
    <col min="3597" max="3597" width="9.88671875" style="22" bestFit="1" customWidth="1"/>
    <col min="3598" max="3598" width="12.33203125" style="22" bestFit="1" customWidth="1"/>
    <col min="3599" max="3599" width="11.33203125" style="22"/>
    <col min="3600" max="3600" width="12.33203125" style="22" bestFit="1" customWidth="1"/>
    <col min="3601" max="3602" width="4.21875" style="22" bestFit="1" customWidth="1"/>
    <col min="3603" max="3603" width="11.33203125" style="22"/>
    <col min="3604" max="3604" width="12.33203125" style="22" bestFit="1" customWidth="1"/>
    <col min="3605" max="3605" width="9.88671875" style="22" bestFit="1" customWidth="1"/>
    <col min="3606" max="3606" width="12.33203125" style="22" bestFit="1" customWidth="1"/>
    <col min="3607" max="3840" width="11.33203125" style="22"/>
    <col min="3841" max="3841" width="13.77734375" style="22" bestFit="1" customWidth="1"/>
    <col min="3842" max="3842" width="60.77734375" style="22" customWidth="1"/>
    <col min="3843" max="3843" width="9.88671875" style="22" bestFit="1" customWidth="1"/>
    <col min="3844" max="3844" width="3.21875" style="22" bestFit="1" customWidth="1"/>
    <col min="3845" max="3845" width="11.33203125" style="22"/>
    <col min="3846" max="3846" width="12.33203125" style="22" bestFit="1" customWidth="1"/>
    <col min="3847" max="3847" width="9.88671875" style="22" bestFit="1" customWidth="1"/>
    <col min="3848" max="3848" width="12.33203125" style="22" bestFit="1" customWidth="1"/>
    <col min="3849" max="3849" width="11.33203125" style="22"/>
    <col min="3850" max="3850" width="12.33203125" style="22" bestFit="1" customWidth="1"/>
    <col min="3851" max="3851" width="11.33203125" style="22"/>
    <col min="3852" max="3852" width="12.33203125" style="22" bestFit="1" customWidth="1"/>
    <col min="3853" max="3853" width="9.88671875" style="22" bestFit="1" customWidth="1"/>
    <col min="3854" max="3854" width="12.33203125" style="22" bestFit="1" customWidth="1"/>
    <col min="3855" max="3855" width="11.33203125" style="22"/>
    <col min="3856" max="3856" width="12.33203125" style="22" bestFit="1" customWidth="1"/>
    <col min="3857" max="3858" width="4.21875" style="22" bestFit="1" customWidth="1"/>
    <col min="3859" max="3859" width="11.33203125" style="22"/>
    <col min="3860" max="3860" width="12.33203125" style="22" bestFit="1" customWidth="1"/>
    <col min="3861" max="3861" width="9.88671875" style="22" bestFit="1" customWidth="1"/>
    <col min="3862" max="3862" width="12.33203125" style="22" bestFit="1" customWidth="1"/>
    <col min="3863" max="4096" width="11.33203125" style="22"/>
    <col min="4097" max="4097" width="13.77734375" style="22" bestFit="1" customWidth="1"/>
    <col min="4098" max="4098" width="60.77734375" style="22" customWidth="1"/>
    <col min="4099" max="4099" width="9.88671875" style="22" bestFit="1" customWidth="1"/>
    <col min="4100" max="4100" width="3.21875" style="22" bestFit="1" customWidth="1"/>
    <col min="4101" max="4101" width="11.33203125" style="22"/>
    <col min="4102" max="4102" width="12.33203125" style="22" bestFit="1" customWidth="1"/>
    <col min="4103" max="4103" width="9.88671875" style="22" bestFit="1" customWidth="1"/>
    <col min="4104" max="4104" width="12.33203125" style="22" bestFit="1" customWidth="1"/>
    <col min="4105" max="4105" width="11.33203125" style="22"/>
    <col min="4106" max="4106" width="12.33203125" style="22" bestFit="1" customWidth="1"/>
    <col min="4107" max="4107" width="11.33203125" style="22"/>
    <col min="4108" max="4108" width="12.33203125" style="22" bestFit="1" customWidth="1"/>
    <col min="4109" max="4109" width="9.88671875" style="22" bestFit="1" customWidth="1"/>
    <col min="4110" max="4110" width="12.33203125" style="22" bestFit="1" customWidth="1"/>
    <col min="4111" max="4111" width="11.33203125" style="22"/>
    <col min="4112" max="4112" width="12.33203125" style="22" bestFit="1" customWidth="1"/>
    <col min="4113" max="4114" width="4.21875" style="22" bestFit="1" customWidth="1"/>
    <col min="4115" max="4115" width="11.33203125" style="22"/>
    <col min="4116" max="4116" width="12.33203125" style="22" bestFit="1" customWidth="1"/>
    <col min="4117" max="4117" width="9.88671875" style="22" bestFit="1" customWidth="1"/>
    <col min="4118" max="4118" width="12.33203125" style="22" bestFit="1" customWidth="1"/>
    <col min="4119" max="4352" width="11.33203125" style="22"/>
    <col min="4353" max="4353" width="13.77734375" style="22" bestFit="1" customWidth="1"/>
    <col min="4354" max="4354" width="60.77734375" style="22" customWidth="1"/>
    <col min="4355" max="4355" width="9.88671875" style="22" bestFit="1" customWidth="1"/>
    <col min="4356" max="4356" width="3.21875" style="22" bestFit="1" customWidth="1"/>
    <col min="4357" max="4357" width="11.33203125" style="22"/>
    <col min="4358" max="4358" width="12.33203125" style="22" bestFit="1" customWidth="1"/>
    <col min="4359" max="4359" width="9.88671875" style="22" bestFit="1" customWidth="1"/>
    <col min="4360" max="4360" width="12.33203125" style="22" bestFit="1" customWidth="1"/>
    <col min="4361" max="4361" width="11.33203125" style="22"/>
    <col min="4362" max="4362" width="12.33203125" style="22" bestFit="1" customWidth="1"/>
    <col min="4363" max="4363" width="11.33203125" style="22"/>
    <col min="4364" max="4364" width="12.33203125" style="22" bestFit="1" customWidth="1"/>
    <col min="4365" max="4365" width="9.88671875" style="22" bestFit="1" customWidth="1"/>
    <col min="4366" max="4366" width="12.33203125" style="22" bestFit="1" customWidth="1"/>
    <col min="4367" max="4367" width="11.33203125" style="22"/>
    <col min="4368" max="4368" width="12.33203125" style="22" bestFit="1" customWidth="1"/>
    <col min="4369" max="4370" width="4.21875" style="22" bestFit="1" customWidth="1"/>
    <col min="4371" max="4371" width="11.33203125" style="22"/>
    <col min="4372" max="4372" width="12.33203125" style="22" bestFit="1" customWidth="1"/>
    <col min="4373" max="4373" width="9.88671875" style="22" bestFit="1" customWidth="1"/>
    <col min="4374" max="4374" width="12.33203125" style="22" bestFit="1" customWidth="1"/>
    <col min="4375" max="4608" width="11.33203125" style="22"/>
    <col min="4609" max="4609" width="13.77734375" style="22" bestFit="1" customWidth="1"/>
    <col min="4610" max="4610" width="60.77734375" style="22" customWidth="1"/>
    <col min="4611" max="4611" width="9.88671875" style="22" bestFit="1" customWidth="1"/>
    <col min="4612" max="4612" width="3.21875" style="22" bestFit="1" customWidth="1"/>
    <col min="4613" max="4613" width="11.33203125" style="22"/>
    <col min="4614" max="4614" width="12.33203125" style="22" bestFit="1" customWidth="1"/>
    <col min="4615" max="4615" width="9.88671875" style="22" bestFit="1" customWidth="1"/>
    <col min="4616" max="4616" width="12.33203125" style="22" bestFit="1" customWidth="1"/>
    <col min="4617" max="4617" width="11.33203125" style="22"/>
    <col min="4618" max="4618" width="12.33203125" style="22" bestFit="1" customWidth="1"/>
    <col min="4619" max="4619" width="11.33203125" style="22"/>
    <col min="4620" max="4620" width="12.33203125" style="22" bestFit="1" customWidth="1"/>
    <col min="4621" max="4621" width="9.88671875" style="22" bestFit="1" customWidth="1"/>
    <col min="4622" max="4622" width="12.33203125" style="22" bestFit="1" customWidth="1"/>
    <col min="4623" max="4623" width="11.33203125" style="22"/>
    <col min="4624" max="4624" width="12.33203125" style="22" bestFit="1" customWidth="1"/>
    <col min="4625" max="4626" width="4.21875" style="22" bestFit="1" customWidth="1"/>
    <col min="4627" max="4627" width="11.33203125" style="22"/>
    <col min="4628" max="4628" width="12.33203125" style="22" bestFit="1" customWidth="1"/>
    <col min="4629" max="4629" width="9.88671875" style="22" bestFit="1" customWidth="1"/>
    <col min="4630" max="4630" width="12.33203125" style="22" bestFit="1" customWidth="1"/>
    <col min="4631" max="4864" width="11.33203125" style="22"/>
    <col min="4865" max="4865" width="13.77734375" style="22" bestFit="1" customWidth="1"/>
    <col min="4866" max="4866" width="60.77734375" style="22" customWidth="1"/>
    <col min="4867" max="4867" width="9.88671875" style="22" bestFit="1" customWidth="1"/>
    <col min="4868" max="4868" width="3.21875" style="22" bestFit="1" customWidth="1"/>
    <col min="4869" max="4869" width="11.33203125" style="22"/>
    <col min="4870" max="4870" width="12.33203125" style="22" bestFit="1" customWidth="1"/>
    <col min="4871" max="4871" width="9.88671875" style="22" bestFit="1" customWidth="1"/>
    <col min="4872" max="4872" width="12.33203125" style="22" bestFit="1" customWidth="1"/>
    <col min="4873" max="4873" width="11.33203125" style="22"/>
    <col min="4874" max="4874" width="12.33203125" style="22" bestFit="1" customWidth="1"/>
    <col min="4875" max="4875" width="11.33203125" style="22"/>
    <col min="4876" max="4876" width="12.33203125" style="22" bestFit="1" customWidth="1"/>
    <col min="4877" max="4877" width="9.88671875" style="22" bestFit="1" customWidth="1"/>
    <col min="4878" max="4878" width="12.33203125" style="22" bestFit="1" customWidth="1"/>
    <col min="4879" max="4879" width="11.33203125" style="22"/>
    <col min="4880" max="4880" width="12.33203125" style="22" bestFit="1" customWidth="1"/>
    <col min="4881" max="4882" width="4.21875" style="22" bestFit="1" customWidth="1"/>
    <col min="4883" max="4883" width="11.33203125" style="22"/>
    <col min="4884" max="4884" width="12.33203125" style="22" bestFit="1" customWidth="1"/>
    <col min="4885" max="4885" width="9.88671875" style="22" bestFit="1" customWidth="1"/>
    <col min="4886" max="4886" width="12.33203125" style="22" bestFit="1" customWidth="1"/>
    <col min="4887" max="5120" width="11.33203125" style="22"/>
    <col min="5121" max="5121" width="13.77734375" style="22" bestFit="1" customWidth="1"/>
    <col min="5122" max="5122" width="60.77734375" style="22" customWidth="1"/>
    <col min="5123" max="5123" width="9.88671875" style="22" bestFit="1" customWidth="1"/>
    <col min="5124" max="5124" width="3.21875" style="22" bestFit="1" customWidth="1"/>
    <col min="5125" max="5125" width="11.33203125" style="22"/>
    <col min="5126" max="5126" width="12.33203125" style="22" bestFit="1" customWidth="1"/>
    <col min="5127" max="5127" width="9.88671875" style="22" bestFit="1" customWidth="1"/>
    <col min="5128" max="5128" width="12.33203125" style="22" bestFit="1" customWidth="1"/>
    <col min="5129" max="5129" width="11.33203125" style="22"/>
    <col min="5130" max="5130" width="12.33203125" style="22" bestFit="1" customWidth="1"/>
    <col min="5131" max="5131" width="11.33203125" style="22"/>
    <col min="5132" max="5132" width="12.33203125" style="22" bestFit="1" customWidth="1"/>
    <col min="5133" max="5133" width="9.88671875" style="22" bestFit="1" customWidth="1"/>
    <col min="5134" max="5134" width="12.33203125" style="22" bestFit="1" customWidth="1"/>
    <col min="5135" max="5135" width="11.33203125" style="22"/>
    <col min="5136" max="5136" width="12.33203125" style="22" bestFit="1" customWidth="1"/>
    <col min="5137" max="5138" width="4.21875" style="22" bestFit="1" customWidth="1"/>
    <col min="5139" max="5139" width="11.33203125" style="22"/>
    <col min="5140" max="5140" width="12.33203125" style="22" bestFit="1" customWidth="1"/>
    <col min="5141" max="5141" width="9.88671875" style="22" bestFit="1" customWidth="1"/>
    <col min="5142" max="5142" width="12.33203125" style="22" bestFit="1" customWidth="1"/>
    <col min="5143" max="5376" width="11.33203125" style="22"/>
    <col min="5377" max="5377" width="13.77734375" style="22" bestFit="1" customWidth="1"/>
    <col min="5378" max="5378" width="60.77734375" style="22" customWidth="1"/>
    <col min="5379" max="5379" width="9.88671875" style="22" bestFit="1" customWidth="1"/>
    <col min="5380" max="5380" width="3.21875" style="22" bestFit="1" customWidth="1"/>
    <col min="5381" max="5381" width="11.33203125" style="22"/>
    <col min="5382" max="5382" width="12.33203125" style="22" bestFit="1" customWidth="1"/>
    <col min="5383" max="5383" width="9.88671875" style="22" bestFit="1" customWidth="1"/>
    <col min="5384" max="5384" width="12.33203125" style="22" bestFit="1" customWidth="1"/>
    <col min="5385" max="5385" width="11.33203125" style="22"/>
    <col min="5386" max="5386" width="12.33203125" style="22" bestFit="1" customWidth="1"/>
    <col min="5387" max="5387" width="11.33203125" style="22"/>
    <col min="5388" max="5388" width="12.33203125" style="22" bestFit="1" customWidth="1"/>
    <col min="5389" max="5389" width="9.88671875" style="22" bestFit="1" customWidth="1"/>
    <col min="5390" max="5390" width="12.33203125" style="22" bestFit="1" customWidth="1"/>
    <col min="5391" max="5391" width="11.33203125" style="22"/>
    <col min="5392" max="5392" width="12.33203125" style="22" bestFit="1" customWidth="1"/>
    <col min="5393" max="5394" width="4.21875" style="22" bestFit="1" customWidth="1"/>
    <col min="5395" max="5395" width="11.33203125" style="22"/>
    <col min="5396" max="5396" width="12.33203125" style="22" bestFit="1" customWidth="1"/>
    <col min="5397" max="5397" width="9.88671875" style="22" bestFit="1" customWidth="1"/>
    <col min="5398" max="5398" width="12.33203125" style="22" bestFit="1" customWidth="1"/>
    <col min="5399" max="5632" width="11.33203125" style="22"/>
    <col min="5633" max="5633" width="13.77734375" style="22" bestFit="1" customWidth="1"/>
    <col min="5634" max="5634" width="60.77734375" style="22" customWidth="1"/>
    <col min="5635" max="5635" width="9.88671875" style="22" bestFit="1" customWidth="1"/>
    <col min="5636" max="5636" width="3.21875" style="22" bestFit="1" customWidth="1"/>
    <col min="5637" max="5637" width="11.33203125" style="22"/>
    <col min="5638" max="5638" width="12.33203125" style="22" bestFit="1" customWidth="1"/>
    <col min="5639" max="5639" width="9.88671875" style="22" bestFit="1" customWidth="1"/>
    <col min="5640" max="5640" width="12.33203125" style="22" bestFit="1" customWidth="1"/>
    <col min="5641" max="5641" width="11.33203125" style="22"/>
    <col min="5642" max="5642" width="12.33203125" style="22" bestFit="1" customWidth="1"/>
    <col min="5643" max="5643" width="11.33203125" style="22"/>
    <col min="5644" max="5644" width="12.33203125" style="22" bestFit="1" customWidth="1"/>
    <col min="5645" max="5645" width="9.88671875" style="22" bestFit="1" customWidth="1"/>
    <col min="5646" max="5646" width="12.33203125" style="22" bestFit="1" customWidth="1"/>
    <col min="5647" max="5647" width="11.33203125" style="22"/>
    <col min="5648" max="5648" width="12.33203125" style="22" bestFit="1" customWidth="1"/>
    <col min="5649" max="5650" width="4.21875" style="22" bestFit="1" customWidth="1"/>
    <col min="5651" max="5651" width="11.33203125" style="22"/>
    <col min="5652" max="5652" width="12.33203125" style="22" bestFit="1" customWidth="1"/>
    <col min="5653" max="5653" width="9.88671875" style="22" bestFit="1" customWidth="1"/>
    <col min="5654" max="5654" width="12.33203125" style="22" bestFit="1" customWidth="1"/>
    <col min="5655" max="5888" width="11.33203125" style="22"/>
    <col min="5889" max="5889" width="13.77734375" style="22" bestFit="1" customWidth="1"/>
    <col min="5890" max="5890" width="60.77734375" style="22" customWidth="1"/>
    <col min="5891" max="5891" width="9.88671875" style="22" bestFit="1" customWidth="1"/>
    <col min="5892" max="5892" width="3.21875" style="22" bestFit="1" customWidth="1"/>
    <col min="5893" max="5893" width="11.33203125" style="22"/>
    <col min="5894" max="5894" width="12.33203125" style="22" bestFit="1" customWidth="1"/>
    <col min="5895" max="5895" width="9.88671875" style="22" bestFit="1" customWidth="1"/>
    <col min="5896" max="5896" width="12.33203125" style="22" bestFit="1" customWidth="1"/>
    <col min="5897" max="5897" width="11.33203125" style="22"/>
    <col min="5898" max="5898" width="12.33203125" style="22" bestFit="1" customWidth="1"/>
    <col min="5899" max="5899" width="11.33203125" style="22"/>
    <col min="5900" max="5900" width="12.33203125" style="22" bestFit="1" customWidth="1"/>
    <col min="5901" max="5901" width="9.88671875" style="22" bestFit="1" customWidth="1"/>
    <col min="5902" max="5902" width="12.33203125" style="22" bestFit="1" customWidth="1"/>
    <col min="5903" max="5903" width="11.33203125" style="22"/>
    <col min="5904" max="5904" width="12.33203125" style="22" bestFit="1" customWidth="1"/>
    <col min="5905" max="5906" width="4.21875" style="22" bestFit="1" customWidth="1"/>
    <col min="5907" max="5907" width="11.33203125" style="22"/>
    <col min="5908" max="5908" width="12.33203125" style="22" bestFit="1" customWidth="1"/>
    <col min="5909" max="5909" width="9.88671875" style="22" bestFit="1" customWidth="1"/>
    <col min="5910" max="5910" width="12.33203125" style="22" bestFit="1" customWidth="1"/>
    <col min="5911" max="6144" width="11.33203125" style="22"/>
    <col min="6145" max="6145" width="13.77734375" style="22" bestFit="1" customWidth="1"/>
    <col min="6146" max="6146" width="60.77734375" style="22" customWidth="1"/>
    <col min="6147" max="6147" width="9.88671875" style="22" bestFit="1" customWidth="1"/>
    <col min="6148" max="6148" width="3.21875" style="22" bestFit="1" customWidth="1"/>
    <col min="6149" max="6149" width="11.33203125" style="22"/>
    <col min="6150" max="6150" width="12.33203125" style="22" bestFit="1" customWidth="1"/>
    <col min="6151" max="6151" width="9.88671875" style="22" bestFit="1" customWidth="1"/>
    <col min="6152" max="6152" width="12.33203125" style="22" bestFit="1" customWidth="1"/>
    <col min="6153" max="6153" width="11.33203125" style="22"/>
    <col min="6154" max="6154" width="12.33203125" style="22" bestFit="1" customWidth="1"/>
    <col min="6155" max="6155" width="11.33203125" style="22"/>
    <col min="6156" max="6156" width="12.33203125" style="22" bestFit="1" customWidth="1"/>
    <col min="6157" max="6157" width="9.88671875" style="22" bestFit="1" customWidth="1"/>
    <col min="6158" max="6158" width="12.33203125" style="22" bestFit="1" customWidth="1"/>
    <col min="6159" max="6159" width="11.33203125" style="22"/>
    <col min="6160" max="6160" width="12.33203125" style="22" bestFit="1" customWidth="1"/>
    <col min="6161" max="6162" width="4.21875" style="22" bestFit="1" customWidth="1"/>
    <col min="6163" max="6163" width="11.33203125" style="22"/>
    <col min="6164" max="6164" width="12.33203125" style="22" bestFit="1" customWidth="1"/>
    <col min="6165" max="6165" width="9.88671875" style="22" bestFit="1" customWidth="1"/>
    <col min="6166" max="6166" width="12.33203125" style="22" bestFit="1" customWidth="1"/>
    <col min="6167" max="6400" width="11.33203125" style="22"/>
    <col min="6401" max="6401" width="13.77734375" style="22" bestFit="1" customWidth="1"/>
    <col min="6402" max="6402" width="60.77734375" style="22" customWidth="1"/>
    <col min="6403" max="6403" width="9.88671875" style="22" bestFit="1" customWidth="1"/>
    <col min="6404" max="6404" width="3.21875" style="22" bestFit="1" customWidth="1"/>
    <col min="6405" max="6405" width="11.33203125" style="22"/>
    <col min="6406" max="6406" width="12.33203125" style="22" bestFit="1" customWidth="1"/>
    <col min="6407" max="6407" width="9.88671875" style="22" bestFit="1" customWidth="1"/>
    <col min="6408" max="6408" width="12.33203125" style="22" bestFit="1" customWidth="1"/>
    <col min="6409" max="6409" width="11.33203125" style="22"/>
    <col min="6410" max="6410" width="12.33203125" style="22" bestFit="1" customWidth="1"/>
    <col min="6411" max="6411" width="11.33203125" style="22"/>
    <col min="6412" max="6412" width="12.33203125" style="22" bestFit="1" customWidth="1"/>
    <col min="6413" max="6413" width="9.88671875" style="22" bestFit="1" customWidth="1"/>
    <col min="6414" max="6414" width="12.33203125" style="22" bestFit="1" customWidth="1"/>
    <col min="6415" max="6415" width="11.33203125" style="22"/>
    <col min="6416" max="6416" width="12.33203125" style="22" bestFit="1" customWidth="1"/>
    <col min="6417" max="6418" width="4.21875" style="22" bestFit="1" customWidth="1"/>
    <col min="6419" max="6419" width="11.33203125" style="22"/>
    <col min="6420" max="6420" width="12.33203125" style="22" bestFit="1" customWidth="1"/>
    <col min="6421" max="6421" width="9.88671875" style="22" bestFit="1" customWidth="1"/>
    <col min="6422" max="6422" width="12.33203125" style="22" bestFit="1" customWidth="1"/>
    <col min="6423" max="6656" width="11.33203125" style="22"/>
    <col min="6657" max="6657" width="13.77734375" style="22" bestFit="1" customWidth="1"/>
    <col min="6658" max="6658" width="60.77734375" style="22" customWidth="1"/>
    <col min="6659" max="6659" width="9.88671875" style="22" bestFit="1" customWidth="1"/>
    <col min="6660" max="6660" width="3.21875" style="22" bestFit="1" customWidth="1"/>
    <col min="6661" max="6661" width="11.33203125" style="22"/>
    <col min="6662" max="6662" width="12.33203125" style="22" bestFit="1" customWidth="1"/>
    <col min="6663" max="6663" width="9.88671875" style="22" bestFit="1" customWidth="1"/>
    <col min="6664" max="6664" width="12.33203125" style="22" bestFit="1" customWidth="1"/>
    <col min="6665" max="6665" width="11.33203125" style="22"/>
    <col min="6666" max="6666" width="12.33203125" style="22" bestFit="1" customWidth="1"/>
    <col min="6667" max="6667" width="11.33203125" style="22"/>
    <col min="6668" max="6668" width="12.33203125" style="22" bestFit="1" customWidth="1"/>
    <col min="6669" max="6669" width="9.88671875" style="22" bestFit="1" customWidth="1"/>
    <col min="6670" max="6670" width="12.33203125" style="22" bestFit="1" customWidth="1"/>
    <col min="6671" max="6671" width="11.33203125" style="22"/>
    <col min="6672" max="6672" width="12.33203125" style="22" bestFit="1" customWidth="1"/>
    <col min="6673" max="6674" width="4.21875" style="22" bestFit="1" customWidth="1"/>
    <col min="6675" max="6675" width="11.33203125" style="22"/>
    <col min="6676" max="6676" width="12.33203125" style="22" bestFit="1" customWidth="1"/>
    <col min="6677" max="6677" width="9.88671875" style="22" bestFit="1" customWidth="1"/>
    <col min="6678" max="6678" width="12.33203125" style="22" bestFit="1" customWidth="1"/>
    <col min="6679" max="6912" width="11.33203125" style="22"/>
    <col min="6913" max="6913" width="13.77734375" style="22" bestFit="1" customWidth="1"/>
    <col min="6914" max="6914" width="60.77734375" style="22" customWidth="1"/>
    <col min="6915" max="6915" width="9.88671875" style="22" bestFit="1" customWidth="1"/>
    <col min="6916" max="6916" width="3.21875" style="22" bestFit="1" customWidth="1"/>
    <col min="6917" max="6917" width="11.33203125" style="22"/>
    <col min="6918" max="6918" width="12.33203125" style="22" bestFit="1" customWidth="1"/>
    <col min="6919" max="6919" width="9.88671875" style="22" bestFit="1" customWidth="1"/>
    <col min="6920" max="6920" width="12.33203125" style="22" bestFit="1" customWidth="1"/>
    <col min="6921" max="6921" width="11.33203125" style="22"/>
    <col min="6922" max="6922" width="12.33203125" style="22" bestFit="1" customWidth="1"/>
    <col min="6923" max="6923" width="11.33203125" style="22"/>
    <col min="6924" max="6924" width="12.33203125" style="22" bestFit="1" customWidth="1"/>
    <col min="6925" max="6925" width="9.88671875" style="22" bestFit="1" customWidth="1"/>
    <col min="6926" max="6926" width="12.33203125" style="22" bestFit="1" customWidth="1"/>
    <col min="6927" max="6927" width="11.33203125" style="22"/>
    <col min="6928" max="6928" width="12.33203125" style="22" bestFit="1" customWidth="1"/>
    <col min="6929" max="6930" width="4.21875" style="22" bestFit="1" customWidth="1"/>
    <col min="6931" max="6931" width="11.33203125" style="22"/>
    <col min="6932" max="6932" width="12.33203125" style="22" bestFit="1" customWidth="1"/>
    <col min="6933" max="6933" width="9.88671875" style="22" bestFit="1" customWidth="1"/>
    <col min="6934" max="6934" width="12.33203125" style="22" bestFit="1" customWidth="1"/>
    <col min="6935" max="7168" width="11.33203125" style="22"/>
    <col min="7169" max="7169" width="13.77734375" style="22" bestFit="1" customWidth="1"/>
    <col min="7170" max="7170" width="60.77734375" style="22" customWidth="1"/>
    <col min="7171" max="7171" width="9.88671875" style="22" bestFit="1" customWidth="1"/>
    <col min="7172" max="7172" width="3.21875" style="22" bestFit="1" customWidth="1"/>
    <col min="7173" max="7173" width="11.33203125" style="22"/>
    <col min="7174" max="7174" width="12.33203125" style="22" bestFit="1" customWidth="1"/>
    <col min="7175" max="7175" width="9.88671875" style="22" bestFit="1" customWidth="1"/>
    <col min="7176" max="7176" width="12.33203125" style="22" bestFit="1" customWidth="1"/>
    <col min="7177" max="7177" width="11.33203125" style="22"/>
    <col min="7178" max="7178" width="12.33203125" style="22" bestFit="1" customWidth="1"/>
    <col min="7179" max="7179" width="11.33203125" style="22"/>
    <col min="7180" max="7180" width="12.33203125" style="22" bestFit="1" customWidth="1"/>
    <col min="7181" max="7181" width="9.88671875" style="22" bestFit="1" customWidth="1"/>
    <col min="7182" max="7182" width="12.33203125" style="22" bestFit="1" customWidth="1"/>
    <col min="7183" max="7183" width="11.33203125" style="22"/>
    <col min="7184" max="7184" width="12.33203125" style="22" bestFit="1" customWidth="1"/>
    <col min="7185" max="7186" width="4.21875" style="22" bestFit="1" customWidth="1"/>
    <col min="7187" max="7187" width="11.33203125" style="22"/>
    <col min="7188" max="7188" width="12.33203125" style="22" bestFit="1" customWidth="1"/>
    <col min="7189" max="7189" width="9.88671875" style="22" bestFit="1" customWidth="1"/>
    <col min="7190" max="7190" width="12.33203125" style="22" bestFit="1" customWidth="1"/>
    <col min="7191" max="7424" width="11.33203125" style="22"/>
    <col min="7425" max="7425" width="13.77734375" style="22" bestFit="1" customWidth="1"/>
    <col min="7426" max="7426" width="60.77734375" style="22" customWidth="1"/>
    <col min="7427" max="7427" width="9.88671875" style="22" bestFit="1" customWidth="1"/>
    <col min="7428" max="7428" width="3.21875" style="22" bestFit="1" customWidth="1"/>
    <col min="7429" max="7429" width="11.33203125" style="22"/>
    <col min="7430" max="7430" width="12.33203125" style="22" bestFit="1" customWidth="1"/>
    <col min="7431" max="7431" width="9.88671875" style="22" bestFit="1" customWidth="1"/>
    <col min="7432" max="7432" width="12.33203125" style="22" bestFit="1" customWidth="1"/>
    <col min="7433" max="7433" width="11.33203125" style="22"/>
    <col min="7434" max="7434" width="12.33203125" style="22" bestFit="1" customWidth="1"/>
    <col min="7435" max="7435" width="11.33203125" style="22"/>
    <col min="7436" max="7436" width="12.33203125" style="22" bestFit="1" customWidth="1"/>
    <col min="7437" max="7437" width="9.88671875" style="22" bestFit="1" customWidth="1"/>
    <col min="7438" max="7438" width="12.33203125" style="22" bestFit="1" customWidth="1"/>
    <col min="7439" max="7439" width="11.33203125" style="22"/>
    <col min="7440" max="7440" width="12.33203125" style="22" bestFit="1" customWidth="1"/>
    <col min="7441" max="7442" width="4.21875" style="22" bestFit="1" customWidth="1"/>
    <col min="7443" max="7443" width="11.33203125" style="22"/>
    <col min="7444" max="7444" width="12.33203125" style="22" bestFit="1" customWidth="1"/>
    <col min="7445" max="7445" width="9.88671875" style="22" bestFit="1" customWidth="1"/>
    <col min="7446" max="7446" width="12.33203125" style="22" bestFit="1" customWidth="1"/>
    <col min="7447" max="7680" width="11.33203125" style="22"/>
    <col min="7681" max="7681" width="13.77734375" style="22" bestFit="1" customWidth="1"/>
    <col min="7682" max="7682" width="60.77734375" style="22" customWidth="1"/>
    <col min="7683" max="7683" width="9.88671875" style="22" bestFit="1" customWidth="1"/>
    <col min="7684" max="7684" width="3.21875" style="22" bestFit="1" customWidth="1"/>
    <col min="7685" max="7685" width="11.33203125" style="22"/>
    <col min="7686" max="7686" width="12.33203125" style="22" bestFit="1" customWidth="1"/>
    <col min="7687" max="7687" width="9.88671875" style="22" bestFit="1" customWidth="1"/>
    <col min="7688" max="7688" width="12.33203125" style="22" bestFit="1" customWidth="1"/>
    <col min="7689" max="7689" width="11.33203125" style="22"/>
    <col min="7690" max="7690" width="12.33203125" style="22" bestFit="1" customWidth="1"/>
    <col min="7691" max="7691" width="11.33203125" style="22"/>
    <col min="7692" max="7692" width="12.33203125" style="22" bestFit="1" customWidth="1"/>
    <col min="7693" max="7693" width="9.88671875" style="22" bestFit="1" customWidth="1"/>
    <col min="7694" max="7694" width="12.33203125" style="22" bestFit="1" customWidth="1"/>
    <col min="7695" max="7695" width="11.33203125" style="22"/>
    <col min="7696" max="7696" width="12.33203125" style="22" bestFit="1" customWidth="1"/>
    <col min="7697" max="7698" width="4.21875" style="22" bestFit="1" customWidth="1"/>
    <col min="7699" max="7699" width="11.33203125" style="22"/>
    <col min="7700" max="7700" width="12.33203125" style="22" bestFit="1" customWidth="1"/>
    <col min="7701" max="7701" width="9.88671875" style="22" bestFit="1" customWidth="1"/>
    <col min="7702" max="7702" width="12.33203125" style="22" bestFit="1" customWidth="1"/>
    <col min="7703" max="7936" width="11.33203125" style="22"/>
    <col min="7937" max="7937" width="13.77734375" style="22" bestFit="1" customWidth="1"/>
    <col min="7938" max="7938" width="60.77734375" style="22" customWidth="1"/>
    <col min="7939" max="7939" width="9.88671875" style="22" bestFit="1" customWidth="1"/>
    <col min="7940" max="7940" width="3.21875" style="22" bestFit="1" customWidth="1"/>
    <col min="7941" max="7941" width="11.33203125" style="22"/>
    <col min="7942" max="7942" width="12.33203125" style="22" bestFit="1" customWidth="1"/>
    <col min="7943" max="7943" width="9.88671875" style="22" bestFit="1" customWidth="1"/>
    <col min="7944" max="7944" width="12.33203125" style="22" bestFit="1" customWidth="1"/>
    <col min="7945" max="7945" width="11.33203125" style="22"/>
    <col min="7946" max="7946" width="12.33203125" style="22" bestFit="1" customWidth="1"/>
    <col min="7947" max="7947" width="11.33203125" style="22"/>
    <col min="7948" max="7948" width="12.33203125" style="22" bestFit="1" customWidth="1"/>
    <col min="7949" max="7949" width="9.88671875" style="22" bestFit="1" customWidth="1"/>
    <col min="7950" max="7950" width="12.33203125" style="22" bestFit="1" customWidth="1"/>
    <col min="7951" max="7951" width="11.33203125" style="22"/>
    <col min="7952" max="7952" width="12.33203125" style="22" bestFit="1" customWidth="1"/>
    <col min="7953" max="7954" width="4.21875" style="22" bestFit="1" customWidth="1"/>
    <col min="7955" max="7955" width="11.33203125" style="22"/>
    <col min="7956" max="7956" width="12.33203125" style="22" bestFit="1" customWidth="1"/>
    <col min="7957" max="7957" width="9.88671875" style="22" bestFit="1" customWidth="1"/>
    <col min="7958" max="7958" width="12.33203125" style="22" bestFit="1" customWidth="1"/>
    <col min="7959" max="8192" width="11.33203125" style="22"/>
    <col min="8193" max="8193" width="13.77734375" style="22" bestFit="1" customWidth="1"/>
    <col min="8194" max="8194" width="60.77734375" style="22" customWidth="1"/>
    <col min="8195" max="8195" width="9.88671875" style="22" bestFit="1" customWidth="1"/>
    <col min="8196" max="8196" width="3.21875" style="22" bestFit="1" customWidth="1"/>
    <col min="8197" max="8197" width="11.33203125" style="22"/>
    <col min="8198" max="8198" width="12.33203125" style="22" bestFit="1" customWidth="1"/>
    <col min="8199" max="8199" width="9.88671875" style="22" bestFit="1" customWidth="1"/>
    <col min="8200" max="8200" width="12.33203125" style="22" bestFit="1" customWidth="1"/>
    <col min="8201" max="8201" width="11.33203125" style="22"/>
    <col min="8202" max="8202" width="12.33203125" style="22" bestFit="1" customWidth="1"/>
    <col min="8203" max="8203" width="11.33203125" style="22"/>
    <col min="8204" max="8204" width="12.33203125" style="22" bestFit="1" customWidth="1"/>
    <col min="8205" max="8205" width="9.88671875" style="22" bestFit="1" customWidth="1"/>
    <col min="8206" max="8206" width="12.33203125" style="22" bestFit="1" customWidth="1"/>
    <col min="8207" max="8207" width="11.33203125" style="22"/>
    <col min="8208" max="8208" width="12.33203125" style="22" bestFit="1" customWidth="1"/>
    <col min="8209" max="8210" width="4.21875" style="22" bestFit="1" customWidth="1"/>
    <col min="8211" max="8211" width="11.33203125" style="22"/>
    <col min="8212" max="8212" width="12.33203125" style="22" bestFit="1" customWidth="1"/>
    <col min="8213" max="8213" width="9.88671875" style="22" bestFit="1" customWidth="1"/>
    <col min="8214" max="8214" width="12.33203125" style="22" bestFit="1" customWidth="1"/>
    <col min="8215" max="8448" width="11.33203125" style="22"/>
    <col min="8449" max="8449" width="13.77734375" style="22" bestFit="1" customWidth="1"/>
    <col min="8450" max="8450" width="60.77734375" style="22" customWidth="1"/>
    <col min="8451" max="8451" width="9.88671875" style="22" bestFit="1" customWidth="1"/>
    <col min="8452" max="8452" width="3.21875" style="22" bestFit="1" customWidth="1"/>
    <col min="8453" max="8453" width="11.33203125" style="22"/>
    <col min="8454" max="8454" width="12.33203125" style="22" bestFit="1" customWidth="1"/>
    <col min="8455" max="8455" width="9.88671875" style="22" bestFit="1" customWidth="1"/>
    <col min="8456" max="8456" width="12.33203125" style="22" bestFit="1" customWidth="1"/>
    <col min="8457" max="8457" width="11.33203125" style="22"/>
    <col min="8458" max="8458" width="12.33203125" style="22" bestFit="1" customWidth="1"/>
    <col min="8459" max="8459" width="11.33203125" style="22"/>
    <col min="8460" max="8460" width="12.33203125" style="22" bestFit="1" customWidth="1"/>
    <col min="8461" max="8461" width="9.88671875" style="22" bestFit="1" customWidth="1"/>
    <col min="8462" max="8462" width="12.33203125" style="22" bestFit="1" customWidth="1"/>
    <col min="8463" max="8463" width="11.33203125" style="22"/>
    <col min="8464" max="8464" width="12.33203125" style="22" bestFit="1" customWidth="1"/>
    <col min="8465" max="8466" width="4.21875" style="22" bestFit="1" customWidth="1"/>
    <col min="8467" max="8467" width="11.33203125" style="22"/>
    <col min="8468" max="8468" width="12.33203125" style="22" bestFit="1" customWidth="1"/>
    <col min="8469" max="8469" width="9.88671875" style="22" bestFit="1" customWidth="1"/>
    <col min="8470" max="8470" width="12.33203125" style="22" bestFit="1" customWidth="1"/>
    <col min="8471" max="8704" width="11.33203125" style="22"/>
    <col min="8705" max="8705" width="13.77734375" style="22" bestFit="1" customWidth="1"/>
    <col min="8706" max="8706" width="60.77734375" style="22" customWidth="1"/>
    <col min="8707" max="8707" width="9.88671875" style="22" bestFit="1" customWidth="1"/>
    <col min="8708" max="8708" width="3.21875" style="22" bestFit="1" customWidth="1"/>
    <col min="8709" max="8709" width="11.33203125" style="22"/>
    <col min="8710" max="8710" width="12.33203125" style="22" bestFit="1" customWidth="1"/>
    <col min="8711" max="8711" width="9.88671875" style="22" bestFit="1" customWidth="1"/>
    <col min="8712" max="8712" width="12.33203125" style="22" bestFit="1" customWidth="1"/>
    <col min="8713" max="8713" width="11.33203125" style="22"/>
    <col min="8714" max="8714" width="12.33203125" style="22" bestFit="1" customWidth="1"/>
    <col min="8715" max="8715" width="11.33203125" style="22"/>
    <col min="8716" max="8716" width="12.33203125" style="22" bestFit="1" customWidth="1"/>
    <col min="8717" max="8717" width="9.88671875" style="22" bestFit="1" customWidth="1"/>
    <col min="8718" max="8718" width="12.33203125" style="22" bestFit="1" customWidth="1"/>
    <col min="8719" max="8719" width="11.33203125" style="22"/>
    <col min="8720" max="8720" width="12.33203125" style="22" bestFit="1" customWidth="1"/>
    <col min="8721" max="8722" width="4.21875" style="22" bestFit="1" customWidth="1"/>
    <col min="8723" max="8723" width="11.33203125" style="22"/>
    <col min="8724" max="8724" width="12.33203125" style="22" bestFit="1" customWidth="1"/>
    <col min="8725" max="8725" width="9.88671875" style="22" bestFit="1" customWidth="1"/>
    <col min="8726" max="8726" width="12.33203125" style="22" bestFit="1" customWidth="1"/>
    <col min="8727" max="8960" width="11.33203125" style="22"/>
    <col min="8961" max="8961" width="13.77734375" style="22" bestFit="1" customWidth="1"/>
    <col min="8962" max="8962" width="60.77734375" style="22" customWidth="1"/>
    <col min="8963" max="8963" width="9.88671875" style="22" bestFit="1" customWidth="1"/>
    <col min="8964" max="8964" width="3.21875" style="22" bestFit="1" customWidth="1"/>
    <col min="8965" max="8965" width="11.33203125" style="22"/>
    <col min="8966" max="8966" width="12.33203125" style="22" bestFit="1" customWidth="1"/>
    <col min="8967" max="8967" width="9.88671875" style="22" bestFit="1" customWidth="1"/>
    <col min="8968" max="8968" width="12.33203125" style="22" bestFit="1" customWidth="1"/>
    <col min="8969" max="8969" width="11.33203125" style="22"/>
    <col min="8970" max="8970" width="12.33203125" style="22" bestFit="1" customWidth="1"/>
    <col min="8971" max="8971" width="11.33203125" style="22"/>
    <col min="8972" max="8972" width="12.33203125" style="22" bestFit="1" customWidth="1"/>
    <col min="8973" max="8973" width="9.88671875" style="22" bestFit="1" customWidth="1"/>
    <col min="8974" max="8974" width="12.33203125" style="22" bestFit="1" customWidth="1"/>
    <col min="8975" max="8975" width="11.33203125" style="22"/>
    <col min="8976" max="8976" width="12.33203125" style="22" bestFit="1" customWidth="1"/>
    <col min="8977" max="8978" width="4.21875" style="22" bestFit="1" customWidth="1"/>
    <col min="8979" max="8979" width="11.33203125" style="22"/>
    <col min="8980" max="8980" width="12.33203125" style="22" bestFit="1" customWidth="1"/>
    <col min="8981" max="8981" width="9.88671875" style="22" bestFit="1" customWidth="1"/>
    <col min="8982" max="8982" width="12.33203125" style="22" bestFit="1" customWidth="1"/>
    <col min="8983" max="9216" width="11.33203125" style="22"/>
    <col min="9217" max="9217" width="13.77734375" style="22" bestFit="1" customWidth="1"/>
    <col min="9218" max="9218" width="60.77734375" style="22" customWidth="1"/>
    <col min="9219" max="9219" width="9.88671875" style="22" bestFit="1" customWidth="1"/>
    <col min="9220" max="9220" width="3.21875" style="22" bestFit="1" customWidth="1"/>
    <col min="9221" max="9221" width="11.33203125" style="22"/>
    <col min="9222" max="9222" width="12.33203125" style="22" bestFit="1" customWidth="1"/>
    <col min="9223" max="9223" width="9.88671875" style="22" bestFit="1" customWidth="1"/>
    <col min="9224" max="9224" width="12.33203125" style="22" bestFit="1" customWidth="1"/>
    <col min="9225" max="9225" width="11.33203125" style="22"/>
    <col min="9226" max="9226" width="12.33203125" style="22" bestFit="1" customWidth="1"/>
    <col min="9227" max="9227" width="11.33203125" style="22"/>
    <col min="9228" max="9228" width="12.33203125" style="22" bestFit="1" customWidth="1"/>
    <col min="9229" max="9229" width="9.88671875" style="22" bestFit="1" customWidth="1"/>
    <col min="9230" max="9230" width="12.33203125" style="22" bestFit="1" customWidth="1"/>
    <col min="9231" max="9231" width="11.33203125" style="22"/>
    <col min="9232" max="9232" width="12.33203125" style="22" bestFit="1" customWidth="1"/>
    <col min="9233" max="9234" width="4.21875" style="22" bestFit="1" customWidth="1"/>
    <col min="9235" max="9235" width="11.33203125" style="22"/>
    <col min="9236" max="9236" width="12.33203125" style="22" bestFit="1" customWidth="1"/>
    <col min="9237" max="9237" width="9.88671875" style="22" bestFit="1" customWidth="1"/>
    <col min="9238" max="9238" width="12.33203125" style="22" bestFit="1" customWidth="1"/>
    <col min="9239" max="9472" width="11.33203125" style="22"/>
    <col min="9473" max="9473" width="13.77734375" style="22" bestFit="1" customWidth="1"/>
    <col min="9474" max="9474" width="60.77734375" style="22" customWidth="1"/>
    <col min="9475" max="9475" width="9.88671875" style="22" bestFit="1" customWidth="1"/>
    <col min="9476" max="9476" width="3.21875" style="22" bestFit="1" customWidth="1"/>
    <col min="9477" max="9477" width="11.33203125" style="22"/>
    <col min="9478" max="9478" width="12.33203125" style="22" bestFit="1" customWidth="1"/>
    <col min="9479" max="9479" width="9.88671875" style="22" bestFit="1" customWidth="1"/>
    <col min="9480" max="9480" width="12.33203125" style="22" bestFit="1" customWidth="1"/>
    <col min="9481" max="9481" width="11.33203125" style="22"/>
    <col min="9482" max="9482" width="12.33203125" style="22" bestFit="1" customWidth="1"/>
    <col min="9483" max="9483" width="11.33203125" style="22"/>
    <col min="9484" max="9484" width="12.33203125" style="22" bestFit="1" customWidth="1"/>
    <col min="9485" max="9485" width="9.88671875" style="22" bestFit="1" customWidth="1"/>
    <col min="9486" max="9486" width="12.33203125" style="22" bestFit="1" customWidth="1"/>
    <col min="9487" max="9487" width="11.33203125" style="22"/>
    <col min="9488" max="9488" width="12.33203125" style="22" bestFit="1" customWidth="1"/>
    <col min="9489" max="9490" width="4.21875" style="22" bestFit="1" customWidth="1"/>
    <col min="9491" max="9491" width="11.33203125" style="22"/>
    <col min="9492" max="9492" width="12.33203125" style="22" bestFit="1" customWidth="1"/>
    <col min="9493" max="9493" width="9.88671875" style="22" bestFit="1" customWidth="1"/>
    <col min="9494" max="9494" width="12.33203125" style="22" bestFit="1" customWidth="1"/>
    <col min="9495" max="9728" width="11.33203125" style="22"/>
    <col min="9729" max="9729" width="13.77734375" style="22" bestFit="1" customWidth="1"/>
    <col min="9730" max="9730" width="60.77734375" style="22" customWidth="1"/>
    <col min="9731" max="9731" width="9.88671875" style="22" bestFit="1" customWidth="1"/>
    <col min="9732" max="9732" width="3.21875" style="22" bestFit="1" customWidth="1"/>
    <col min="9733" max="9733" width="11.33203125" style="22"/>
    <col min="9734" max="9734" width="12.33203125" style="22" bestFit="1" customWidth="1"/>
    <col min="9735" max="9735" width="9.88671875" style="22" bestFit="1" customWidth="1"/>
    <col min="9736" max="9736" width="12.33203125" style="22" bestFit="1" customWidth="1"/>
    <col min="9737" max="9737" width="11.33203125" style="22"/>
    <col min="9738" max="9738" width="12.33203125" style="22" bestFit="1" customWidth="1"/>
    <col min="9739" max="9739" width="11.33203125" style="22"/>
    <col min="9740" max="9740" width="12.33203125" style="22" bestFit="1" customWidth="1"/>
    <col min="9741" max="9741" width="9.88671875" style="22" bestFit="1" customWidth="1"/>
    <col min="9742" max="9742" width="12.33203125" style="22" bestFit="1" customWidth="1"/>
    <col min="9743" max="9743" width="11.33203125" style="22"/>
    <col min="9744" max="9744" width="12.33203125" style="22" bestFit="1" customWidth="1"/>
    <col min="9745" max="9746" width="4.21875" style="22" bestFit="1" customWidth="1"/>
    <col min="9747" max="9747" width="11.33203125" style="22"/>
    <col min="9748" max="9748" width="12.33203125" style="22" bestFit="1" customWidth="1"/>
    <col min="9749" max="9749" width="9.88671875" style="22" bestFit="1" customWidth="1"/>
    <col min="9750" max="9750" width="12.33203125" style="22" bestFit="1" customWidth="1"/>
    <col min="9751" max="9984" width="11.33203125" style="22"/>
    <col min="9985" max="9985" width="13.77734375" style="22" bestFit="1" customWidth="1"/>
    <col min="9986" max="9986" width="60.77734375" style="22" customWidth="1"/>
    <col min="9987" max="9987" width="9.88671875" style="22" bestFit="1" customWidth="1"/>
    <col min="9988" max="9988" width="3.21875" style="22" bestFit="1" customWidth="1"/>
    <col min="9989" max="9989" width="11.33203125" style="22"/>
    <col min="9990" max="9990" width="12.33203125" style="22" bestFit="1" customWidth="1"/>
    <col min="9991" max="9991" width="9.88671875" style="22" bestFit="1" customWidth="1"/>
    <col min="9992" max="9992" width="12.33203125" style="22" bestFit="1" customWidth="1"/>
    <col min="9993" max="9993" width="11.33203125" style="22"/>
    <col min="9994" max="9994" width="12.33203125" style="22" bestFit="1" customWidth="1"/>
    <col min="9995" max="9995" width="11.33203125" style="22"/>
    <col min="9996" max="9996" width="12.33203125" style="22" bestFit="1" customWidth="1"/>
    <col min="9997" max="9997" width="9.88671875" style="22" bestFit="1" customWidth="1"/>
    <col min="9998" max="9998" width="12.33203125" style="22" bestFit="1" customWidth="1"/>
    <col min="9999" max="9999" width="11.33203125" style="22"/>
    <col min="10000" max="10000" width="12.33203125" style="22" bestFit="1" customWidth="1"/>
    <col min="10001" max="10002" width="4.21875" style="22" bestFit="1" customWidth="1"/>
    <col min="10003" max="10003" width="11.33203125" style="22"/>
    <col min="10004" max="10004" width="12.33203125" style="22" bestFit="1" customWidth="1"/>
    <col min="10005" max="10005" width="9.88671875" style="22" bestFit="1" customWidth="1"/>
    <col min="10006" max="10006" width="12.33203125" style="22" bestFit="1" customWidth="1"/>
    <col min="10007" max="10240" width="11.33203125" style="22"/>
    <col min="10241" max="10241" width="13.77734375" style="22" bestFit="1" customWidth="1"/>
    <col min="10242" max="10242" width="60.77734375" style="22" customWidth="1"/>
    <col min="10243" max="10243" width="9.88671875" style="22" bestFit="1" customWidth="1"/>
    <col min="10244" max="10244" width="3.21875" style="22" bestFit="1" customWidth="1"/>
    <col min="10245" max="10245" width="11.33203125" style="22"/>
    <col min="10246" max="10246" width="12.33203125" style="22" bestFit="1" customWidth="1"/>
    <col min="10247" max="10247" width="9.88671875" style="22" bestFit="1" customWidth="1"/>
    <col min="10248" max="10248" width="12.33203125" style="22" bestFit="1" customWidth="1"/>
    <col min="10249" max="10249" width="11.33203125" style="22"/>
    <col min="10250" max="10250" width="12.33203125" style="22" bestFit="1" customWidth="1"/>
    <col min="10251" max="10251" width="11.33203125" style="22"/>
    <col min="10252" max="10252" width="12.33203125" style="22" bestFit="1" customWidth="1"/>
    <col min="10253" max="10253" width="9.88671875" style="22" bestFit="1" customWidth="1"/>
    <col min="10254" max="10254" width="12.33203125" style="22" bestFit="1" customWidth="1"/>
    <col min="10255" max="10255" width="11.33203125" style="22"/>
    <col min="10256" max="10256" width="12.33203125" style="22" bestFit="1" customWidth="1"/>
    <col min="10257" max="10258" width="4.21875" style="22" bestFit="1" customWidth="1"/>
    <col min="10259" max="10259" width="11.33203125" style="22"/>
    <col min="10260" max="10260" width="12.33203125" style="22" bestFit="1" customWidth="1"/>
    <col min="10261" max="10261" width="9.88671875" style="22" bestFit="1" customWidth="1"/>
    <col min="10262" max="10262" width="12.33203125" style="22" bestFit="1" customWidth="1"/>
    <col min="10263" max="10496" width="11.33203125" style="22"/>
    <col min="10497" max="10497" width="13.77734375" style="22" bestFit="1" customWidth="1"/>
    <col min="10498" max="10498" width="60.77734375" style="22" customWidth="1"/>
    <col min="10499" max="10499" width="9.88671875" style="22" bestFit="1" customWidth="1"/>
    <col min="10500" max="10500" width="3.21875" style="22" bestFit="1" customWidth="1"/>
    <col min="10501" max="10501" width="11.33203125" style="22"/>
    <col min="10502" max="10502" width="12.33203125" style="22" bestFit="1" customWidth="1"/>
    <col min="10503" max="10503" width="9.88671875" style="22" bestFit="1" customWidth="1"/>
    <col min="10504" max="10504" width="12.33203125" style="22" bestFit="1" customWidth="1"/>
    <col min="10505" max="10505" width="11.33203125" style="22"/>
    <col min="10506" max="10506" width="12.33203125" style="22" bestFit="1" customWidth="1"/>
    <col min="10507" max="10507" width="11.33203125" style="22"/>
    <col min="10508" max="10508" width="12.33203125" style="22" bestFit="1" customWidth="1"/>
    <col min="10509" max="10509" width="9.88671875" style="22" bestFit="1" customWidth="1"/>
    <col min="10510" max="10510" width="12.33203125" style="22" bestFit="1" customWidth="1"/>
    <col min="10511" max="10511" width="11.33203125" style="22"/>
    <col min="10512" max="10512" width="12.33203125" style="22" bestFit="1" customWidth="1"/>
    <col min="10513" max="10514" width="4.21875" style="22" bestFit="1" customWidth="1"/>
    <col min="10515" max="10515" width="11.33203125" style="22"/>
    <col min="10516" max="10516" width="12.33203125" style="22" bestFit="1" customWidth="1"/>
    <col min="10517" max="10517" width="9.88671875" style="22" bestFit="1" customWidth="1"/>
    <col min="10518" max="10518" width="12.33203125" style="22" bestFit="1" customWidth="1"/>
    <col min="10519" max="10752" width="11.33203125" style="22"/>
    <col min="10753" max="10753" width="13.77734375" style="22" bestFit="1" customWidth="1"/>
    <col min="10754" max="10754" width="60.77734375" style="22" customWidth="1"/>
    <col min="10755" max="10755" width="9.88671875" style="22" bestFit="1" customWidth="1"/>
    <col min="10756" max="10756" width="3.21875" style="22" bestFit="1" customWidth="1"/>
    <col min="10757" max="10757" width="11.33203125" style="22"/>
    <col min="10758" max="10758" width="12.33203125" style="22" bestFit="1" customWidth="1"/>
    <col min="10759" max="10759" width="9.88671875" style="22" bestFit="1" customWidth="1"/>
    <col min="10760" max="10760" width="12.33203125" style="22" bestFit="1" customWidth="1"/>
    <col min="10761" max="10761" width="11.33203125" style="22"/>
    <col min="10762" max="10762" width="12.33203125" style="22" bestFit="1" customWidth="1"/>
    <col min="10763" max="10763" width="11.33203125" style="22"/>
    <col min="10764" max="10764" width="12.33203125" style="22" bestFit="1" customWidth="1"/>
    <col min="10765" max="10765" width="9.88671875" style="22" bestFit="1" customWidth="1"/>
    <col min="10766" max="10766" width="12.33203125" style="22" bestFit="1" customWidth="1"/>
    <col min="10767" max="10767" width="11.33203125" style="22"/>
    <col min="10768" max="10768" width="12.33203125" style="22" bestFit="1" customWidth="1"/>
    <col min="10769" max="10770" width="4.21875" style="22" bestFit="1" customWidth="1"/>
    <col min="10771" max="10771" width="11.33203125" style="22"/>
    <col min="10772" max="10772" width="12.33203125" style="22" bestFit="1" customWidth="1"/>
    <col min="10773" max="10773" width="9.88671875" style="22" bestFit="1" customWidth="1"/>
    <col min="10774" max="10774" width="12.33203125" style="22" bestFit="1" customWidth="1"/>
    <col min="10775" max="11008" width="11.33203125" style="22"/>
    <col min="11009" max="11009" width="13.77734375" style="22" bestFit="1" customWidth="1"/>
    <col min="11010" max="11010" width="60.77734375" style="22" customWidth="1"/>
    <col min="11011" max="11011" width="9.88671875" style="22" bestFit="1" customWidth="1"/>
    <col min="11012" max="11012" width="3.21875" style="22" bestFit="1" customWidth="1"/>
    <col min="11013" max="11013" width="11.33203125" style="22"/>
    <col min="11014" max="11014" width="12.33203125" style="22" bestFit="1" customWidth="1"/>
    <col min="11015" max="11015" width="9.88671875" style="22" bestFit="1" customWidth="1"/>
    <col min="11016" max="11016" width="12.33203125" style="22" bestFit="1" customWidth="1"/>
    <col min="11017" max="11017" width="11.33203125" style="22"/>
    <col min="11018" max="11018" width="12.33203125" style="22" bestFit="1" customWidth="1"/>
    <col min="11019" max="11019" width="11.33203125" style="22"/>
    <col min="11020" max="11020" width="12.33203125" style="22" bestFit="1" customWidth="1"/>
    <col min="11021" max="11021" width="9.88671875" style="22" bestFit="1" customWidth="1"/>
    <col min="11022" max="11022" width="12.33203125" style="22" bestFit="1" customWidth="1"/>
    <col min="11023" max="11023" width="11.33203125" style="22"/>
    <col min="11024" max="11024" width="12.33203125" style="22" bestFit="1" customWidth="1"/>
    <col min="11025" max="11026" width="4.21875" style="22" bestFit="1" customWidth="1"/>
    <col min="11027" max="11027" width="11.33203125" style="22"/>
    <col min="11028" max="11028" width="12.33203125" style="22" bestFit="1" customWidth="1"/>
    <col min="11029" max="11029" width="9.88671875" style="22" bestFit="1" customWidth="1"/>
    <col min="11030" max="11030" width="12.33203125" style="22" bestFit="1" customWidth="1"/>
    <col min="11031" max="11264" width="11.33203125" style="22"/>
    <col min="11265" max="11265" width="13.77734375" style="22" bestFit="1" customWidth="1"/>
    <col min="11266" max="11266" width="60.77734375" style="22" customWidth="1"/>
    <col min="11267" max="11267" width="9.88671875" style="22" bestFit="1" customWidth="1"/>
    <col min="11268" max="11268" width="3.21875" style="22" bestFit="1" customWidth="1"/>
    <col min="11269" max="11269" width="11.33203125" style="22"/>
    <col min="11270" max="11270" width="12.33203125" style="22" bestFit="1" customWidth="1"/>
    <col min="11271" max="11271" width="9.88671875" style="22" bestFit="1" customWidth="1"/>
    <col min="11272" max="11272" width="12.33203125" style="22" bestFit="1" customWidth="1"/>
    <col min="11273" max="11273" width="11.33203125" style="22"/>
    <col min="11274" max="11274" width="12.33203125" style="22" bestFit="1" customWidth="1"/>
    <col min="11275" max="11275" width="11.33203125" style="22"/>
    <col min="11276" max="11276" width="12.33203125" style="22" bestFit="1" customWidth="1"/>
    <col min="11277" max="11277" width="9.88671875" style="22" bestFit="1" customWidth="1"/>
    <col min="11278" max="11278" width="12.33203125" style="22" bestFit="1" customWidth="1"/>
    <col min="11279" max="11279" width="11.33203125" style="22"/>
    <col min="11280" max="11280" width="12.33203125" style="22" bestFit="1" customWidth="1"/>
    <col min="11281" max="11282" width="4.21875" style="22" bestFit="1" customWidth="1"/>
    <col min="11283" max="11283" width="11.33203125" style="22"/>
    <col min="11284" max="11284" width="12.33203125" style="22" bestFit="1" customWidth="1"/>
    <col min="11285" max="11285" width="9.88671875" style="22" bestFit="1" customWidth="1"/>
    <col min="11286" max="11286" width="12.33203125" style="22" bestFit="1" customWidth="1"/>
    <col min="11287" max="11520" width="11.33203125" style="22"/>
    <col min="11521" max="11521" width="13.77734375" style="22" bestFit="1" customWidth="1"/>
    <col min="11522" max="11522" width="60.77734375" style="22" customWidth="1"/>
    <col min="11523" max="11523" width="9.88671875" style="22" bestFit="1" customWidth="1"/>
    <col min="11524" max="11524" width="3.21875" style="22" bestFit="1" customWidth="1"/>
    <col min="11525" max="11525" width="11.33203125" style="22"/>
    <col min="11526" max="11526" width="12.33203125" style="22" bestFit="1" customWidth="1"/>
    <col min="11527" max="11527" width="9.88671875" style="22" bestFit="1" customWidth="1"/>
    <col min="11528" max="11528" width="12.33203125" style="22" bestFit="1" customWidth="1"/>
    <col min="11529" max="11529" width="11.33203125" style="22"/>
    <col min="11530" max="11530" width="12.33203125" style="22" bestFit="1" customWidth="1"/>
    <col min="11531" max="11531" width="11.33203125" style="22"/>
    <col min="11532" max="11532" width="12.33203125" style="22" bestFit="1" customWidth="1"/>
    <col min="11533" max="11533" width="9.88671875" style="22" bestFit="1" customWidth="1"/>
    <col min="11534" max="11534" width="12.33203125" style="22" bestFit="1" customWidth="1"/>
    <col min="11535" max="11535" width="11.33203125" style="22"/>
    <col min="11536" max="11536" width="12.33203125" style="22" bestFit="1" customWidth="1"/>
    <col min="11537" max="11538" width="4.21875" style="22" bestFit="1" customWidth="1"/>
    <col min="11539" max="11539" width="11.33203125" style="22"/>
    <col min="11540" max="11540" width="12.33203125" style="22" bestFit="1" customWidth="1"/>
    <col min="11541" max="11541" width="9.88671875" style="22" bestFit="1" customWidth="1"/>
    <col min="11542" max="11542" width="12.33203125" style="22" bestFit="1" customWidth="1"/>
    <col min="11543" max="11776" width="11.33203125" style="22"/>
    <col min="11777" max="11777" width="13.77734375" style="22" bestFit="1" customWidth="1"/>
    <col min="11778" max="11778" width="60.77734375" style="22" customWidth="1"/>
    <col min="11779" max="11779" width="9.88671875" style="22" bestFit="1" customWidth="1"/>
    <col min="11780" max="11780" width="3.21875" style="22" bestFit="1" customWidth="1"/>
    <col min="11781" max="11781" width="11.33203125" style="22"/>
    <col min="11782" max="11782" width="12.33203125" style="22" bestFit="1" customWidth="1"/>
    <col min="11783" max="11783" width="9.88671875" style="22" bestFit="1" customWidth="1"/>
    <col min="11784" max="11784" width="12.33203125" style="22" bestFit="1" customWidth="1"/>
    <col min="11785" max="11785" width="11.33203125" style="22"/>
    <col min="11786" max="11786" width="12.33203125" style="22" bestFit="1" customWidth="1"/>
    <col min="11787" max="11787" width="11.33203125" style="22"/>
    <col min="11788" max="11788" width="12.33203125" style="22" bestFit="1" customWidth="1"/>
    <col min="11789" max="11789" width="9.88671875" style="22" bestFit="1" customWidth="1"/>
    <col min="11790" max="11790" width="12.33203125" style="22" bestFit="1" customWidth="1"/>
    <col min="11791" max="11791" width="11.33203125" style="22"/>
    <col min="11792" max="11792" width="12.33203125" style="22" bestFit="1" customWidth="1"/>
    <col min="11793" max="11794" width="4.21875" style="22" bestFit="1" customWidth="1"/>
    <col min="11795" max="11795" width="11.33203125" style="22"/>
    <col min="11796" max="11796" width="12.33203125" style="22" bestFit="1" customWidth="1"/>
    <col min="11797" max="11797" width="9.88671875" style="22" bestFit="1" customWidth="1"/>
    <col min="11798" max="11798" width="12.33203125" style="22" bestFit="1" customWidth="1"/>
    <col min="11799" max="12032" width="11.33203125" style="22"/>
    <col min="12033" max="12033" width="13.77734375" style="22" bestFit="1" customWidth="1"/>
    <col min="12034" max="12034" width="60.77734375" style="22" customWidth="1"/>
    <col min="12035" max="12035" width="9.88671875" style="22" bestFit="1" customWidth="1"/>
    <col min="12036" max="12036" width="3.21875" style="22" bestFit="1" customWidth="1"/>
    <col min="12037" max="12037" width="11.33203125" style="22"/>
    <col min="12038" max="12038" width="12.33203125" style="22" bestFit="1" customWidth="1"/>
    <col min="12039" max="12039" width="9.88671875" style="22" bestFit="1" customWidth="1"/>
    <col min="12040" max="12040" width="12.33203125" style="22" bestFit="1" customWidth="1"/>
    <col min="12041" max="12041" width="11.33203125" style="22"/>
    <col min="12042" max="12042" width="12.33203125" style="22" bestFit="1" customWidth="1"/>
    <col min="12043" max="12043" width="11.33203125" style="22"/>
    <col min="12044" max="12044" width="12.33203125" style="22" bestFit="1" customWidth="1"/>
    <col min="12045" max="12045" width="9.88671875" style="22" bestFit="1" customWidth="1"/>
    <col min="12046" max="12046" width="12.33203125" style="22" bestFit="1" customWidth="1"/>
    <col min="12047" max="12047" width="11.33203125" style="22"/>
    <col min="12048" max="12048" width="12.33203125" style="22" bestFit="1" customWidth="1"/>
    <col min="12049" max="12050" width="4.21875" style="22" bestFit="1" customWidth="1"/>
    <col min="12051" max="12051" width="11.33203125" style="22"/>
    <col min="12052" max="12052" width="12.33203125" style="22" bestFit="1" customWidth="1"/>
    <col min="12053" max="12053" width="9.88671875" style="22" bestFit="1" customWidth="1"/>
    <col min="12054" max="12054" width="12.33203125" style="22" bestFit="1" customWidth="1"/>
    <col min="12055" max="12288" width="11.33203125" style="22"/>
    <col min="12289" max="12289" width="13.77734375" style="22" bestFit="1" customWidth="1"/>
    <col min="12290" max="12290" width="60.77734375" style="22" customWidth="1"/>
    <col min="12291" max="12291" width="9.88671875" style="22" bestFit="1" customWidth="1"/>
    <col min="12292" max="12292" width="3.21875" style="22" bestFit="1" customWidth="1"/>
    <col min="12293" max="12293" width="11.33203125" style="22"/>
    <col min="12294" max="12294" width="12.33203125" style="22" bestFit="1" customWidth="1"/>
    <col min="12295" max="12295" width="9.88671875" style="22" bestFit="1" customWidth="1"/>
    <col min="12296" max="12296" width="12.33203125" style="22" bestFit="1" customWidth="1"/>
    <col min="12297" max="12297" width="11.33203125" style="22"/>
    <col min="12298" max="12298" width="12.33203125" style="22" bestFit="1" customWidth="1"/>
    <col min="12299" max="12299" width="11.33203125" style="22"/>
    <col min="12300" max="12300" width="12.33203125" style="22" bestFit="1" customWidth="1"/>
    <col min="12301" max="12301" width="9.88671875" style="22" bestFit="1" customWidth="1"/>
    <col min="12302" max="12302" width="12.33203125" style="22" bestFit="1" customWidth="1"/>
    <col min="12303" max="12303" width="11.33203125" style="22"/>
    <col min="12304" max="12304" width="12.33203125" style="22" bestFit="1" customWidth="1"/>
    <col min="12305" max="12306" width="4.21875" style="22" bestFit="1" customWidth="1"/>
    <col min="12307" max="12307" width="11.33203125" style="22"/>
    <col min="12308" max="12308" width="12.33203125" style="22" bestFit="1" customWidth="1"/>
    <col min="12309" max="12309" width="9.88671875" style="22" bestFit="1" customWidth="1"/>
    <col min="12310" max="12310" width="12.33203125" style="22" bestFit="1" customWidth="1"/>
    <col min="12311" max="12544" width="11.33203125" style="22"/>
    <col min="12545" max="12545" width="13.77734375" style="22" bestFit="1" customWidth="1"/>
    <col min="12546" max="12546" width="60.77734375" style="22" customWidth="1"/>
    <col min="12547" max="12547" width="9.88671875" style="22" bestFit="1" customWidth="1"/>
    <col min="12548" max="12548" width="3.21875" style="22" bestFit="1" customWidth="1"/>
    <col min="12549" max="12549" width="11.33203125" style="22"/>
    <col min="12550" max="12550" width="12.33203125" style="22" bestFit="1" customWidth="1"/>
    <col min="12551" max="12551" width="9.88671875" style="22" bestFit="1" customWidth="1"/>
    <col min="12552" max="12552" width="12.33203125" style="22" bestFit="1" customWidth="1"/>
    <col min="12553" max="12553" width="11.33203125" style="22"/>
    <col min="12554" max="12554" width="12.33203125" style="22" bestFit="1" customWidth="1"/>
    <col min="12555" max="12555" width="11.33203125" style="22"/>
    <col min="12556" max="12556" width="12.33203125" style="22" bestFit="1" customWidth="1"/>
    <col min="12557" max="12557" width="9.88671875" style="22" bestFit="1" customWidth="1"/>
    <col min="12558" max="12558" width="12.33203125" style="22" bestFit="1" customWidth="1"/>
    <col min="12559" max="12559" width="11.33203125" style="22"/>
    <col min="12560" max="12560" width="12.33203125" style="22" bestFit="1" customWidth="1"/>
    <col min="12561" max="12562" width="4.21875" style="22" bestFit="1" customWidth="1"/>
    <col min="12563" max="12563" width="11.33203125" style="22"/>
    <col min="12564" max="12564" width="12.33203125" style="22" bestFit="1" customWidth="1"/>
    <col min="12565" max="12565" width="9.88671875" style="22" bestFit="1" customWidth="1"/>
    <col min="12566" max="12566" width="12.33203125" style="22" bestFit="1" customWidth="1"/>
    <col min="12567" max="12800" width="11.33203125" style="22"/>
    <col min="12801" max="12801" width="13.77734375" style="22" bestFit="1" customWidth="1"/>
    <col min="12802" max="12802" width="60.77734375" style="22" customWidth="1"/>
    <col min="12803" max="12803" width="9.88671875" style="22" bestFit="1" customWidth="1"/>
    <col min="12804" max="12804" width="3.21875" style="22" bestFit="1" customWidth="1"/>
    <col min="12805" max="12805" width="11.33203125" style="22"/>
    <col min="12806" max="12806" width="12.33203125" style="22" bestFit="1" customWidth="1"/>
    <col min="12807" max="12807" width="9.88671875" style="22" bestFit="1" customWidth="1"/>
    <col min="12808" max="12808" width="12.33203125" style="22" bestFit="1" customWidth="1"/>
    <col min="12809" max="12809" width="11.33203125" style="22"/>
    <col min="12810" max="12810" width="12.33203125" style="22" bestFit="1" customWidth="1"/>
    <col min="12811" max="12811" width="11.33203125" style="22"/>
    <col min="12812" max="12812" width="12.33203125" style="22" bestFit="1" customWidth="1"/>
    <col min="12813" max="12813" width="9.88671875" style="22" bestFit="1" customWidth="1"/>
    <col min="12814" max="12814" width="12.33203125" style="22" bestFit="1" customWidth="1"/>
    <col min="12815" max="12815" width="11.33203125" style="22"/>
    <col min="12816" max="12816" width="12.33203125" style="22" bestFit="1" customWidth="1"/>
    <col min="12817" max="12818" width="4.21875" style="22" bestFit="1" customWidth="1"/>
    <col min="12819" max="12819" width="11.33203125" style="22"/>
    <col min="12820" max="12820" width="12.33203125" style="22" bestFit="1" customWidth="1"/>
    <col min="12821" max="12821" width="9.88671875" style="22" bestFit="1" customWidth="1"/>
    <col min="12822" max="12822" width="12.33203125" style="22" bestFit="1" customWidth="1"/>
    <col min="12823" max="13056" width="11.33203125" style="22"/>
    <col min="13057" max="13057" width="13.77734375" style="22" bestFit="1" customWidth="1"/>
    <col min="13058" max="13058" width="60.77734375" style="22" customWidth="1"/>
    <col min="13059" max="13059" width="9.88671875" style="22" bestFit="1" customWidth="1"/>
    <col min="13060" max="13060" width="3.21875" style="22" bestFit="1" customWidth="1"/>
    <col min="13061" max="13061" width="11.33203125" style="22"/>
    <col min="13062" max="13062" width="12.33203125" style="22" bestFit="1" customWidth="1"/>
    <col min="13063" max="13063" width="9.88671875" style="22" bestFit="1" customWidth="1"/>
    <col min="13064" max="13064" width="12.33203125" style="22" bestFit="1" customWidth="1"/>
    <col min="13065" max="13065" width="11.33203125" style="22"/>
    <col min="13066" max="13066" width="12.33203125" style="22" bestFit="1" customWidth="1"/>
    <col min="13067" max="13067" width="11.33203125" style="22"/>
    <col min="13068" max="13068" width="12.33203125" style="22" bestFit="1" customWidth="1"/>
    <col min="13069" max="13069" width="9.88671875" style="22" bestFit="1" customWidth="1"/>
    <col min="13070" max="13070" width="12.33203125" style="22" bestFit="1" customWidth="1"/>
    <col min="13071" max="13071" width="11.33203125" style="22"/>
    <col min="13072" max="13072" width="12.33203125" style="22" bestFit="1" customWidth="1"/>
    <col min="13073" max="13074" width="4.21875" style="22" bestFit="1" customWidth="1"/>
    <col min="13075" max="13075" width="11.33203125" style="22"/>
    <col min="13076" max="13076" width="12.33203125" style="22" bestFit="1" customWidth="1"/>
    <col min="13077" max="13077" width="9.88671875" style="22" bestFit="1" customWidth="1"/>
    <col min="13078" max="13078" width="12.33203125" style="22" bestFit="1" customWidth="1"/>
    <col min="13079" max="13312" width="11.33203125" style="22"/>
    <col min="13313" max="13313" width="13.77734375" style="22" bestFit="1" customWidth="1"/>
    <col min="13314" max="13314" width="60.77734375" style="22" customWidth="1"/>
    <col min="13315" max="13315" width="9.88671875" style="22" bestFit="1" customWidth="1"/>
    <col min="13316" max="13316" width="3.21875" style="22" bestFit="1" customWidth="1"/>
    <col min="13317" max="13317" width="11.33203125" style="22"/>
    <col min="13318" max="13318" width="12.33203125" style="22" bestFit="1" customWidth="1"/>
    <col min="13319" max="13319" width="9.88671875" style="22" bestFit="1" customWidth="1"/>
    <col min="13320" max="13320" width="12.33203125" style="22" bestFit="1" customWidth="1"/>
    <col min="13321" max="13321" width="11.33203125" style="22"/>
    <col min="13322" max="13322" width="12.33203125" style="22" bestFit="1" customWidth="1"/>
    <col min="13323" max="13323" width="11.33203125" style="22"/>
    <col min="13324" max="13324" width="12.33203125" style="22" bestFit="1" customWidth="1"/>
    <col min="13325" max="13325" width="9.88671875" style="22" bestFit="1" customWidth="1"/>
    <col min="13326" max="13326" width="12.33203125" style="22" bestFit="1" customWidth="1"/>
    <col min="13327" max="13327" width="11.33203125" style="22"/>
    <col min="13328" max="13328" width="12.33203125" style="22" bestFit="1" customWidth="1"/>
    <col min="13329" max="13330" width="4.21875" style="22" bestFit="1" customWidth="1"/>
    <col min="13331" max="13331" width="11.33203125" style="22"/>
    <col min="13332" max="13332" width="12.33203125" style="22" bestFit="1" customWidth="1"/>
    <col min="13333" max="13333" width="9.88671875" style="22" bestFit="1" customWidth="1"/>
    <col min="13334" max="13334" width="12.33203125" style="22" bestFit="1" customWidth="1"/>
    <col min="13335" max="13568" width="11.33203125" style="22"/>
    <col min="13569" max="13569" width="13.77734375" style="22" bestFit="1" customWidth="1"/>
    <col min="13570" max="13570" width="60.77734375" style="22" customWidth="1"/>
    <col min="13571" max="13571" width="9.88671875" style="22" bestFit="1" customWidth="1"/>
    <col min="13572" max="13572" width="3.21875" style="22" bestFit="1" customWidth="1"/>
    <col min="13573" max="13573" width="11.33203125" style="22"/>
    <col min="13574" max="13574" width="12.33203125" style="22" bestFit="1" customWidth="1"/>
    <col min="13575" max="13575" width="9.88671875" style="22" bestFit="1" customWidth="1"/>
    <col min="13576" max="13576" width="12.33203125" style="22" bestFit="1" customWidth="1"/>
    <col min="13577" max="13577" width="11.33203125" style="22"/>
    <col min="13578" max="13578" width="12.33203125" style="22" bestFit="1" customWidth="1"/>
    <col min="13579" max="13579" width="11.33203125" style="22"/>
    <col min="13580" max="13580" width="12.33203125" style="22" bestFit="1" customWidth="1"/>
    <col min="13581" max="13581" width="9.88671875" style="22" bestFit="1" customWidth="1"/>
    <col min="13582" max="13582" width="12.33203125" style="22" bestFit="1" customWidth="1"/>
    <col min="13583" max="13583" width="11.33203125" style="22"/>
    <col min="13584" max="13584" width="12.33203125" style="22" bestFit="1" customWidth="1"/>
    <col min="13585" max="13586" width="4.21875" style="22" bestFit="1" customWidth="1"/>
    <col min="13587" max="13587" width="11.33203125" style="22"/>
    <col min="13588" max="13588" width="12.33203125" style="22" bestFit="1" customWidth="1"/>
    <col min="13589" max="13589" width="9.88671875" style="22" bestFit="1" customWidth="1"/>
    <col min="13590" max="13590" width="12.33203125" style="22" bestFit="1" customWidth="1"/>
    <col min="13591" max="13824" width="11.33203125" style="22"/>
    <col min="13825" max="13825" width="13.77734375" style="22" bestFit="1" customWidth="1"/>
    <col min="13826" max="13826" width="60.77734375" style="22" customWidth="1"/>
    <col min="13827" max="13827" width="9.88671875" style="22" bestFit="1" customWidth="1"/>
    <col min="13828" max="13828" width="3.21875" style="22" bestFit="1" customWidth="1"/>
    <col min="13829" max="13829" width="11.33203125" style="22"/>
    <col min="13830" max="13830" width="12.33203125" style="22" bestFit="1" customWidth="1"/>
    <col min="13831" max="13831" width="9.88671875" style="22" bestFit="1" customWidth="1"/>
    <col min="13832" max="13832" width="12.33203125" style="22" bestFit="1" customWidth="1"/>
    <col min="13833" max="13833" width="11.33203125" style="22"/>
    <col min="13834" max="13834" width="12.33203125" style="22" bestFit="1" customWidth="1"/>
    <col min="13835" max="13835" width="11.33203125" style="22"/>
    <col min="13836" max="13836" width="12.33203125" style="22" bestFit="1" customWidth="1"/>
    <col min="13837" max="13837" width="9.88671875" style="22" bestFit="1" customWidth="1"/>
    <col min="13838" max="13838" width="12.33203125" style="22" bestFit="1" customWidth="1"/>
    <col min="13839" max="13839" width="11.33203125" style="22"/>
    <col min="13840" max="13840" width="12.33203125" style="22" bestFit="1" customWidth="1"/>
    <col min="13841" max="13842" width="4.21875" style="22" bestFit="1" customWidth="1"/>
    <col min="13843" max="13843" width="11.33203125" style="22"/>
    <col min="13844" max="13844" width="12.33203125" style="22" bestFit="1" customWidth="1"/>
    <col min="13845" max="13845" width="9.88671875" style="22" bestFit="1" customWidth="1"/>
    <col min="13846" max="13846" width="12.33203125" style="22" bestFit="1" customWidth="1"/>
    <col min="13847" max="14080" width="11.33203125" style="22"/>
    <col min="14081" max="14081" width="13.77734375" style="22" bestFit="1" customWidth="1"/>
    <col min="14082" max="14082" width="60.77734375" style="22" customWidth="1"/>
    <col min="14083" max="14083" width="9.88671875" style="22" bestFit="1" customWidth="1"/>
    <col min="14084" max="14084" width="3.21875" style="22" bestFit="1" customWidth="1"/>
    <col min="14085" max="14085" width="11.33203125" style="22"/>
    <col min="14086" max="14086" width="12.33203125" style="22" bestFit="1" customWidth="1"/>
    <col min="14087" max="14087" width="9.88671875" style="22" bestFit="1" customWidth="1"/>
    <col min="14088" max="14088" width="12.33203125" style="22" bestFit="1" customWidth="1"/>
    <col min="14089" max="14089" width="11.33203125" style="22"/>
    <col min="14090" max="14090" width="12.33203125" style="22" bestFit="1" customWidth="1"/>
    <col min="14091" max="14091" width="11.33203125" style="22"/>
    <col min="14092" max="14092" width="12.33203125" style="22" bestFit="1" customWidth="1"/>
    <col min="14093" max="14093" width="9.88671875" style="22" bestFit="1" customWidth="1"/>
    <col min="14094" max="14094" width="12.33203125" style="22" bestFit="1" customWidth="1"/>
    <col min="14095" max="14095" width="11.33203125" style="22"/>
    <col min="14096" max="14096" width="12.33203125" style="22" bestFit="1" customWidth="1"/>
    <col min="14097" max="14098" width="4.21875" style="22" bestFit="1" customWidth="1"/>
    <col min="14099" max="14099" width="11.33203125" style="22"/>
    <col min="14100" max="14100" width="12.33203125" style="22" bestFit="1" customWidth="1"/>
    <col min="14101" max="14101" width="9.88671875" style="22" bestFit="1" customWidth="1"/>
    <col min="14102" max="14102" width="12.33203125" style="22" bestFit="1" customWidth="1"/>
    <col min="14103" max="14336" width="11.33203125" style="22"/>
    <col min="14337" max="14337" width="13.77734375" style="22" bestFit="1" customWidth="1"/>
    <col min="14338" max="14338" width="60.77734375" style="22" customWidth="1"/>
    <col min="14339" max="14339" width="9.88671875" style="22" bestFit="1" customWidth="1"/>
    <col min="14340" max="14340" width="3.21875" style="22" bestFit="1" customWidth="1"/>
    <col min="14341" max="14341" width="11.33203125" style="22"/>
    <col min="14342" max="14342" width="12.33203125" style="22" bestFit="1" customWidth="1"/>
    <col min="14343" max="14343" width="9.88671875" style="22" bestFit="1" customWidth="1"/>
    <col min="14344" max="14344" width="12.33203125" style="22" bestFit="1" customWidth="1"/>
    <col min="14345" max="14345" width="11.33203125" style="22"/>
    <col min="14346" max="14346" width="12.33203125" style="22" bestFit="1" customWidth="1"/>
    <col min="14347" max="14347" width="11.33203125" style="22"/>
    <col min="14348" max="14348" width="12.33203125" style="22" bestFit="1" customWidth="1"/>
    <col min="14349" max="14349" width="9.88671875" style="22" bestFit="1" customWidth="1"/>
    <col min="14350" max="14350" width="12.33203125" style="22" bestFit="1" customWidth="1"/>
    <col min="14351" max="14351" width="11.33203125" style="22"/>
    <col min="14352" max="14352" width="12.33203125" style="22" bestFit="1" customWidth="1"/>
    <col min="14353" max="14354" width="4.21875" style="22" bestFit="1" customWidth="1"/>
    <col min="14355" max="14355" width="11.33203125" style="22"/>
    <col min="14356" max="14356" width="12.33203125" style="22" bestFit="1" customWidth="1"/>
    <col min="14357" max="14357" width="9.88671875" style="22" bestFit="1" customWidth="1"/>
    <col min="14358" max="14358" width="12.33203125" style="22" bestFit="1" customWidth="1"/>
    <col min="14359" max="14592" width="11.33203125" style="22"/>
    <col min="14593" max="14593" width="13.77734375" style="22" bestFit="1" customWidth="1"/>
    <col min="14594" max="14594" width="60.77734375" style="22" customWidth="1"/>
    <col min="14595" max="14595" width="9.88671875" style="22" bestFit="1" customWidth="1"/>
    <col min="14596" max="14596" width="3.21875" style="22" bestFit="1" customWidth="1"/>
    <col min="14597" max="14597" width="11.33203125" style="22"/>
    <col min="14598" max="14598" width="12.33203125" style="22" bestFit="1" customWidth="1"/>
    <col min="14599" max="14599" width="9.88671875" style="22" bestFit="1" customWidth="1"/>
    <col min="14600" max="14600" width="12.33203125" style="22" bestFit="1" customWidth="1"/>
    <col min="14601" max="14601" width="11.33203125" style="22"/>
    <col min="14602" max="14602" width="12.33203125" style="22" bestFit="1" customWidth="1"/>
    <col min="14603" max="14603" width="11.33203125" style="22"/>
    <col min="14604" max="14604" width="12.33203125" style="22" bestFit="1" customWidth="1"/>
    <col min="14605" max="14605" width="9.88671875" style="22" bestFit="1" customWidth="1"/>
    <col min="14606" max="14606" width="12.33203125" style="22" bestFit="1" customWidth="1"/>
    <col min="14607" max="14607" width="11.33203125" style="22"/>
    <col min="14608" max="14608" width="12.33203125" style="22" bestFit="1" customWidth="1"/>
    <col min="14609" max="14610" width="4.21875" style="22" bestFit="1" customWidth="1"/>
    <col min="14611" max="14611" width="11.33203125" style="22"/>
    <col min="14612" max="14612" width="12.33203125" style="22" bestFit="1" customWidth="1"/>
    <col min="14613" max="14613" width="9.88671875" style="22" bestFit="1" customWidth="1"/>
    <col min="14614" max="14614" width="12.33203125" style="22" bestFit="1" customWidth="1"/>
    <col min="14615" max="14848" width="11.33203125" style="22"/>
    <col min="14849" max="14849" width="13.77734375" style="22" bestFit="1" customWidth="1"/>
    <col min="14850" max="14850" width="60.77734375" style="22" customWidth="1"/>
    <col min="14851" max="14851" width="9.88671875" style="22" bestFit="1" customWidth="1"/>
    <col min="14852" max="14852" width="3.21875" style="22" bestFit="1" customWidth="1"/>
    <col min="14853" max="14853" width="11.33203125" style="22"/>
    <col min="14854" max="14854" width="12.33203125" style="22" bestFit="1" customWidth="1"/>
    <col min="14855" max="14855" width="9.88671875" style="22" bestFit="1" customWidth="1"/>
    <col min="14856" max="14856" width="12.33203125" style="22" bestFit="1" customWidth="1"/>
    <col min="14857" max="14857" width="11.33203125" style="22"/>
    <col min="14858" max="14858" width="12.33203125" style="22" bestFit="1" customWidth="1"/>
    <col min="14859" max="14859" width="11.33203125" style="22"/>
    <col min="14860" max="14860" width="12.33203125" style="22" bestFit="1" customWidth="1"/>
    <col min="14861" max="14861" width="9.88671875" style="22" bestFit="1" customWidth="1"/>
    <col min="14862" max="14862" width="12.33203125" style="22" bestFit="1" customWidth="1"/>
    <col min="14863" max="14863" width="11.33203125" style="22"/>
    <col min="14864" max="14864" width="12.33203125" style="22" bestFit="1" customWidth="1"/>
    <col min="14865" max="14866" width="4.21875" style="22" bestFit="1" customWidth="1"/>
    <col min="14867" max="14867" width="11.33203125" style="22"/>
    <col min="14868" max="14868" width="12.33203125" style="22" bestFit="1" customWidth="1"/>
    <col min="14869" max="14869" width="9.88671875" style="22" bestFit="1" customWidth="1"/>
    <col min="14870" max="14870" width="12.33203125" style="22" bestFit="1" customWidth="1"/>
    <col min="14871" max="15104" width="11.33203125" style="22"/>
    <col min="15105" max="15105" width="13.77734375" style="22" bestFit="1" customWidth="1"/>
    <col min="15106" max="15106" width="60.77734375" style="22" customWidth="1"/>
    <col min="15107" max="15107" width="9.88671875" style="22" bestFit="1" customWidth="1"/>
    <col min="15108" max="15108" width="3.21875" style="22" bestFit="1" customWidth="1"/>
    <col min="15109" max="15109" width="11.33203125" style="22"/>
    <col min="15110" max="15110" width="12.33203125" style="22" bestFit="1" customWidth="1"/>
    <col min="15111" max="15111" width="9.88671875" style="22" bestFit="1" customWidth="1"/>
    <col min="15112" max="15112" width="12.33203125" style="22" bestFit="1" customWidth="1"/>
    <col min="15113" max="15113" width="11.33203125" style="22"/>
    <col min="15114" max="15114" width="12.33203125" style="22" bestFit="1" customWidth="1"/>
    <col min="15115" max="15115" width="11.33203125" style="22"/>
    <col min="15116" max="15116" width="12.33203125" style="22" bestFit="1" customWidth="1"/>
    <col min="15117" max="15117" width="9.88671875" style="22" bestFit="1" customWidth="1"/>
    <col min="15118" max="15118" width="12.33203125" style="22" bestFit="1" customWidth="1"/>
    <col min="15119" max="15119" width="11.33203125" style="22"/>
    <col min="15120" max="15120" width="12.33203125" style="22" bestFit="1" customWidth="1"/>
    <col min="15121" max="15122" width="4.21875" style="22" bestFit="1" customWidth="1"/>
    <col min="15123" max="15123" width="11.33203125" style="22"/>
    <col min="15124" max="15124" width="12.33203125" style="22" bestFit="1" customWidth="1"/>
    <col min="15125" max="15125" width="9.88671875" style="22" bestFit="1" customWidth="1"/>
    <col min="15126" max="15126" width="12.33203125" style="22" bestFit="1" customWidth="1"/>
    <col min="15127" max="15360" width="11.33203125" style="22"/>
    <col min="15361" max="15361" width="13.77734375" style="22" bestFit="1" customWidth="1"/>
    <col min="15362" max="15362" width="60.77734375" style="22" customWidth="1"/>
    <col min="15363" max="15363" width="9.88671875" style="22" bestFit="1" customWidth="1"/>
    <col min="15364" max="15364" width="3.21875" style="22" bestFit="1" customWidth="1"/>
    <col min="15365" max="15365" width="11.33203125" style="22"/>
    <col min="15366" max="15366" width="12.33203125" style="22" bestFit="1" customWidth="1"/>
    <col min="15367" max="15367" width="9.88671875" style="22" bestFit="1" customWidth="1"/>
    <col min="15368" max="15368" width="12.33203125" style="22" bestFit="1" customWidth="1"/>
    <col min="15369" max="15369" width="11.33203125" style="22"/>
    <col min="15370" max="15370" width="12.33203125" style="22" bestFit="1" customWidth="1"/>
    <col min="15371" max="15371" width="11.33203125" style="22"/>
    <col min="15372" max="15372" width="12.33203125" style="22" bestFit="1" customWidth="1"/>
    <col min="15373" max="15373" width="9.88671875" style="22" bestFit="1" customWidth="1"/>
    <col min="15374" max="15374" width="12.33203125" style="22" bestFit="1" customWidth="1"/>
    <col min="15375" max="15375" width="11.33203125" style="22"/>
    <col min="15376" max="15376" width="12.33203125" style="22" bestFit="1" customWidth="1"/>
    <col min="15377" max="15378" width="4.21875" style="22" bestFit="1" customWidth="1"/>
    <col min="15379" max="15379" width="11.33203125" style="22"/>
    <col min="15380" max="15380" width="12.33203125" style="22" bestFit="1" customWidth="1"/>
    <col min="15381" max="15381" width="9.88671875" style="22" bestFit="1" customWidth="1"/>
    <col min="15382" max="15382" width="12.33203125" style="22" bestFit="1" customWidth="1"/>
    <col min="15383" max="15616" width="11.33203125" style="22"/>
    <col min="15617" max="15617" width="13.77734375" style="22" bestFit="1" customWidth="1"/>
    <col min="15618" max="15618" width="60.77734375" style="22" customWidth="1"/>
    <col min="15619" max="15619" width="9.88671875" style="22" bestFit="1" customWidth="1"/>
    <col min="15620" max="15620" width="3.21875" style="22" bestFit="1" customWidth="1"/>
    <col min="15621" max="15621" width="11.33203125" style="22"/>
    <col min="15622" max="15622" width="12.33203125" style="22" bestFit="1" customWidth="1"/>
    <col min="15623" max="15623" width="9.88671875" style="22" bestFit="1" customWidth="1"/>
    <col min="15624" max="15624" width="12.33203125" style="22" bestFit="1" customWidth="1"/>
    <col min="15625" max="15625" width="11.33203125" style="22"/>
    <col min="15626" max="15626" width="12.33203125" style="22" bestFit="1" customWidth="1"/>
    <col min="15627" max="15627" width="11.33203125" style="22"/>
    <col min="15628" max="15628" width="12.33203125" style="22" bestFit="1" customWidth="1"/>
    <col min="15629" max="15629" width="9.88671875" style="22" bestFit="1" customWidth="1"/>
    <col min="15630" max="15630" width="12.33203125" style="22" bestFit="1" customWidth="1"/>
    <col min="15631" max="15631" width="11.33203125" style="22"/>
    <col min="15632" max="15632" width="12.33203125" style="22" bestFit="1" customWidth="1"/>
    <col min="15633" max="15634" width="4.21875" style="22" bestFit="1" customWidth="1"/>
    <col min="15635" max="15635" width="11.33203125" style="22"/>
    <col min="15636" max="15636" width="12.33203125" style="22" bestFit="1" customWidth="1"/>
    <col min="15637" max="15637" width="9.88671875" style="22" bestFit="1" customWidth="1"/>
    <col min="15638" max="15638" width="12.33203125" style="22" bestFit="1" customWidth="1"/>
    <col min="15639" max="15872" width="11.33203125" style="22"/>
    <col min="15873" max="15873" width="13.77734375" style="22" bestFit="1" customWidth="1"/>
    <col min="15874" max="15874" width="60.77734375" style="22" customWidth="1"/>
    <col min="15875" max="15875" width="9.88671875" style="22" bestFit="1" customWidth="1"/>
    <col min="15876" max="15876" width="3.21875" style="22" bestFit="1" customWidth="1"/>
    <col min="15877" max="15877" width="11.33203125" style="22"/>
    <col min="15878" max="15878" width="12.33203125" style="22" bestFit="1" customWidth="1"/>
    <col min="15879" max="15879" width="9.88671875" style="22" bestFit="1" customWidth="1"/>
    <col min="15880" max="15880" width="12.33203125" style="22" bestFit="1" customWidth="1"/>
    <col min="15881" max="15881" width="11.33203125" style="22"/>
    <col min="15882" max="15882" width="12.33203125" style="22" bestFit="1" customWidth="1"/>
    <col min="15883" max="15883" width="11.33203125" style="22"/>
    <col min="15884" max="15884" width="12.33203125" style="22" bestFit="1" customWidth="1"/>
    <col min="15885" max="15885" width="9.88671875" style="22" bestFit="1" customWidth="1"/>
    <col min="15886" max="15886" width="12.33203125" style="22" bestFit="1" customWidth="1"/>
    <col min="15887" max="15887" width="11.33203125" style="22"/>
    <col min="15888" max="15888" width="12.33203125" style="22" bestFit="1" customWidth="1"/>
    <col min="15889" max="15890" width="4.21875" style="22" bestFit="1" customWidth="1"/>
    <col min="15891" max="15891" width="11.33203125" style="22"/>
    <col min="15892" max="15892" width="12.33203125" style="22" bestFit="1" customWidth="1"/>
    <col min="15893" max="15893" width="9.88671875" style="22" bestFit="1" customWidth="1"/>
    <col min="15894" max="15894" width="12.33203125" style="22" bestFit="1" customWidth="1"/>
    <col min="15895" max="16128" width="11.33203125" style="22"/>
    <col min="16129" max="16129" width="13.77734375" style="22" bestFit="1" customWidth="1"/>
    <col min="16130" max="16130" width="60.77734375" style="22" customWidth="1"/>
    <col min="16131" max="16131" width="9.88671875" style="22" bestFit="1" customWidth="1"/>
    <col min="16132" max="16132" width="3.21875" style="22" bestFit="1" customWidth="1"/>
    <col min="16133" max="16133" width="11.33203125" style="22"/>
    <col min="16134" max="16134" width="12.33203125" style="22" bestFit="1" customWidth="1"/>
    <col min="16135" max="16135" width="9.88671875" style="22" bestFit="1" customWidth="1"/>
    <col min="16136" max="16136" width="12.33203125" style="22" bestFit="1" customWidth="1"/>
    <col min="16137" max="16137" width="11.33203125" style="22"/>
    <col min="16138" max="16138" width="12.33203125" style="22" bestFit="1" customWidth="1"/>
    <col min="16139" max="16139" width="11.33203125" style="22"/>
    <col min="16140" max="16140" width="12.33203125" style="22" bestFit="1" customWidth="1"/>
    <col min="16141" max="16141" width="9.88671875" style="22" bestFit="1" customWidth="1"/>
    <col min="16142" max="16142" width="12.33203125" style="22" bestFit="1" customWidth="1"/>
    <col min="16143" max="16143" width="11.33203125" style="22"/>
    <col min="16144" max="16144" width="12.33203125" style="22" bestFit="1" customWidth="1"/>
    <col min="16145" max="16146" width="4.21875" style="22" bestFit="1" customWidth="1"/>
    <col min="16147" max="16147" width="11.33203125" style="22"/>
    <col min="16148" max="16148" width="12.33203125" style="22" bestFit="1" customWidth="1"/>
    <col min="16149" max="16149" width="9.88671875" style="22" bestFit="1" customWidth="1"/>
    <col min="16150" max="16150" width="12.33203125" style="22" bestFit="1" customWidth="1"/>
    <col min="16151" max="16384" width="11.33203125" style="22"/>
  </cols>
  <sheetData>
    <row r="1" spans="1:24" s="20" customFormat="1" ht="12.75" customHeight="1"/>
    <row r="2" spans="1:24" ht="13.05" customHeight="1">
      <c r="A2" s="22"/>
      <c r="B2" s="22"/>
      <c r="C2" s="22"/>
      <c r="W2" s="22"/>
    </row>
    <row r="3" spans="1:24">
      <c r="A3" s="22"/>
      <c r="B3" s="22"/>
      <c r="C3" s="22"/>
      <c r="W3" s="22"/>
    </row>
    <row r="4" spans="1:24" s="24" customFormat="1"/>
    <row r="5" spans="1:24" s="24" customFormat="1">
      <c r="D5" t="s">
        <v>11</v>
      </c>
      <c r="E5" s="79" t="s">
        <v>10</v>
      </c>
      <c r="F5" t="s">
        <v>268</v>
      </c>
      <c r="G5" t="s">
        <v>269</v>
      </c>
      <c r="H5" t="s">
        <v>270</v>
      </c>
      <c r="I5" t="s">
        <v>271</v>
      </c>
      <c r="J5" t="s">
        <v>276</v>
      </c>
      <c r="K5" s="79" t="s">
        <v>10</v>
      </c>
      <c r="L5"/>
      <c r="M5" s="79" t="s">
        <v>10</v>
      </c>
      <c r="N5" t="s">
        <v>268</v>
      </c>
      <c r="O5" t="s">
        <v>269</v>
      </c>
      <c r="P5" t="s">
        <v>270</v>
      </c>
      <c r="Q5" t="s">
        <v>271</v>
      </c>
      <c r="R5" t="s">
        <v>276</v>
      </c>
      <c r="S5" t="s">
        <v>268</v>
      </c>
      <c r="T5" t="s">
        <v>269</v>
      </c>
      <c r="U5" t="s">
        <v>270</v>
      </c>
      <c r="V5" t="s">
        <v>271</v>
      </c>
      <c r="W5" t="s">
        <v>276</v>
      </c>
    </row>
    <row r="6" spans="1:24" ht="36.6" customHeight="1">
      <c r="A6" s="22"/>
      <c r="B6" s="112" t="s">
        <v>376</v>
      </c>
      <c r="C6" s="113" t="s">
        <v>377</v>
      </c>
      <c r="D6" s="114" t="s">
        <v>13</v>
      </c>
      <c r="E6" s="115">
        <v>14</v>
      </c>
      <c r="K6" s="22">
        <f>SUM(L6:V6)</f>
        <v>3</v>
      </c>
      <c r="T6" s="22">
        <v>1</v>
      </c>
      <c r="U6" s="22">
        <v>1</v>
      </c>
      <c r="V6" s="22">
        <v>1</v>
      </c>
      <c r="W6" s="22"/>
    </row>
    <row r="7" spans="1:24" ht="36.6" customHeight="1">
      <c r="A7" s="22"/>
      <c r="B7" s="112" t="s">
        <v>378</v>
      </c>
      <c r="C7" s="113" t="s">
        <v>377</v>
      </c>
      <c r="D7" s="114" t="s">
        <v>13</v>
      </c>
      <c r="E7" s="115">
        <v>30</v>
      </c>
      <c r="K7" s="22">
        <f t="shared" ref="K7:K70" si="0">SUM(L7:V7)</f>
        <v>7</v>
      </c>
      <c r="T7" s="22">
        <v>3</v>
      </c>
      <c r="U7" s="22">
        <v>2</v>
      </c>
      <c r="V7" s="22">
        <v>2</v>
      </c>
      <c r="W7" s="22"/>
    </row>
    <row r="8" spans="1:24" ht="36.6" customHeight="1">
      <c r="A8" s="22"/>
      <c r="B8" s="112" t="s">
        <v>379</v>
      </c>
      <c r="C8" s="113" t="s">
        <v>380</v>
      </c>
      <c r="D8" s="114" t="s">
        <v>13</v>
      </c>
      <c r="E8" s="115">
        <v>18</v>
      </c>
      <c r="K8" s="22">
        <f t="shared" si="0"/>
        <v>4</v>
      </c>
      <c r="T8" s="22">
        <v>2</v>
      </c>
      <c r="U8" s="22">
        <v>1</v>
      </c>
      <c r="V8" s="22">
        <v>1</v>
      </c>
      <c r="W8" s="22"/>
    </row>
    <row r="9" spans="1:24" ht="36.6" customHeight="1">
      <c r="A9" s="22"/>
      <c r="B9" s="112" t="s">
        <v>381</v>
      </c>
      <c r="C9" s="113" t="s">
        <v>382</v>
      </c>
      <c r="D9" s="114" t="s">
        <v>13</v>
      </c>
      <c r="E9" s="115">
        <v>18</v>
      </c>
      <c r="K9" s="22">
        <f t="shared" si="0"/>
        <v>4</v>
      </c>
      <c r="T9" s="22">
        <v>2</v>
      </c>
      <c r="U9" s="22">
        <v>1</v>
      </c>
      <c r="V9" s="22">
        <v>1</v>
      </c>
      <c r="W9" s="22"/>
    </row>
    <row r="10" spans="1:24" ht="36.6" customHeight="1">
      <c r="A10" s="22"/>
      <c r="B10" s="112" t="s">
        <v>383</v>
      </c>
      <c r="C10" s="113" t="s">
        <v>384</v>
      </c>
      <c r="D10" s="114" t="s">
        <v>13</v>
      </c>
      <c r="E10" s="115">
        <v>36</v>
      </c>
      <c r="K10" s="22">
        <f t="shared" si="0"/>
        <v>4</v>
      </c>
      <c r="T10" s="22">
        <v>2</v>
      </c>
      <c r="U10" s="22">
        <v>1</v>
      </c>
      <c r="V10" s="22">
        <v>1</v>
      </c>
      <c r="W10" s="22"/>
    </row>
    <row r="11" spans="1:24" ht="36.6" customHeight="1">
      <c r="A11" s="22"/>
      <c r="B11" s="112"/>
      <c r="C11" s="113" t="s">
        <v>385</v>
      </c>
      <c r="D11" s="114"/>
      <c r="E11" s="115">
        <v>36</v>
      </c>
      <c r="K11" s="22">
        <f t="shared" si="0"/>
        <v>0</v>
      </c>
      <c r="W11" s="22"/>
    </row>
    <row r="12" spans="1:24" ht="36.6" customHeight="1">
      <c r="A12" s="22"/>
      <c r="B12" s="112" t="s">
        <v>386</v>
      </c>
      <c r="C12" s="113" t="s">
        <v>387</v>
      </c>
      <c r="D12" s="114" t="s">
        <v>13</v>
      </c>
      <c r="E12" s="115">
        <v>18</v>
      </c>
      <c r="K12" s="22">
        <f t="shared" si="0"/>
        <v>0</v>
      </c>
      <c r="W12" s="22"/>
    </row>
    <row r="13" spans="1:24" ht="36.6" customHeight="1">
      <c r="A13" s="22"/>
      <c r="B13" s="112" t="s">
        <v>388</v>
      </c>
      <c r="C13" s="113" t="s">
        <v>389</v>
      </c>
      <c r="D13" s="114" t="s">
        <v>13</v>
      </c>
      <c r="E13" s="115">
        <v>97</v>
      </c>
      <c r="K13" s="22">
        <f t="shared" si="0"/>
        <v>97</v>
      </c>
      <c r="S13" s="22">
        <v>97</v>
      </c>
      <c r="W13" s="22"/>
      <c r="X13" s="22" t="s">
        <v>639</v>
      </c>
    </row>
    <row r="14" spans="1:24" ht="36.6" customHeight="1">
      <c r="A14" s="22"/>
      <c r="B14" s="112" t="s">
        <v>390</v>
      </c>
      <c r="C14" s="113" t="s">
        <v>391</v>
      </c>
      <c r="D14" s="114" t="s">
        <v>13</v>
      </c>
      <c r="E14" s="115">
        <v>10</v>
      </c>
      <c r="K14" s="22">
        <f t="shared" si="0"/>
        <v>10</v>
      </c>
      <c r="S14" s="22">
        <v>10</v>
      </c>
      <c r="W14" s="22"/>
      <c r="X14" s="22" t="s">
        <v>639</v>
      </c>
    </row>
    <row r="15" spans="1:24" ht="36.6" customHeight="1">
      <c r="A15" s="22"/>
      <c r="B15" s="112" t="s">
        <v>392</v>
      </c>
      <c r="C15" s="113" t="s">
        <v>393</v>
      </c>
      <c r="D15" s="114" t="s">
        <v>13</v>
      </c>
      <c r="E15" s="115">
        <v>43</v>
      </c>
      <c r="K15" s="22">
        <f t="shared" si="0"/>
        <v>43</v>
      </c>
      <c r="S15" s="22">
        <v>43</v>
      </c>
      <c r="W15" s="22"/>
      <c r="X15" s="22" t="s">
        <v>639</v>
      </c>
    </row>
    <row r="16" spans="1:24" ht="36.6" customHeight="1">
      <c r="A16" s="22"/>
      <c r="B16" s="112" t="s">
        <v>394</v>
      </c>
      <c r="C16" s="113" t="s">
        <v>395</v>
      </c>
      <c r="D16" s="114" t="s">
        <v>13</v>
      </c>
      <c r="E16" s="115">
        <v>42</v>
      </c>
      <c r="K16" s="22">
        <f t="shared" si="0"/>
        <v>11</v>
      </c>
      <c r="S16" s="22">
        <v>4</v>
      </c>
      <c r="T16" s="22">
        <v>3</v>
      </c>
      <c r="U16" s="22">
        <v>2</v>
      </c>
      <c r="V16" s="22">
        <v>2</v>
      </c>
      <c r="W16" s="22"/>
    </row>
    <row r="17" spans="1:23" s="22" customFormat="1" ht="36.6" customHeight="1">
      <c r="B17" s="112" t="s">
        <v>396</v>
      </c>
      <c r="C17" s="113" t="s">
        <v>397</v>
      </c>
      <c r="D17" s="114" t="s">
        <v>13</v>
      </c>
      <c r="E17" s="115">
        <v>21</v>
      </c>
      <c r="K17" s="22">
        <f t="shared" si="0"/>
        <v>3</v>
      </c>
      <c r="T17" s="22">
        <v>1</v>
      </c>
      <c r="U17" s="22">
        <v>1</v>
      </c>
      <c r="V17" s="22">
        <v>1</v>
      </c>
    </row>
    <row r="18" spans="1:23" s="22" customFormat="1" ht="36.6" customHeight="1">
      <c r="B18" s="112" t="s">
        <v>398</v>
      </c>
      <c r="C18" s="113" t="s">
        <v>399</v>
      </c>
      <c r="D18" s="114" t="s">
        <v>13</v>
      </c>
      <c r="E18" s="115">
        <v>6</v>
      </c>
      <c r="K18" s="22">
        <f t="shared" si="0"/>
        <v>1</v>
      </c>
      <c r="T18" s="22">
        <v>1</v>
      </c>
    </row>
    <row r="19" spans="1:23" s="22" customFormat="1" ht="36.6" customHeight="1">
      <c r="B19" s="112" t="s">
        <v>400</v>
      </c>
      <c r="C19" s="113" t="s">
        <v>401</v>
      </c>
      <c r="D19" s="114" t="s">
        <v>13</v>
      </c>
      <c r="E19" s="115">
        <v>28</v>
      </c>
      <c r="K19" s="22">
        <f t="shared" si="0"/>
        <v>4</v>
      </c>
      <c r="S19" s="22">
        <v>4</v>
      </c>
    </row>
    <row r="20" spans="1:23" s="22" customFormat="1" ht="36.6" customHeight="1">
      <c r="B20" s="112" t="s">
        <v>402</v>
      </c>
      <c r="C20" s="113" t="s">
        <v>403</v>
      </c>
      <c r="D20" s="114" t="s">
        <v>13</v>
      </c>
      <c r="E20" s="115">
        <v>22</v>
      </c>
      <c r="K20" s="22">
        <f t="shared" si="0"/>
        <v>19</v>
      </c>
      <c r="S20" s="22">
        <v>19</v>
      </c>
    </row>
    <row r="21" spans="1:23" s="22" customFormat="1" ht="36.6" customHeight="1">
      <c r="B21" s="112" t="s">
        <v>404</v>
      </c>
      <c r="C21" s="113" t="s">
        <v>405</v>
      </c>
      <c r="D21" s="114" t="s">
        <v>13</v>
      </c>
      <c r="E21" s="115">
        <v>19</v>
      </c>
      <c r="K21" s="22">
        <f t="shared" si="0"/>
        <v>17</v>
      </c>
      <c r="S21" s="22">
        <v>17</v>
      </c>
    </row>
    <row r="22" spans="1:23" s="22" customFormat="1" ht="36.6" customHeight="1">
      <c r="B22" s="112" t="s">
        <v>406</v>
      </c>
      <c r="C22" s="113" t="s">
        <v>407</v>
      </c>
      <c r="D22" s="114" t="s">
        <v>13</v>
      </c>
      <c r="E22" s="115">
        <v>4</v>
      </c>
      <c r="K22" s="22">
        <f t="shared" si="0"/>
        <v>3</v>
      </c>
      <c r="S22" s="22">
        <v>3</v>
      </c>
    </row>
    <row r="23" spans="1:23" s="22" customFormat="1" ht="36.6" customHeight="1">
      <c r="B23" s="112" t="s">
        <v>408</v>
      </c>
      <c r="C23" s="113" t="s">
        <v>409</v>
      </c>
      <c r="D23" s="114" t="s">
        <v>13</v>
      </c>
      <c r="E23" s="115">
        <v>4</v>
      </c>
      <c r="K23" s="22">
        <f t="shared" si="0"/>
        <v>3</v>
      </c>
      <c r="S23" s="22">
        <v>3</v>
      </c>
    </row>
    <row r="24" spans="1:23" s="22" customFormat="1" ht="36.6" customHeight="1">
      <c r="B24" s="112" t="s">
        <v>410</v>
      </c>
      <c r="C24" s="113" t="s">
        <v>411</v>
      </c>
      <c r="D24" s="114" t="s">
        <v>13</v>
      </c>
      <c r="E24" s="115">
        <v>17</v>
      </c>
      <c r="K24" s="22">
        <f t="shared" si="0"/>
        <v>16</v>
      </c>
      <c r="S24" s="22">
        <v>16</v>
      </c>
    </row>
    <row r="25" spans="1:23" s="22" customFormat="1" ht="36.6" customHeight="1">
      <c r="B25" s="112" t="s">
        <v>412</v>
      </c>
      <c r="C25" s="113" t="s">
        <v>413</v>
      </c>
      <c r="D25" s="114" t="s">
        <v>13</v>
      </c>
      <c r="E25" s="115">
        <v>8</v>
      </c>
      <c r="K25" s="22">
        <f t="shared" si="0"/>
        <v>1</v>
      </c>
      <c r="T25" s="22">
        <v>1</v>
      </c>
    </row>
    <row r="26" spans="1:23" s="22" customFormat="1" ht="36.6" customHeight="1">
      <c r="B26" s="112" t="s">
        <v>414</v>
      </c>
      <c r="C26" s="113" t="s">
        <v>415</v>
      </c>
      <c r="D26" s="114" t="s">
        <v>13</v>
      </c>
      <c r="E26" s="115">
        <v>75</v>
      </c>
      <c r="K26" s="22">
        <f t="shared" si="0"/>
        <v>20</v>
      </c>
      <c r="T26" s="22">
        <v>7</v>
      </c>
      <c r="U26" s="22">
        <v>9</v>
      </c>
      <c r="V26" s="22">
        <v>4</v>
      </c>
    </row>
    <row r="27" spans="1:23" ht="36.6" customHeight="1">
      <c r="A27" s="22"/>
      <c r="B27" s="112" t="s">
        <v>416</v>
      </c>
      <c r="C27" s="113" t="s">
        <v>417</v>
      </c>
      <c r="D27" s="114" t="s">
        <v>13</v>
      </c>
      <c r="E27" s="115">
        <v>61</v>
      </c>
      <c r="K27" s="22">
        <f t="shared" si="0"/>
        <v>0</v>
      </c>
      <c r="S27" s="45"/>
      <c r="T27" s="45"/>
      <c r="W27" s="22"/>
    </row>
    <row r="28" spans="1:23" s="22" customFormat="1" ht="36.6" customHeight="1">
      <c r="B28" s="112" t="s">
        <v>418</v>
      </c>
      <c r="C28" s="113" t="s">
        <v>419</v>
      </c>
      <c r="D28" s="114" t="s">
        <v>13</v>
      </c>
      <c r="E28" s="115">
        <v>36</v>
      </c>
      <c r="K28" s="22">
        <f t="shared" si="0"/>
        <v>17</v>
      </c>
      <c r="T28" s="22">
        <v>4</v>
      </c>
      <c r="U28" s="22">
        <v>4</v>
      </c>
      <c r="V28" s="22">
        <v>9</v>
      </c>
    </row>
    <row r="29" spans="1:23" s="22" customFormat="1" ht="36.6" customHeight="1">
      <c r="B29" s="112" t="s">
        <v>420</v>
      </c>
      <c r="C29" s="113" t="s">
        <v>421</v>
      </c>
      <c r="D29" s="114" t="s">
        <v>13</v>
      </c>
      <c r="E29" s="115">
        <v>40</v>
      </c>
      <c r="K29" s="22">
        <f t="shared" si="0"/>
        <v>11</v>
      </c>
      <c r="T29" s="22">
        <v>4</v>
      </c>
      <c r="U29" s="22">
        <v>4</v>
      </c>
      <c r="V29" s="22">
        <v>3</v>
      </c>
    </row>
    <row r="30" spans="1:23" s="22" customFormat="1" ht="36.6" customHeight="1">
      <c r="B30" s="112" t="s">
        <v>422</v>
      </c>
      <c r="C30" s="113" t="s">
        <v>423</v>
      </c>
      <c r="D30" s="114" t="s">
        <v>13</v>
      </c>
      <c r="E30" s="115">
        <v>147</v>
      </c>
      <c r="K30" s="22">
        <f t="shared" si="0"/>
        <v>54</v>
      </c>
      <c r="T30" s="22">
        <v>17</v>
      </c>
      <c r="U30" s="22">
        <v>18</v>
      </c>
      <c r="V30" s="22">
        <v>19</v>
      </c>
    </row>
    <row r="31" spans="1:23" s="22" customFormat="1" ht="36.6" customHeight="1">
      <c r="B31" s="112" t="s">
        <v>424</v>
      </c>
      <c r="C31" s="113" t="s">
        <v>425</v>
      </c>
      <c r="D31" s="114" t="s">
        <v>13</v>
      </c>
      <c r="E31" s="115">
        <v>147</v>
      </c>
      <c r="K31" s="22">
        <f t="shared" si="0"/>
        <v>54</v>
      </c>
      <c r="T31" s="22">
        <v>17</v>
      </c>
      <c r="U31" s="22">
        <v>18</v>
      </c>
      <c r="V31" s="22">
        <v>19</v>
      </c>
    </row>
    <row r="32" spans="1:23" s="22" customFormat="1" ht="36.6" customHeight="1">
      <c r="B32" s="112" t="s">
        <v>426</v>
      </c>
      <c r="C32" s="113" t="s">
        <v>427</v>
      </c>
      <c r="D32" s="114" t="s">
        <v>15</v>
      </c>
      <c r="E32" s="115">
        <v>40</v>
      </c>
      <c r="K32" s="22">
        <f t="shared" si="0"/>
        <v>17</v>
      </c>
      <c r="T32" s="22">
        <v>6</v>
      </c>
      <c r="U32" s="22">
        <v>6</v>
      </c>
      <c r="V32" s="22">
        <v>5</v>
      </c>
    </row>
    <row r="33" spans="1:24" ht="36.6" customHeight="1">
      <c r="A33" s="22"/>
      <c r="B33" s="112" t="s">
        <v>428</v>
      </c>
      <c r="C33" s="113" t="s">
        <v>429</v>
      </c>
      <c r="D33" s="114" t="s">
        <v>13</v>
      </c>
      <c r="E33" s="115">
        <v>36</v>
      </c>
      <c r="K33" s="22">
        <f t="shared" si="0"/>
        <v>7</v>
      </c>
      <c r="T33" s="22">
        <v>3</v>
      </c>
      <c r="U33" s="22">
        <v>4</v>
      </c>
      <c r="W33" s="22"/>
    </row>
    <row r="34" spans="1:24" ht="36.6" customHeight="1">
      <c r="A34" s="22"/>
      <c r="B34" s="112" t="s">
        <v>430</v>
      </c>
      <c r="C34" s="113" t="s">
        <v>431</v>
      </c>
      <c r="D34" s="114" t="s">
        <v>13</v>
      </c>
      <c r="E34" s="115">
        <v>814</v>
      </c>
      <c r="K34" s="22">
        <f t="shared" si="0"/>
        <v>368</v>
      </c>
      <c r="L34" s="22">
        <v>368</v>
      </c>
      <c r="W34" s="22"/>
    </row>
    <row r="35" spans="1:24" ht="36.6" customHeight="1">
      <c r="A35" s="22"/>
      <c r="B35" s="112" t="s">
        <v>432</v>
      </c>
      <c r="C35" s="113" t="s">
        <v>23</v>
      </c>
      <c r="D35" s="114"/>
      <c r="E35" s="115"/>
      <c r="K35" s="22">
        <f t="shared" si="0"/>
        <v>0</v>
      </c>
      <c r="W35" s="22"/>
    </row>
    <row r="36" spans="1:24" ht="36.6" customHeight="1">
      <c r="A36" s="22"/>
      <c r="B36" s="112" t="s">
        <v>433</v>
      </c>
      <c r="C36" s="113" t="s">
        <v>434</v>
      </c>
      <c r="D36" s="114" t="s">
        <v>277</v>
      </c>
      <c r="E36" s="115">
        <v>1500</v>
      </c>
      <c r="K36" s="22">
        <f t="shared" si="0"/>
        <v>0</v>
      </c>
      <c r="W36" s="22"/>
    </row>
    <row r="37" spans="1:24" ht="36.6" customHeight="1">
      <c r="A37" s="22"/>
      <c r="B37" s="112" t="s">
        <v>435</v>
      </c>
      <c r="C37" s="113" t="s">
        <v>436</v>
      </c>
      <c r="D37" s="114" t="s">
        <v>277</v>
      </c>
      <c r="E37" s="115">
        <v>1500</v>
      </c>
      <c r="K37" s="22">
        <f t="shared" si="0"/>
        <v>0</v>
      </c>
      <c r="W37" s="22"/>
    </row>
    <row r="38" spans="1:24" ht="36.6" customHeight="1">
      <c r="A38" s="22"/>
      <c r="B38" s="112" t="s">
        <v>437</v>
      </c>
      <c r="C38" s="113" t="s">
        <v>438</v>
      </c>
      <c r="D38" s="114" t="s">
        <v>277</v>
      </c>
      <c r="E38" s="115">
        <v>1500</v>
      </c>
      <c r="K38" s="22">
        <f t="shared" si="0"/>
        <v>0</v>
      </c>
      <c r="W38" s="22"/>
    </row>
    <row r="39" spans="1:24" ht="36.6" customHeight="1">
      <c r="A39" s="22"/>
      <c r="B39" s="112" t="s">
        <v>439</v>
      </c>
      <c r="C39" s="113" t="s">
        <v>440</v>
      </c>
      <c r="D39" s="114" t="s">
        <v>277</v>
      </c>
      <c r="E39" s="115">
        <v>1500</v>
      </c>
      <c r="K39" s="22">
        <f t="shared" si="0"/>
        <v>0</v>
      </c>
      <c r="W39" s="22"/>
    </row>
    <row r="40" spans="1:24" ht="36.6" customHeight="1">
      <c r="A40" s="22"/>
      <c r="B40" s="112" t="s">
        <v>441</v>
      </c>
      <c r="C40" s="113" t="s">
        <v>442</v>
      </c>
      <c r="D40" s="114" t="s">
        <v>13</v>
      </c>
      <c r="E40" s="115">
        <v>600</v>
      </c>
      <c r="K40" s="22">
        <f t="shared" si="0"/>
        <v>0</v>
      </c>
      <c r="W40" s="22"/>
    </row>
    <row r="41" spans="1:24" ht="36.6" customHeight="1">
      <c r="A41" s="22"/>
      <c r="B41" s="112" t="s">
        <v>443</v>
      </c>
      <c r="C41" s="113" t="s">
        <v>444</v>
      </c>
      <c r="D41" s="114" t="s">
        <v>13</v>
      </c>
      <c r="E41" s="115">
        <v>600</v>
      </c>
      <c r="K41" s="22">
        <f t="shared" si="0"/>
        <v>0</v>
      </c>
      <c r="W41" s="22"/>
    </row>
    <row r="42" spans="1:24" ht="36.6" customHeight="1">
      <c r="A42" s="22"/>
      <c r="B42" s="112" t="s">
        <v>445</v>
      </c>
      <c r="C42" s="113" t="s">
        <v>446</v>
      </c>
      <c r="D42" s="114" t="s">
        <v>13</v>
      </c>
      <c r="E42" s="115">
        <v>600</v>
      </c>
      <c r="K42" s="22">
        <f t="shared" si="0"/>
        <v>44</v>
      </c>
      <c r="T42" s="22">
        <v>16</v>
      </c>
      <c r="U42" s="22">
        <v>16</v>
      </c>
      <c r="V42" s="22">
        <v>12</v>
      </c>
      <c r="W42" s="22"/>
    </row>
    <row r="43" spans="1:24" ht="36.6" customHeight="1">
      <c r="A43" s="22"/>
      <c r="B43" s="112" t="s">
        <v>447</v>
      </c>
      <c r="C43" s="113" t="s">
        <v>448</v>
      </c>
      <c r="D43" s="114" t="s">
        <v>13</v>
      </c>
      <c r="E43" s="115">
        <v>600</v>
      </c>
      <c r="K43" s="22">
        <f t="shared" si="0"/>
        <v>0</v>
      </c>
      <c r="W43" s="22"/>
    </row>
    <row r="44" spans="1:24" ht="36.6" customHeight="1">
      <c r="A44" s="22"/>
      <c r="B44" s="112" t="s">
        <v>449</v>
      </c>
      <c r="C44" s="113" t="s">
        <v>450</v>
      </c>
      <c r="D44" s="114" t="s">
        <v>13</v>
      </c>
      <c r="E44" s="115">
        <v>40</v>
      </c>
      <c r="K44" s="22">
        <f t="shared" si="0"/>
        <v>4</v>
      </c>
      <c r="S44" s="22">
        <v>1</v>
      </c>
      <c r="T44" s="22">
        <v>1</v>
      </c>
      <c r="U44" s="22">
        <v>1</v>
      </c>
      <c r="V44" s="22">
        <v>1</v>
      </c>
      <c r="W44" s="22">
        <v>1</v>
      </c>
    </row>
    <row r="45" spans="1:24" ht="36.6" customHeight="1">
      <c r="A45" s="22"/>
      <c r="B45" s="112" t="s">
        <v>451</v>
      </c>
      <c r="C45" s="113" t="s">
        <v>452</v>
      </c>
      <c r="D45" s="114" t="s">
        <v>277</v>
      </c>
      <c r="E45" s="115">
        <v>95</v>
      </c>
      <c r="K45" s="22">
        <f t="shared" si="0"/>
        <v>43</v>
      </c>
      <c r="S45" s="22">
        <v>43</v>
      </c>
      <c r="W45" s="22"/>
      <c r="X45" s="22" t="s">
        <v>639</v>
      </c>
    </row>
    <row r="46" spans="1:24" ht="36.6" customHeight="1">
      <c r="A46" s="22"/>
      <c r="B46" s="112" t="s">
        <v>453</v>
      </c>
      <c r="C46" s="113" t="s">
        <v>454</v>
      </c>
      <c r="D46" s="114" t="s">
        <v>277</v>
      </c>
      <c r="E46" s="115">
        <v>95</v>
      </c>
      <c r="K46" s="22">
        <f t="shared" si="0"/>
        <v>43</v>
      </c>
      <c r="S46" s="22">
        <v>43</v>
      </c>
      <c r="W46" s="22"/>
      <c r="X46" s="22" t="s">
        <v>639</v>
      </c>
    </row>
    <row r="47" spans="1:24" ht="36.6" customHeight="1">
      <c r="A47" s="22"/>
      <c r="B47" s="112" t="s">
        <v>455</v>
      </c>
      <c r="C47" s="113" t="s">
        <v>456</v>
      </c>
      <c r="D47" s="114" t="s">
        <v>277</v>
      </c>
      <c r="E47" s="115">
        <v>81</v>
      </c>
      <c r="K47" s="22">
        <f t="shared" si="0"/>
        <v>0</v>
      </c>
      <c r="W47" s="22"/>
    </row>
    <row r="48" spans="1:24" ht="36.6" customHeight="1">
      <c r="A48" s="22"/>
      <c r="B48" s="112" t="s">
        <v>457</v>
      </c>
      <c r="C48" s="113" t="s">
        <v>458</v>
      </c>
      <c r="D48" s="114" t="s">
        <v>13</v>
      </c>
      <c r="E48" s="115">
        <v>81</v>
      </c>
      <c r="K48" s="22">
        <f t="shared" si="0"/>
        <v>0</v>
      </c>
      <c r="W48" s="22"/>
    </row>
    <row r="49" spans="1:23" s="22" customFormat="1" ht="36.6" customHeight="1">
      <c r="B49" s="112" t="s">
        <v>459</v>
      </c>
      <c r="C49" s="113" t="s">
        <v>460</v>
      </c>
      <c r="D49" s="114" t="s">
        <v>277</v>
      </c>
      <c r="E49" s="115">
        <v>45</v>
      </c>
      <c r="K49" s="22">
        <f t="shared" si="0"/>
        <v>0</v>
      </c>
    </row>
    <row r="50" spans="1:23" s="22" customFormat="1" ht="36.6" customHeight="1">
      <c r="B50" s="112" t="s">
        <v>461</v>
      </c>
      <c r="C50" s="113" t="s">
        <v>462</v>
      </c>
      <c r="D50" s="114" t="s">
        <v>13</v>
      </c>
      <c r="E50" s="115">
        <v>45</v>
      </c>
      <c r="K50" s="22">
        <f t="shared" si="0"/>
        <v>0</v>
      </c>
    </row>
    <row r="51" spans="1:23" s="22" customFormat="1" ht="36.6" customHeight="1">
      <c r="B51" s="112" t="s">
        <v>463</v>
      </c>
      <c r="C51" s="113" t="s">
        <v>464</v>
      </c>
      <c r="D51" s="114" t="s">
        <v>277</v>
      </c>
      <c r="E51" s="115">
        <v>71</v>
      </c>
      <c r="K51" s="22">
        <f t="shared" si="0"/>
        <v>22</v>
      </c>
      <c r="T51" s="22">
        <v>8</v>
      </c>
      <c r="U51" s="22">
        <v>8</v>
      </c>
      <c r="V51" s="22">
        <v>6</v>
      </c>
    </row>
    <row r="52" spans="1:23" s="22" customFormat="1" ht="36.6" customHeight="1">
      <c r="B52" s="112" t="s">
        <v>465</v>
      </c>
      <c r="C52" s="113" t="s">
        <v>466</v>
      </c>
      <c r="D52" s="114" t="s">
        <v>277</v>
      </c>
      <c r="E52" s="115">
        <v>71</v>
      </c>
      <c r="K52" s="22">
        <f t="shared" si="0"/>
        <v>22</v>
      </c>
      <c r="T52" s="22">
        <v>8</v>
      </c>
      <c r="U52" s="22">
        <v>8</v>
      </c>
      <c r="V52" s="22">
        <v>6</v>
      </c>
    </row>
    <row r="53" spans="1:23" s="22" customFormat="1" ht="36.6" customHeight="1">
      <c r="B53" s="112" t="s">
        <v>467</v>
      </c>
      <c r="C53" s="113" t="s">
        <v>468</v>
      </c>
      <c r="D53" s="114" t="s">
        <v>277</v>
      </c>
      <c r="E53" s="115">
        <v>194</v>
      </c>
      <c r="K53" s="22">
        <f t="shared" si="0"/>
        <v>58</v>
      </c>
      <c r="T53" s="22">
        <v>18</v>
      </c>
      <c r="U53" s="22">
        <v>20</v>
      </c>
      <c r="V53" s="22">
        <v>20</v>
      </c>
    </row>
    <row r="54" spans="1:23" s="22" customFormat="1" ht="36.6" customHeight="1">
      <c r="B54" s="112" t="s">
        <v>469</v>
      </c>
      <c r="C54" s="113" t="s">
        <v>470</v>
      </c>
      <c r="D54" s="114" t="s">
        <v>13</v>
      </c>
      <c r="E54" s="115">
        <v>194</v>
      </c>
      <c r="K54" s="22">
        <f t="shared" si="0"/>
        <v>58</v>
      </c>
      <c r="T54" s="22">
        <v>18</v>
      </c>
      <c r="U54" s="22">
        <v>20</v>
      </c>
      <c r="V54" s="22">
        <v>20</v>
      </c>
    </row>
    <row r="55" spans="1:23" s="22" customFormat="1" ht="36.6" customHeight="1">
      <c r="B55" s="112" t="s">
        <v>471</v>
      </c>
      <c r="C55" s="113" t="s">
        <v>472</v>
      </c>
      <c r="D55" s="114" t="s">
        <v>277</v>
      </c>
      <c r="E55" s="115">
        <v>45</v>
      </c>
      <c r="K55" s="22">
        <f t="shared" si="0"/>
        <v>16</v>
      </c>
      <c r="T55" s="22">
        <v>6</v>
      </c>
      <c r="U55" s="22">
        <v>6</v>
      </c>
      <c r="V55" s="22">
        <v>4</v>
      </c>
    </row>
    <row r="56" spans="1:23" s="22" customFormat="1" ht="36.6" customHeight="1">
      <c r="B56" s="112" t="s">
        <v>473</v>
      </c>
      <c r="C56" s="113" t="s">
        <v>474</v>
      </c>
      <c r="D56" s="114" t="s">
        <v>13</v>
      </c>
      <c r="E56" s="115">
        <v>45</v>
      </c>
      <c r="K56" s="22">
        <f t="shared" si="0"/>
        <v>16</v>
      </c>
      <c r="T56" s="22">
        <v>6</v>
      </c>
      <c r="U56" s="22">
        <v>6</v>
      </c>
      <c r="V56" s="22">
        <v>4</v>
      </c>
    </row>
    <row r="57" spans="1:23" ht="36.6" customHeight="1">
      <c r="A57" s="22"/>
      <c r="B57" s="120" t="s">
        <v>660</v>
      </c>
      <c r="C57" s="119" t="s">
        <v>661</v>
      </c>
      <c r="D57" s="114" t="s">
        <v>13</v>
      </c>
      <c r="E57" s="115"/>
      <c r="K57" s="22">
        <f t="shared" si="0"/>
        <v>7</v>
      </c>
      <c r="U57" s="22">
        <v>4</v>
      </c>
      <c r="V57" s="22">
        <v>3</v>
      </c>
      <c r="W57" s="22"/>
    </row>
    <row r="58" spans="1:23" ht="36.6" customHeight="1">
      <c r="A58" s="22"/>
      <c r="B58" s="112"/>
      <c r="C58" s="113"/>
      <c r="D58" s="114"/>
      <c r="E58" s="115"/>
      <c r="K58" s="22">
        <f t="shared" si="0"/>
        <v>0</v>
      </c>
      <c r="W58" s="22"/>
    </row>
    <row r="59" spans="1:23" s="22" customFormat="1" ht="36.6" customHeight="1">
      <c r="B59" s="112" t="s">
        <v>475</v>
      </c>
      <c r="C59" s="113" t="s">
        <v>476</v>
      </c>
      <c r="D59" s="114" t="s">
        <v>277</v>
      </c>
      <c r="E59" s="115">
        <v>49</v>
      </c>
      <c r="K59" s="22">
        <f t="shared" si="0"/>
        <v>25</v>
      </c>
      <c r="S59" s="22">
        <v>18</v>
      </c>
      <c r="T59" s="22">
        <v>3</v>
      </c>
      <c r="U59" s="22">
        <v>2</v>
      </c>
      <c r="V59" s="22">
        <v>2</v>
      </c>
    </row>
    <row r="60" spans="1:23" s="22" customFormat="1" ht="36.6" customHeight="1">
      <c r="B60" s="112" t="s">
        <v>477</v>
      </c>
      <c r="C60" s="113" t="s">
        <v>478</v>
      </c>
      <c r="D60" s="114" t="s">
        <v>13</v>
      </c>
      <c r="E60" s="115">
        <v>49</v>
      </c>
      <c r="K60" s="22">
        <f t="shared" si="0"/>
        <v>25</v>
      </c>
      <c r="S60" s="22">
        <v>18</v>
      </c>
      <c r="T60" s="22">
        <v>3</v>
      </c>
      <c r="U60" s="22">
        <v>2</v>
      </c>
      <c r="V60" s="22">
        <v>2</v>
      </c>
    </row>
    <row r="61" spans="1:23" s="22" customFormat="1" ht="36.6" customHeight="1">
      <c r="B61" s="112" t="s">
        <v>479</v>
      </c>
      <c r="C61" s="113" t="s">
        <v>480</v>
      </c>
      <c r="D61" s="114" t="s">
        <v>277</v>
      </c>
      <c r="E61" s="115">
        <v>929</v>
      </c>
      <c r="K61" s="22">
        <f t="shared" si="0"/>
        <v>308</v>
      </c>
      <c r="T61" s="22">
        <v>110</v>
      </c>
      <c r="U61" s="22">
        <v>108</v>
      </c>
      <c r="V61" s="22">
        <v>90</v>
      </c>
    </row>
    <row r="62" spans="1:23" s="22" customFormat="1" ht="36.6" customHeight="1">
      <c r="B62" s="112" t="s">
        <v>481</v>
      </c>
      <c r="C62" s="113" t="s">
        <v>482</v>
      </c>
      <c r="D62" s="114" t="s">
        <v>277</v>
      </c>
      <c r="E62" s="115">
        <v>929</v>
      </c>
      <c r="K62" s="22">
        <f t="shared" si="0"/>
        <v>0</v>
      </c>
    </row>
    <row r="63" spans="1:23" ht="36.6" customHeight="1">
      <c r="A63" s="22"/>
      <c r="B63" s="120" t="s">
        <v>643</v>
      </c>
      <c r="C63" s="119" t="s">
        <v>644</v>
      </c>
      <c r="D63" s="121" t="s">
        <v>277</v>
      </c>
      <c r="E63" s="115"/>
      <c r="K63" s="22">
        <f t="shared" si="0"/>
        <v>7</v>
      </c>
      <c r="T63" s="22">
        <v>2</v>
      </c>
      <c r="U63" s="22">
        <v>2</v>
      </c>
      <c r="V63" s="22">
        <v>3</v>
      </c>
      <c r="W63" s="22"/>
    </row>
    <row r="64" spans="1:23" ht="36.6" customHeight="1">
      <c r="A64" s="22"/>
      <c r="B64" s="120" t="s">
        <v>645</v>
      </c>
      <c r="C64" s="119" t="s">
        <v>646</v>
      </c>
      <c r="D64" s="121" t="s">
        <v>277</v>
      </c>
      <c r="E64" s="115"/>
      <c r="K64" s="22">
        <f t="shared" si="0"/>
        <v>7</v>
      </c>
      <c r="T64" s="22">
        <v>2</v>
      </c>
      <c r="U64" s="22">
        <v>2</v>
      </c>
      <c r="V64" s="22">
        <v>3</v>
      </c>
      <c r="W64" s="22"/>
    </row>
    <row r="65" spans="1:23" ht="36.6" customHeight="1">
      <c r="A65" s="22"/>
      <c r="B65" s="112" t="s">
        <v>483</v>
      </c>
      <c r="C65" s="113" t="s">
        <v>23</v>
      </c>
      <c r="D65" s="114"/>
      <c r="E65" s="115"/>
      <c r="K65" s="22">
        <f t="shared" si="0"/>
        <v>0</v>
      </c>
      <c r="W65" s="22"/>
    </row>
    <row r="66" spans="1:23" s="22" customFormat="1" ht="36.6" customHeight="1">
      <c r="B66" s="112" t="s">
        <v>484</v>
      </c>
      <c r="C66" s="113" t="s">
        <v>485</v>
      </c>
      <c r="D66" s="114" t="s">
        <v>13</v>
      </c>
      <c r="E66" s="115">
        <v>36</v>
      </c>
      <c r="K66" s="22">
        <f t="shared" si="0"/>
        <v>11</v>
      </c>
      <c r="T66" s="22">
        <v>4</v>
      </c>
      <c r="U66" s="22">
        <v>4</v>
      </c>
      <c r="V66" s="22">
        <v>3</v>
      </c>
    </row>
    <row r="67" spans="1:23" s="22" customFormat="1" ht="36.6" customHeight="1">
      <c r="B67" s="112" t="s">
        <v>486</v>
      </c>
      <c r="C67" s="113" t="s">
        <v>487</v>
      </c>
      <c r="D67" s="114" t="s">
        <v>13</v>
      </c>
      <c r="E67" s="115">
        <v>4</v>
      </c>
      <c r="K67" s="22">
        <f t="shared" si="0"/>
        <v>11</v>
      </c>
      <c r="T67" s="22">
        <v>4</v>
      </c>
      <c r="U67" s="22">
        <v>4</v>
      </c>
      <c r="V67" s="22">
        <v>3</v>
      </c>
    </row>
    <row r="68" spans="1:23" s="22" customFormat="1" ht="36.6" customHeight="1">
      <c r="B68" s="112" t="s">
        <v>488</v>
      </c>
      <c r="C68" s="113" t="s">
        <v>489</v>
      </c>
      <c r="D68" s="114" t="s">
        <v>13</v>
      </c>
      <c r="E68" s="115">
        <v>1</v>
      </c>
      <c r="K68" s="22">
        <f t="shared" si="0"/>
        <v>0</v>
      </c>
    </row>
    <row r="69" spans="1:23" s="22" customFormat="1" ht="36.6" customHeight="1">
      <c r="B69" s="112" t="s">
        <v>490</v>
      </c>
      <c r="C69" s="113" t="s">
        <v>658</v>
      </c>
      <c r="D69" s="114" t="s">
        <v>13</v>
      </c>
      <c r="E69" s="115">
        <v>4</v>
      </c>
      <c r="K69" s="22">
        <f t="shared" si="0"/>
        <v>1</v>
      </c>
      <c r="S69" s="22">
        <v>1</v>
      </c>
    </row>
    <row r="70" spans="1:23" ht="36.6" customHeight="1">
      <c r="A70" s="22"/>
      <c r="B70" s="112"/>
      <c r="C70" s="113" t="s">
        <v>491</v>
      </c>
      <c r="D70" s="114"/>
      <c r="E70" s="115">
        <v>4</v>
      </c>
      <c r="K70" s="22">
        <f t="shared" si="0"/>
        <v>0</v>
      </c>
      <c r="W70" s="22"/>
    </row>
    <row r="71" spans="1:23" s="22" customFormat="1" ht="36.6" customHeight="1">
      <c r="B71" s="112" t="s">
        <v>492</v>
      </c>
      <c r="C71" s="113" t="s">
        <v>493</v>
      </c>
      <c r="D71" s="114" t="s">
        <v>13</v>
      </c>
      <c r="E71" s="115">
        <v>1</v>
      </c>
      <c r="K71" s="22">
        <f t="shared" ref="K71:K134" si="1">SUM(L71:V71)</f>
        <v>1</v>
      </c>
      <c r="S71" s="22">
        <v>1</v>
      </c>
    </row>
    <row r="72" spans="1:23" s="22" customFormat="1" ht="36.6" customHeight="1">
      <c r="B72" s="112" t="s">
        <v>494</v>
      </c>
      <c r="C72" s="113" t="s">
        <v>495</v>
      </c>
      <c r="D72" s="114" t="s">
        <v>13</v>
      </c>
      <c r="E72" s="115">
        <v>1</v>
      </c>
      <c r="K72" s="22">
        <f t="shared" si="1"/>
        <v>0</v>
      </c>
    </row>
    <row r="73" spans="1:23" s="22" customFormat="1" ht="36.6" customHeight="1">
      <c r="B73" s="112" t="s">
        <v>496</v>
      </c>
      <c r="C73" s="113" t="s">
        <v>497</v>
      </c>
      <c r="D73" s="114" t="s">
        <v>13</v>
      </c>
      <c r="E73" s="115">
        <v>1</v>
      </c>
      <c r="K73" s="22">
        <f t="shared" si="1"/>
        <v>0</v>
      </c>
    </row>
    <row r="74" spans="1:23" s="22" customFormat="1" ht="36.6" customHeight="1">
      <c r="B74" s="112" t="s">
        <v>498</v>
      </c>
      <c r="C74" s="113" t="s">
        <v>499</v>
      </c>
      <c r="D74" s="114" t="s">
        <v>13</v>
      </c>
      <c r="E74" s="115">
        <v>1</v>
      </c>
      <c r="K74" s="22">
        <f t="shared" si="1"/>
        <v>0</v>
      </c>
    </row>
    <row r="75" spans="1:23" s="22" customFormat="1" ht="36.6" customHeight="1">
      <c r="B75" s="112" t="s">
        <v>500</v>
      </c>
      <c r="C75" s="113" t="s">
        <v>501</v>
      </c>
      <c r="D75" s="114" t="s">
        <v>13</v>
      </c>
      <c r="E75" s="115">
        <v>1</v>
      </c>
      <c r="K75" s="22">
        <f t="shared" si="1"/>
        <v>0</v>
      </c>
    </row>
    <row r="76" spans="1:23" s="22" customFormat="1" ht="36.6" customHeight="1">
      <c r="B76" s="112" t="s">
        <v>502</v>
      </c>
      <c r="C76" s="113" t="s">
        <v>503</v>
      </c>
      <c r="D76" s="114" t="s">
        <v>13</v>
      </c>
      <c r="E76" s="115">
        <v>1</v>
      </c>
      <c r="K76" s="22">
        <f t="shared" si="1"/>
        <v>1</v>
      </c>
      <c r="S76" s="22">
        <v>1</v>
      </c>
    </row>
    <row r="77" spans="1:23" s="22" customFormat="1" ht="36.6" customHeight="1">
      <c r="B77" s="112" t="s">
        <v>504</v>
      </c>
      <c r="C77" s="113" t="s">
        <v>505</v>
      </c>
      <c r="D77" s="114" t="s">
        <v>13</v>
      </c>
      <c r="E77" s="115">
        <v>4</v>
      </c>
      <c r="K77" s="22">
        <f t="shared" si="1"/>
        <v>0</v>
      </c>
    </row>
    <row r="78" spans="1:23" s="22" customFormat="1" ht="36.6" customHeight="1">
      <c r="B78" s="112" t="s">
        <v>506</v>
      </c>
      <c r="C78" s="113" t="s">
        <v>507</v>
      </c>
      <c r="D78" s="114" t="s">
        <v>13</v>
      </c>
      <c r="E78" s="115">
        <v>1</v>
      </c>
      <c r="K78" s="22">
        <f t="shared" si="1"/>
        <v>1</v>
      </c>
      <c r="S78" s="22">
        <v>1</v>
      </c>
    </row>
    <row r="79" spans="1:23" s="22" customFormat="1" ht="36.6" customHeight="1">
      <c r="B79" s="112" t="s">
        <v>508</v>
      </c>
      <c r="C79" s="113" t="s">
        <v>509</v>
      </c>
      <c r="D79" s="114" t="s">
        <v>13</v>
      </c>
      <c r="E79" s="115">
        <v>1</v>
      </c>
      <c r="K79" s="22">
        <f t="shared" si="1"/>
        <v>0</v>
      </c>
    </row>
    <row r="80" spans="1:23" s="22" customFormat="1" ht="36.6" customHeight="1">
      <c r="B80" s="112" t="s">
        <v>510</v>
      </c>
      <c r="C80" s="113" t="s">
        <v>511</v>
      </c>
      <c r="D80" s="114" t="s">
        <v>13</v>
      </c>
      <c r="E80" s="115">
        <v>36</v>
      </c>
      <c r="K80" s="22">
        <f t="shared" si="1"/>
        <v>0</v>
      </c>
    </row>
    <row r="81" spans="1:23" s="22" customFormat="1" ht="36.6" customHeight="1">
      <c r="B81" s="112" t="s">
        <v>512</v>
      </c>
      <c r="C81" s="113" t="s">
        <v>513</v>
      </c>
      <c r="D81" s="114" t="s">
        <v>13</v>
      </c>
      <c r="E81" s="115">
        <v>4</v>
      </c>
      <c r="K81" s="22">
        <f t="shared" si="1"/>
        <v>0</v>
      </c>
    </row>
    <row r="82" spans="1:23" s="22" customFormat="1" ht="36.6" customHeight="1">
      <c r="B82" s="112" t="s">
        <v>514</v>
      </c>
      <c r="C82" s="113" t="s">
        <v>515</v>
      </c>
      <c r="D82" s="114" t="s">
        <v>13</v>
      </c>
      <c r="E82" s="115">
        <v>1</v>
      </c>
      <c r="K82" s="22">
        <f t="shared" si="1"/>
        <v>0</v>
      </c>
    </row>
    <row r="83" spans="1:23" s="22" customFormat="1" ht="36.6" customHeight="1">
      <c r="B83" s="112" t="s">
        <v>516</v>
      </c>
      <c r="C83" s="113" t="s">
        <v>515</v>
      </c>
      <c r="D83" s="114" t="s">
        <v>13</v>
      </c>
      <c r="E83" s="115">
        <v>1</v>
      </c>
      <c r="K83" s="22">
        <f t="shared" si="1"/>
        <v>0</v>
      </c>
    </row>
    <row r="84" spans="1:23" s="22" customFormat="1" ht="36.6" customHeight="1">
      <c r="B84" s="112" t="s">
        <v>517</v>
      </c>
      <c r="C84" s="113" t="s">
        <v>515</v>
      </c>
      <c r="D84" s="114" t="s">
        <v>13</v>
      </c>
      <c r="E84" s="115">
        <v>1</v>
      </c>
      <c r="K84" s="22">
        <f t="shared" si="1"/>
        <v>0</v>
      </c>
    </row>
    <row r="85" spans="1:23" s="22" customFormat="1" ht="36.6" customHeight="1">
      <c r="B85" s="112" t="s">
        <v>518</v>
      </c>
      <c r="C85" s="113" t="s">
        <v>515</v>
      </c>
      <c r="D85" s="114" t="s">
        <v>13</v>
      </c>
      <c r="E85" s="115">
        <v>1</v>
      </c>
      <c r="K85" s="22">
        <f t="shared" si="1"/>
        <v>0</v>
      </c>
    </row>
    <row r="86" spans="1:23" s="22" customFormat="1" ht="36.6" customHeight="1">
      <c r="B86" s="112" t="s">
        <v>519</v>
      </c>
      <c r="C86" s="113" t="s">
        <v>520</v>
      </c>
      <c r="D86" s="114" t="s">
        <v>13</v>
      </c>
      <c r="E86" s="115">
        <v>2</v>
      </c>
      <c r="K86" s="22">
        <f t="shared" si="1"/>
        <v>2</v>
      </c>
      <c r="S86" s="22">
        <v>2</v>
      </c>
    </row>
    <row r="87" spans="1:23" ht="36.6" customHeight="1">
      <c r="A87" s="22"/>
      <c r="B87" s="112"/>
      <c r="C87" s="113" t="s">
        <v>659</v>
      </c>
      <c r="D87" s="114" t="s">
        <v>13</v>
      </c>
      <c r="E87" s="115"/>
      <c r="K87" s="22">
        <f t="shared" si="1"/>
        <v>1</v>
      </c>
      <c r="S87" s="22">
        <v>1</v>
      </c>
      <c r="W87" s="22"/>
    </row>
    <row r="88" spans="1:23" ht="36.6" customHeight="1">
      <c r="A88" s="22"/>
      <c r="B88" s="112" t="s">
        <v>20</v>
      </c>
      <c r="C88" s="113" t="s">
        <v>23</v>
      </c>
      <c r="D88" s="114"/>
      <c r="E88" s="115"/>
      <c r="K88" s="22">
        <f t="shared" si="1"/>
        <v>0</v>
      </c>
      <c r="W88" s="22"/>
    </row>
    <row r="89" spans="1:23" s="22" customFormat="1" ht="36.6" customHeight="1">
      <c r="B89" s="112" t="s">
        <v>521</v>
      </c>
      <c r="C89" s="113" t="s">
        <v>522</v>
      </c>
      <c r="D89" s="114" t="s">
        <v>15</v>
      </c>
      <c r="E89" s="115">
        <v>12000</v>
      </c>
      <c r="K89" s="22">
        <f t="shared" si="1"/>
        <v>0</v>
      </c>
    </row>
    <row r="90" spans="1:23" s="22" customFormat="1" ht="36.6" customHeight="1">
      <c r="B90" s="112" t="s">
        <v>523</v>
      </c>
      <c r="C90" s="113" t="s">
        <v>524</v>
      </c>
      <c r="D90" s="114" t="s">
        <v>15</v>
      </c>
      <c r="E90" s="115">
        <v>8500</v>
      </c>
      <c r="K90" s="22">
        <f t="shared" si="1"/>
        <v>0</v>
      </c>
    </row>
    <row r="91" spans="1:23" s="22" customFormat="1" ht="36.6" customHeight="1">
      <c r="B91" s="112" t="s">
        <v>525</v>
      </c>
      <c r="C91" s="113" t="s">
        <v>526</v>
      </c>
      <c r="D91" s="114" t="s">
        <v>15</v>
      </c>
      <c r="E91" s="115">
        <v>3500</v>
      </c>
      <c r="K91" s="22">
        <f t="shared" si="1"/>
        <v>0</v>
      </c>
    </row>
    <row r="92" spans="1:23" s="22" customFormat="1" ht="36.6" customHeight="1">
      <c r="B92" s="112" t="s">
        <v>527</v>
      </c>
      <c r="C92" s="113" t="s">
        <v>528</v>
      </c>
      <c r="D92" s="114" t="s">
        <v>277</v>
      </c>
      <c r="E92" s="115">
        <v>850</v>
      </c>
      <c r="K92" s="22">
        <f t="shared" si="1"/>
        <v>0</v>
      </c>
    </row>
    <row r="93" spans="1:23" s="22" customFormat="1" ht="36.6" customHeight="1">
      <c r="B93" s="112" t="s">
        <v>529</v>
      </c>
      <c r="C93" s="113" t="s">
        <v>530</v>
      </c>
      <c r="D93" s="114" t="s">
        <v>277</v>
      </c>
      <c r="E93" s="115">
        <v>50</v>
      </c>
      <c r="K93" s="22">
        <f t="shared" si="1"/>
        <v>0</v>
      </c>
    </row>
    <row r="94" spans="1:23" s="22" customFormat="1" ht="36.6" customHeight="1">
      <c r="B94" s="112" t="s">
        <v>531</v>
      </c>
      <c r="C94" s="113" t="s">
        <v>532</v>
      </c>
      <c r="D94" s="114" t="s">
        <v>277</v>
      </c>
      <c r="E94" s="115">
        <v>20</v>
      </c>
      <c r="K94" s="22">
        <f t="shared" si="1"/>
        <v>0</v>
      </c>
    </row>
    <row r="95" spans="1:23" s="22" customFormat="1" ht="36.6" customHeight="1">
      <c r="B95" s="112" t="s">
        <v>533</v>
      </c>
      <c r="C95" s="113" t="s">
        <v>534</v>
      </c>
      <c r="D95" s="114" t="s">
        <v>277</v>
      </c>
      <c r="E95" s="115">
        <v>10</v>
      </c>
      <c r="K95" s="22">
        <f t="shared" si="1"/>
        <v>0</v>
      </c>
    </row>
    <row r="96" spans="1:23" s="22" customFormat="1" ht="36.6" customHeight="1">
      <c r="B96" s="112" t="s">
        <v>535</v>
      </c>
      <c r="C96" s="113" t="s">
        <v>536</v>
      </c>
      <c r="D96" s="114" t="s">
        <v>277</v>
      </c>
      <c r="E96" s="115">
        <v>5</v>
      </c>
      <c r="K96" s="22">
        <f t="shared" si="1"/>
        <v>0</v>
      </c>
    </row>
    <row r="97" spans="1:23" s="22" customFormat="1" ht="36.6" customHeight="1">
      <c r="B97" s="112" t="s">
        <v>537</v>
      </c>
      <c r="C97" s="113" t="s">
        <v>538</v>
      </c>
      <c r="D97" s="114" t="s">
        <v>277</v>
      </c>
      <c r="E97" s="115">
        <v>5</v>
      </c>
      <c r="K97" s="22">
        <f t="shared" si="1"/>
        <v>0</v>
      </c>
    </row>
    <row r="98" spans="1:23" s="22" customFormat="1" ht="36.6" customHeight="1">
      <c r="B98" s="112" t="s">
        <v>539</v>
      </c>
      <c r="C98" s="113" t="s">
        <v>540</v>
      </c>
      <c r="D98" s="114" t="s">
        <v>15</v>
      </c>
      <c r="E98" s="115">
        <v>12760</v>
      </c>
      <c r="K98" s="22">
        <f t="shared" si="1"/>
        <v>260</v>
      </c>
      <c r="S98" s="22">
        <v>200</v>
      </c>
      <c r="T98" s="22">
        <v>20</v>
      </c>
      <c r="U98" s="22">
        <v>20</v>
      </c>
      <c r="V98" s="22">
        <v>20</v>
      </c>
    </row>
    <row r="99" spans="1:23" s="22" customFormat="1" ht="36.6" customHeight="1">
      <c r="B99" s="112" t="s">
        <v>541</v>
      </c>
      <c r="C99" s="113" t="s">
        <v>542</v>
      </c>
      <c r="D99" s="114" t="s">
        <v>15</v>
      </c>
      <c r="E99" s="115">
        <v>13663</v>
      </c>
      <c r="K99" s="22">
        <f t="shared" si="1"/>
        <v>200</v>
      </c>
      <c r="S99" s="22">
        <v>200</v>
      </c>
    </row>
    <row r="100" spans="1:23" ht="36.6" customHeight="1">
      <c r="A100" s="22"/>
      <c r="B100" s="112"/>
      <c r="C100" s="113" t="s">
        <v>543</v>
      </c>
      <c r="D100" s="114"/>
      <c r="E100" s="115">
        <v>13663</v>
      </c>
      <c r="K100" s="22">
        <f t="shared" si="1"/>
        <v>0</v>
      </c>
      <c r="W100" s="22"/>
    </row>
    <row r="101" spans="1:23" s="22" customFormat="1" ht="36.6" customHeight="1">
      <c r="B101" s="112" t="s">
        <v>544</v>
      </c>
      <c r="C101" s="113" t="s">
        <v>545</v>
      </c>
      <c r="D101" s="114" t="s">
        <v>15</v>
      </c>
      <c r="E101" s="115">
        <v>2925</v>
      </c>
      <c r="K101" s="22">
        <f t="shared" si="1"/>
        <v>60</v>
      </c>
      <c r="T101" s="22">
        <v>20</v>
      </c>
      <c r="U101" s="22">
        <v>20</v>
      </c>
      <c r="V101" s="22">
        <v>20</v>
      </c>
    </row>
    <row r="102" spans="1:23" ht="36.6" customHeight="1">
      <c r="A102" s="22"/>
      <c r="B102" s="112"/>
      <c r="C102" s="113" t="s">
        <v>546</v>
      </c>
      <c r="D102" s="114"/>
      <c r="E102" s="115">
        <v>2925</v>
      </c>
      <c r="K102" s="22">
        <f t="shared" si="1"/>
        <v>0</v>
      </c>
      <c r="W102" s="22"/>
    </row>
    <row r="103" spans="1:23" s="22" customFormat="1" ht="36.6" customHeight="1">
      <c r="B103" s="112" t="s">
        <v>547</v>
      </c>
      <c r="C103" s="113" t="s">
        <v>640</v>
      </c>
      <c r="D103" s="114" t="s">
        <v>15</v>
      </c>
      <c r="E103" s="115">
        <v>44190</v>
      </c>
      <c r="K103" s="22">
        <f t="shared" si="1"/>
        <v>2600</v>
      </c>
      <c r="S103" s="22">
        <v>120</v>
      </c>
      <c r="T103" s="22">
        <v>890</v>
      </c>
      <c r="U103" s="22">
        <v>850</v>
      </c>
      <c r="V103" s="22">
        <v>740</v>
      </c>
    </row>
    <row r="104" spans="1:23" s="22" customFormat="1" ht="36.6" customHeight="1">
      <c r="B104" s="112" t="s">
        <v>548</v>
      </c>
      <c r="C104" s="113" t="s">
        <v>549</v>
      </c>
      <c r="D104" s="114" t="s">
        <v>15</v>
      </c>
      <c r="E104" s="115">
        <v>21240</v>
      </c>
      <c r="K104" s="22">
        <f t="shared" si="1"/>
        <v>1580</v>
      </c>
      <c r="S104" s="22">
        <v>100</v>
      </c>
      <c r="T104" s="22">
        <v>540</v>
      </c>
      <c r="U104" s="22">
        <v>500</v>
      </c>
      <c r="V104" s="22">
        <v>440</v>
      </c>
    </row>
    <row r="105" spans="1:23" ht="36.6" customHeight="1">
      <c r="A105" s="22"/>
      <c r="B105" s="112"/>
      <c r="C105" s="113" t="s">
        <v>550</v>
      </c>
      <c r="D105" s="114"/>
      <c r="E105" s="115">
        <v>21240</v>
      </c>
      <c r="K105" s="22">
        <f t="shared" si="1"/>
        <v>0</v>
      </c>
      <c r="W105" s="22"/>
    </row>
    <row r="106" spans="1:23" s="22" customFormat="1" ht="36.6" customHeight="1">
      <c r="B106" s="112" t="s">
        <v>551</v>
      </c>
      <c r="C106" s="113" t="s">
        <v>552</v>
      </c>
      <c r="D106" s="114" t="s">
        <v>15</v>
      </c>
      <c r="E106" s="115">
        <v>31788</v>
      </c>
      <c r="K106" s="22">
        <f t="shared" si="1"/>
        <v>1020</v>
      </c>
      <c r="S106" s="22">
        <v>20</v>
      </c>
      <c r="T106" s="22">
        <v>350</v>
      </c>
      <c r="U106" s="22">
        <v>350</v>
      </c>
      <c r="V106" s="22">
        <v>300</v>
      </c>
    </row>
    <row r="107" spans="1:23" ht="36.6" customHeight="1">
      <c r="A107" s="22"/>
      <c r="B107" s="112"/>
      <c r="C107" s="113" t="s">
        <v>553</v>
      </c>
      <c r="D107" s="114"/>
      <c r="E107" s="115">
        <v>31788</v>
      </c>
      <c r="K107" s="22">
        <f t="shared" si="1"/>
        <v>0</v>
      </c>
      <c r="W107" s="22"/>
    </row>
    <row r="108" spans="1:23" s="22" customFormat="1" ht="36.6" customHeight="1">
      <c r="B108" s="112" t="s">
        <v>554</v>
      </c>
      <c r="C108" s="113" t="s">
        <v>555</v>
      </c>
      <c r="D108" s="114" t="s">
        <v>15</v>
      </c>
      <c r="E108" s="115">
        <v>320</v>
      </c>
      <c r="K108" s="22">
        <f t="shared" si="1"/>
        <v>8</v>
      </c>
      <c r="S108" s="22">
        <v>8</v>
      </c>
    </row>
    <row r="109" spans="1:23" s="22" customFormat="1" ht="36.6" customHeight="1">
      <c r="B109" s="112" t="s">
        <v>556</v>
      </c>
      <c r="C109" s="113" t="s">
        <v>557</v>
      </c>
      <c r="D109" s="114" t="s">
        <v>15</v>
      </c>
      <c r="E109" s="115">
        <v>384</v>
      </c>
      <c r="K109" s="22">
        <f t="shared" si="1"/>
        <v>8</v>
      </c>
      <c r="S109" s="22">
        <v>8</v>
      </c>
    </row>
    <row r="110" spans="1:23" ht="36.6" customHeight="1">
      <c r="A110" s="22"/>
      <c r="B110" s="112"/>
      <c r="C110" s="113" t="s">
        <v>558</v>
      </c>
      <c r="D110" s="114"/>
      <c r="E110" s="115">
        <v>384</v>
      </c>
      <c r="K110" s="22">
        <f t="shared" si="1"/>
        <v>0</v>
      </c>
      <c r="W110" s="22"/>
    </row>
    <row r="111" spans="1:23" s="22" customFormat="1" ht="36.6" customHeight="1">
      <c r="B111" s="112" t="s">
        <v>559</v>
      </c>
      <c r="C111" s="113" t="s">
        <v>560</v>
      </c>
      <c r="D111" s="114" t="s">
        <v>15</v>
      </c>
      <c r="E111" s="115">
        <v>1200</v>
      </c>
      <c r="K111" s="22">
        <f t="shared" si="1"/>
        <v>190</v>
      </c>
      <c r="S111" s="22">
        <v>190</v>
      </c>
    </row>
    <row r="112" spans="1:23" s="22" customFormat="1" ht="36.6" customHeight="1">
      <c r="B112" s="112" t="s">
        <v>561</v>
      </c>
      <c r="C112" s="113" t="s">
        <v>562</v>
      </c>
      <c r="D112" s="114" t="s">
        <v>15</v>
      </c>
      <c r="E112" s="115">
        <v>1560</v>
      </c>
      <c r="K112" s="22">
        <f t="shared" si="1"/>
        <v>190</v>
      </c>
      <c r="S112" s="22">
        <v>190</v>
      </c>
    </row>
    <row r="113" spans="1:23" ht="36.6" customHeight="1">
      <c r="A113" s="22"/>
      <c r="B113" s="112"/>
      <c r="C113" s="113" t="s">
        <v>563</v>
      </c>
      <c r="D113" s="114"/>
      <c r="E113" s="115">
        <v>1560</v>
      </c>
      <c r="K113" s="22">
        <f t="shared" si="1"/>
        <v>0</v>
      </c>
      <c r="W113" s="22"/>
    </row>
    <row r="114" spans="1:23" s="22" customFormat="1" ht="36.6" customHeight="1">
      <c r="B114" s="112" t="s">
        <v>564</v>
      </c>
      <c r="C114" s="113" t="s">
        <v>565</v>
      </c>
      <c r="D114" s="114" t="s">
        <v>15</v>
      </c>
      <c r="E114" s="115">
        <v>50</v>
      </c>
      <c r="K114" s="22">
        <f t="shared" si="1"/>
        <v>0</v>
      </c>
    </row>
    <row r="115" spans="1:23" s="22" customFormat="1" ht="36.6" customHeight="1">
      <c r="B115" s="112" t="s">
        <v>566</v>
      </c>
      <c r="C115" s="113" t="s">
        <v>567</v>
      </c>
      <c r="D115" s="114" t="s">
        <v>15</v>
      </c>
      <c r="E115" s="115">
        <v>60</v>
      </c>
      <c r="K115" s="22">
        <f t="shared" si="1"/>
        <v>0</v>
      </c>
    </row>
    <row r="116" spans="1:23" ht="36.6" customHeight="1">
      <c r="A116" s="22"/>
      <c r="B116" s="112"/>
      <c r="C116" s="113" t="s">
        <v>568</v>
      </c>
      <c r="D116" s="114"/>
      <c r="E116" s="115">
        <v>60</v>
      </c>
      <c r="K116" s="22">
        <f t="shared" si="1"/>
        <v>0</v>
      </c>
      <c r="W116" s="22"/>
    </row>
    <row r="117" spans="1:23" s="22" customFormat="1" ht="36.6" customHeight="1">
      <c r="B117" s="112" t="s">
        <v>569</v>
      </c>
      <c r="C117" s="113" t="s">
        <v>570</v>
      </c>
      <c r="D117" s="114" t="s">
        <v>15</v>
      </c>
      <c r="E117" s="115">
        <v>300</v>
      </c>
      <c r="K117" s="22">
        <f t="shared" si="1"/>
        <v>0</v>
      </c>
    </row>
    <row r="118" spans="1:23" s="22" customFormat="1" ht="36.6" customHeight="1">
      <c r="B118" s="112" t="s">
        <v>571</v>
      </c>
      <c r="C118" s="113" t="s">
        <v>572</v>
      </c>
      <c r="D118" s="114" t="s">
        <v>15</v>
      </c>
      <c r="E118" s="115">
        <v>360</v>
      </c>
      <c r="K118" s="22">
        <f t="shared" si="1"/>
        <v>0</v>
      </c>
    </row>
    <row r="119" spans="1:23" ht="36.6" customHeight="1">
      <c r="A119" s="22"/>
      <c r="B119" s="112"/>
      <c r="C119" s="113" t="s">
        <v>573</v>
      </c>
      <c r="D119" s="114"/>
      <c r="E119" s="115">
        <v>360</v>
      </c>
      <c r="K119" s="22">
        <f t="shared" si="1"/>
        <v>0</v>
      </c>
      <c r="W119" s="22"/>
    </row>
    <row r="120" spans="1:23" s="22" customFormat="1" ht="36.6" customHeight="1">
      <c r="B120" s="112" t="s">
        <v>574</v>
      </c>
      <c r="C120" s="113" t="s">
        <v>575</v>
      </c>
      <c r="D120" s="114" t="s">
        <v>15</v>
      </c>
      <c r="E120" s="115">
        <v>50</v>
      </c>
      <c r="K120" s="22">
        <f t="shared" si="1"/>
        <v>8</v>
      </c>
      <c r="S120" s="22">
        <v>8</v>
      </c>
    </row>
    <row r="121" spans="1:23" s="22" customFormat="1" ht="36.6" customHeight="1">
      <c r="B121" s="112" t="s">
        <v>576</v>
      </c>
      <c r="C121" s="113" t="s">
        <v>577</v>
      </c>
      <c r="D121" s="114" t="s">
        <v>15</v>
      </c>
      <c r="E121" s="115">
        <v>60</v>
      </c>
      <c r="K121" s="22">
        <f t="shared" si="1"/>
        <v>8</v>
      </c>
      <c r="S121" s="22">
        <v>8</v>
      </c>
    </row>
    <row r="122" spans="1:23" ht="36.6" customHeight="1">
      <c r="A122" s="22"/>
      <c r="B122" s="112"/>
      <c r="C122" s="113" t="s">
        <v>568</v>
      </c>
      <c r="D122" s="114"/>
      <c r="E122" s="115">
        <v>60</v>
      </c>
      <c r="K122" s="22">
        <f t="shared" si="1"/>
        <v>0</v>
      </c>
      <c r="W122" s="22"/>
    </row>
    <row r="123" spans="1:23" s="22" customFormat="1" ht="36.6" customHeight="1">
      <c r="B123" s="112" t="s">
        <v>578</v>
      </c>
      <c r="C123" s="113" t="s">
        <v>579</v>
      </c>
      <c r="D123" s="114" t="s">
        <v>15</v>
      </c>
      <c r="E123" s="115">
        <v>338</v>
      </c>
      <c r="K123" s="22">
        <f t="shared" si="1"/>
        <v>20</v>
      </c>
      <c r="S123" s="22">
        <v>20</v>
      </c>
    </row>
    <row r="124" spans="1:23" ht="36.6" customHeight="1">
      <c r="A124" s="22"/>
      <c r="B124" s="112"/>
      <c r="C124" s="113" t="s">
        <v>580</v>
      </c>
      <c r="D124" s="114"/>
      <c r="E124" s="115">
        <v>338</v>
      </c>
      <c r="K124" s="22">
        <f t="shared" si="1"/>
        <v>0</v>
      </c>
      <c r="W124" s="22"/>
    </row>
    <row r="125" spans="1:23" s="22" customFormat="1" ht="36.6" customHeight="1">
      <c r="B125" s="112" t="s">
        <v>581</v>
      </c>
      <c r="C125" s="113" t="s">
        <v>582</v>
      </c>
      <c r="D125" s="114" t="s">
        <v>15</v>
      </c>
      <c r="E125" s="115">
        <v>338</v>
      </c>
      <c r="K125" s="22">
        <f t="shared" si="1"/>
        <v>20</v>
      </c>
      <c r="S125" s="22">
        <v>20</v>
      </c>
    </row>
    <row r="126" spans="1:23" ht="36.6" customHeight="1">
      <c r="A126" s="22"/>
      <c r="B126" s="112"/>
      <c r="C126" s="113" t="s">
        <v>580</v>
      </c>
      <c r="D126" s="114"/>
      <c r="E126" s="115">
        <v>338</v>
      </c>
      <c r="K126" s="22">
        <f t="shared" si="1"/>
        <v>0</v>
      </c>
      <c r="W126" s="22"/>
    </row>
    <row r="127" spans="1:23" s="22" customFormat="1" ht="36.6" customHeight="1">
      <c r="B127" s="112" t="s">
        <v>583</v>
      </c>
      <c r="C127" s="113" t="s">
        <v>584</v>
      </c>
      <c r="D127" s="114" t="s">
        <v>15</v>
      </c>
      <c r="E127" s="115">
        <v>120</v>
      </c>
      <c r="K127" s="22">
        <f t="shared" si="1"/>
        <v>0</v>
      </c>
    </row>
    <row r="128" spans="1:23" s="22" customFormat="1" ht="36.6" customHeight="1">
      <c r="B128" s="112" t="s">
        <v>585</v>
      </c>
      <c r="C128" s="113" t="s">
        <v>586</v>
      </c>
      <c r="D128" s="114" t="s">
        <v>15</v>
      </c>
      <c r="E128" s="115">
        <v>1440</v>
      </c>
      <c r="K128" s="22">
        <f t="shared" si="1"/>
        <v>0</v>
      </c>
    </row>
    <row r="129" spans="1:23" ht="36.6" customHeight="1">
      <c r="A129" s="22"/>
      <c r="B129" s="112"/>
      <c r="C129" s="113" t="s">
        <v>587</v>
      </c>
      <c r="D129" s="114"/>
      <c r="E129" s="115">
        <v>1440</v>
      </c>
      <c r="K129" s="22">
        <f t="shared" si="1"/>
        <v>0</v>
      </c>
      <c r="W129" s="22"/>
    </row>
    <row r="130" spans="1:23" s="22" customFormat="1" ht="36.6" customHeight="1">
      <c r="B130" s="112" t="s">
        <v>588</v>
      </c>
      <c r="C130" s="113" t="s">
        <v>589</v>
      </c>
      <c r="D130" s="114" t="s">
        <v>277</v>
      </c>
      <c r="E130" s="115">
        <v>1</v>
      </c>
      <c r="K130" s="22">
        <f t="shared" si="1"/>
        <v>11</v>
      </c>
      <c r="T130" s="22">
        <v>4</v>
      </c>
      <c r="U130" s="22">
        <v>4</v>
      </c>
      <c r="V130" s="22">
        <v>3</v>
      </c>
    </row>
    <row r="131" spans="1:23" s="22" customFormat="1" ht="36.6" customHeight="1">
      <c r="B131" s="112" t="s">
        <v>590</v>
      </c>
      <c r="C131" s="113" t="s">
        <v>591</v>
      </c>
      <c r="D131" s="114" t="s">
        <v>15</v>
      </c>
      <c r="E131" s="115">
        <v>120</v>
      </c>
      <c r="K131" s="22">
        <f t="shared" si="1"/>
        <v>200</v>
      </c>
      <c r="S131" s="22">
        <v>200</v>
      </c>
    </row>
    <row r="132" spans="1:23" s="22" customFormat="1" ht="36.6" customHeight="1">
      <c r="B132" s="112" t="s">
        <v>592</v>
      </c>
      <c r="C132" s="113" t="s">
        <v>593</v>
      </c>
      <c r="D132" s="114" t="s">
        <v>15</v>
      </c>
      <c r="E132" s="115">
        <v>120</v>
      </c>
      <c r="K132" s="22">
        <f t="shared" si="1"/>
        <v>200</v>
      </c>
      <c r="S132" s="22">
        <v>200</v>
      </c>
    </row>
    <row r="133" spans="1:23" s="22" customFormat="1" ht="36.6" customHeight="1">
      <c r="B133" s="112" t="s">
        <v>594</v>
      </c>
      <c r="C133" s="113" t="s">
        <v>595</v>
      </c>
      <c r="D133" s="114" t="s">
        <v>15</v>
      </c>
      <c r="E133" s="115">
        <v>4200</v>
      </c>
      <c r="K133" s="22">
        <f t="shared" si="1"/>
        <v>0</v>
      </c>
    </row>
    <row r="134" spans="1:23" s="22" customFormat="1" ht="36.6" customHeight="1">
      <c r="B134" s="112" t="s">
        <v>596</v>
      </c>
      <c r="C134" s="113" t="s">
        <v>597</v>
      </c>
      <c r="D134" s="114" t="s">
        <v>15</v>
      </c>
      <c r="E134" s="115">
        <v>5040</v>
      </c>
      <c r="K134" s="22">
        <f t="shared" si="1"/>
        <v>0</v>
      </c>
    </row>
    <row r="135" spans="1:23" ht="36.6" customHeight="1">
      <c r="A135" s="22"/>
      <c r="B135" s="112"/>
      <c r="C135" s="113" t="s">
        <v>598</v>
      </c>
      <c r="D135" s="114"/>
      <c r="E135" s="115">
        <v>5040</v>
      </c>
      <c r="K135" s="22">
        <f t="shared" ref="K135:K197" si="2">SUM(L135:V135)</f>
        <v>0</v>
      </c>
      <c r="W135" s="22"/>
    </row>
    <row r="136" spans="1:23" ht="36.6" customHeight="1">
      <c r="A136" s="22"/>
      <c r="B136" s="112" t="s">
        <v>599</v>
      </c>
      <c r="C136" s="113" t="s">
        <v>600</v>
      </c>
      <c r="D136" s="114"/>
      <c r="E136" s="115"/>
      <c r="K136" s="22">
        <f t="shared" si="2"/>
        <v>0</v>
      </c>
      <c r="W136" s="22"/>
    </row>
    <row r="137" spans="1:23" s="22" customFormat="1" ht="36.6" customHeight="1">
      <c r="B137" s="112" t="s">
        <v>601</v>
      </c>
      <c r="C137" s="113" t="s">
        <v>602</v>
      </c>
      <c r="D137" s="114" t="s">
        <v>15</v>
      </c>
      <c r="E137" s="115">
        <v>350</v>
      </c>
      <c r="K137" s="22">
        <f t="shared" si="2"/>
        <v>0</v>
      </c>
    </row>
    <row r="138" spans="1:23" s="22" customFormat="1" ht="36.6" customHeight="1">
      <c r="B138" s="112" t="s">
        <v>603</v>
      </c>
      <c r="C138" s="113" t="s">
        <v>604</v>
      </c>
      <c r="D138" s="114" t="s">
        <v>15</v>
      </c>
      <c r="E138" s="115">
        <v>350</v>
      </c>
      <c r="K138" s="22">
        <f t="shared" si="2"/>
        <v>0</v>
      </c>
    </row>
    <row r="139" spans="1:23" s="22" customFormat="1" ht="36.6" customHeight="1">
      <c r="B139" s="112" t="s">
        <v>605</v>
      </c>
      <c r="C139" s="113" t="s">
        <v>606</v>
      </c>
      <c r="D139" s="114" t="s">
        <v>15</v>
      </c>
      <c r="E139" s="115">
        <v>100</v>
      </c>
      <c r="K139" s="22">
        <f t="shared" si="2"/>
        <v>0</v>
      </c>
    </row>
    <row r="140" spans="1:23" s="22" customFormat="1" ht="36.6" customHeight="1">
      <c r="B140" s="112" t="s">
        <v>607</v>
      </c>
      <c r="C140" s="113" t="s">
        <v>608</v>
      </c>
      <c r="D140" s="114" t="s">
        <v>15</v>
      </c>
      <c r="E140" s="115">
        <v>100</v>
      </c>
      <c r="K140" s="22">
        <f t="shared" si="2"/>
        <v>0</v>
      </c>
    </row>
    <row r="141" spans="1:23" s="22" customFormat="1" ht="36.6" customHeight="1">
      <c r="B141" s="112" t="s">
        <v>609</v>
      </c>
      <c r="C141" s="113" t="s">
        <v>610</v>
      </c>
      <c r="D141" s="114" t="s">
        <v>277</v>
      </c>
      <c r="E141" s="115">
        <v>200</v>
      </c>
      <c r="K141" s="22">
        <f t="shared" si="2"/>
        <v>0</v>
      </c>
    </row>
    <row r="142" spans="1:23" s="22" customFormat="1" ht="36.6" customHeight="1">
      <c r="B142" s="112" t="s">
        <v>611</v>
      </c>
      <c r="C142" s="113" t="s">
        <v>612</v>
      </c>
      <c r="D142" s="114" t="s">
        <v>13</v>
      </c>
      <c r="E142" s="115">
        <v>200</v>
      </c>
      <c r="K142" s="22">
        <f t="shared" si="2"/>
        <v>0</v>
      </c>
    </row>
    <row r="143" spans="1:23" s="22" customFormat="1" ht="36.6" customHeight="1">
      <c r="B143" s="112" t="s">
        <v>613</v>
      </c>
      <c r="C143" s="113" t="s">
        <v>614</v>
      </c>
      <c r="D143" s="114" t="s">
        <v>15</v>
      </c>
      <c r="E143" s="115">
        <v>10000</v>
      </c>
      <c r="K143" s="22">
        <f t="shared" si="2"/>
        <v>0</v>
      </c>
    </row>
    <row r="144" spans="1:23" s="22" customFormat="1" ht="36.6" customHeight="1">
      <c r="B144" s="112" t="s">
        <v>615</v>
      </c>
      <c r="C144" s="113" t="s">
        <v>616</v>
      </c>
      <c r="D144" s="114" t="s">
        <v>15</v>
      </c>
      <c r="E144" s="115">
        <v>5000</v>
      </c>
      <c r="K144" s="22">
        <f t="shared" si="2"/>
        <v>0</v>
      </c>
    </row>
    <row r="145" spans="1:23" s="22" customFormat="1" ht="36.6" customHeight="1">
      <c r="B145" s="112" t="s">
        <v>617</v>
      </c>
      <c r="C145" s="113" t="s">
        <v>618</v>
      </c>
      <c r="D145" s="114" t="s">
        <v>15</v>
      </c>
      <c r="E145" s="115">
        <v>5000</v>
      </c>
      <c r="K145" s="22">
        <f t="shared" si="2"/>
        <v>0</v>
      </c>
    </row>
    <row r="146" spans="1:23" ht="36.6" customHeight="1">
      <c r="A146" s="22"/>
      <c r="B146" s="112" t="s">
        <v>619</v>
      </c>
      <c r="C146" s="113" t="s">
        <v>17</v>
      </c>
      <c r="D146" s="114"/>
      <c r="E146" s="115"/>
      <c r="K146" s="22">
        <f t="shared" si="2"/>
        <v>0</v>
      </c>
      <c r="W146" s="22"/>
    </row>
    <row r="147" spans="1:23" s="22" customFormat="1" ht="36.6" customHeight="1">
      <c r="B147" s="112" t="s">
        <v>620</v>
      </c>
      <c r="C147" s="113" t="s">
        <v>621</v>
      </c>
      <c r="D147" s="114" t="s">
        <v>26</v>
      </c>
      <c r="E147" s="115">
        <v>20</v>
      </c>
      <c r="K147" s="22">
        <f t="shared" si="2"/>
        <v>0</v>
      </c>
    </row>
    <row r="148" spans="1:23" s="22" customFormat="1" ht="36.6" customHeight="1">
      <c r="B148" s="112" t="s">
        <v>622</v>
      </c>
      <c r="C148" s="113" t="s">
        <v>623</v>
      </c>
      <c r="D148" s="114" t="s">
        <v>26</v>
      </c>
      <c r="E148" s="115">
        <v>50</v>
      </c>
      <c r="K148" s="22">
        <f t="shared" si="2"/>
        <v>0</v>
      </c>
    </row>
    <row r="149" spans="1:23" s="22" customFormat="1" ht="36.6" customHeight="1">
      <c r="B149" s="112" t="s">
        <v>624</v>
      </c>
      <c r="C149" s="113" t="s">
        <v>625</v>
      </c>
      <c r="D149" s="114" t="s">
        <v>14</v>
      </c>
      <c r="E149" s="115">
        <v>1</v>
      </c>
      <c r="K149" s="22">
        <f t="shared" si="2"/>
        <v>0</v>
      </c>
    </row>
    <row r="150" spans="1:23" s="22" customFormat="1" ht="36.6" customHeight="1">
      <c r="B150" s="112" t="s">
        <v>626</v>
      </c>
      <c r="C150" s="113" t="s">
        <v>627</v>
      </c>
      <c r="D150" s="114" t="s">
        <v>14</v>
      </c>
      <c r="E150" s="115">
        <v>1</v>
      </c>
      <c r="K150" s="22">
        <f t="shared" si="2"/>
        <v>0</v>
      </c>
    </row>
    <row r="151" spans="1:23" s="22" customFormat="1" ht="36.6" customHeight="1">
      <c r="B151" s="112" t="s">
        <v>628</v>
      </c>
      <c r="C151" s="113" t="s">
        <v>629</v>
      </c>
      <c r="D151" s="114" t="s">
        <v>277</v>
      </c>
      <c r="E151" s="115">
        <v>1</v>
      </c>
      <c r="K151" s="22">
        <f t="shared" si="2"/>
        <v>0</v>
      </c>
    </row>
    <row r="152" spans="1:23" s="22" customFormat="1" ht="36.6" customHeight="1">
      <c r="B152" s="112" t="s">
        <v>630</v>
      </c>
      <c r="C152" s="113" t="s">
        <v>631</v>
      </c>
      <c r="D152" s="114" t="s">
        <v>277</v>
      </c>
      <c r="E152" s="115">
        <v>26</v>
      </c>
      <c r="K152" s="22">
        <f t="shared" si="2"/>
        <v>0</v>
      </c>
    </row>
    <row r="153" spans="1:23" s="22" customFormat="1" ht="36.6" customHeight="1">
      <c r="B153" s="112" t="s">
        <v>632</v>
      </c>
      <c r="C153" s="113" t="s">
        <v>16</v>
      </c>
      <c r="D153" s="114" t="s">
        <v>28</v>
      </c>
      <c r="E153" s="115">
        <v>20</v>
      </c>
      <c r="K153" s="22">
        <f t="shared" si="2"/>
        <v>0</v>
      </c>
    </row>
    <row r="154" spans="1:23" s="22" customFormat="1" ht="36.6" customHeight="1">
      <c r="B154" s="112" t="s">
        <v>633</v>
      </c>
      <c r="C154" s="113" t="s">
        <v>634</v>
      </c>
      <c r="D154" s="114" t="s">
        <v>26</v>
      </c>
      <c r="E154" s="115">
        <v>10</v>
      </c>
      <c r="K154" s="22">
        <f t="shared" si="2"/>
        <v>0</v>
      </c>
    </row>
    <row r="155" spans="1:23" s="22" customFormat="1" ht="36.6" customHeight="1">
      <c r="B155" s="112" t="s">
        <v>635</v>
      </c>
      <c r="C155" s="113" t="s">
        <v>636</v>
      </c>
      <c r="D155" s="114" t="s">
        <v>14</v>
      </c>
      <c r="E155" s="115">
        <v>1</v>
      </c>
      <c r="K155" s="22">
        <f t="shared" si="2"/>
        <v>0</v>
      </c>
    </row>
    <row r="156" spans="1:23" s="22" customFormat="1" ht="36.6" customHeight="1">
      <c r="B156" s="112" t="s">
        <v>637</v>
      </c>
      <c r="C156" s="113" t="s">
        <v>638</v>
      </c>
      <c r="D156" s="114" t="s">
        <v>14</v>
      </c>
      <c r="E156" s="115">
        <v>1</v>
      </c>
      <c r="K156" s="22">
        <f t="shared" si="2"/>
        <v>0</v>
      </c>
    </row>
    <row r="157" spans="1:23" s="22" customFormat="1" ht="36.6" customHeight="1">
      <c r="B157" s="120" t="s">
        <v>642</v>
      </c>
      <c r="C157" s="119" t="s">
        <v>641</v>
      </c>
      <c r="D157" s="114" t="s">
        <v>15</v>
      </c>
      <c r="E157" s="115">
        <v>1</v>
      </c>
      <c r="K157" s="22">
        <f t="shared" si="2"/>
        <v>0</v>
      </c>
    </row>
    <row r="158" spans="1:23" ht="36.6" customHeight="1">
      <c r="A158" s="22"/>
      <c r="B158" s="122"/>
      <c r="C158" s="119"/>
      <c r="D158" s="123"/>
      <c r="E158" s="124"/>
      <c r="W158" s="22"/>
    </row>
    <row r="159" spans="1:23" ht="36.6" customHeight="1">
      <c r="A159" s="22"/>
      <c r="B159" s="112"/>
      <c r="C159" s="81" t="s">
        <v>647</v>
      </c>
      <c r="D159" s="81"/>
      <c r="E159" s="82" t="s">
        <v>13</v>
      </c>
      <c r="K159" s="22">
        <f t="shared" si="2"/>
        <v>11</v>
      </c>
      <c r="T159" s="22">
        <v>4</v>
      </c>
      <c r="U159" s="22">
        <v>4</v>
      </c>
      <c r="V159" s="22">
        <v>3</v>
      </c>
      <c r="W159" s="22"/>
    </row>
    <row r="160" spans="1:23" s="22" customFormat="1" hidden="1" outlineLevel="4">
      <c r="C160" s="81" t="s">
        <v>648</v>
      </c>
      <c r="D160" s="81"/>
      <c r="E160" s="82" t="s">
        <v>13</v>
      </c>
      <c r="K160" s="22">
        <f t="shared" si="2"/>
        <v>0</v>
      </c>
    </row>
    <row r="161" spans="1:23" s="22" customFormat="1" hidden="1" outlineLevel="4">
      <c r="C161" s="81" t="s">
        <v>649</v>
      </c>
      <c r="D161" s="81"/>
      <c r="E161" s="82" t="s">
        <v>13</v>
      </c>
      <c r="K161" s="22">
        <f t="shared" si="2"/>
        <v>0</v>
      </c>
    </row>
    <row r="162" spans="1:23" ht="36.6" customHeight="1" collapsed="1">
      <c r="A162" s="22"/>
      <c r="B162" s="112"/>
      <c r="C162" s="81" t="s">
        <v>650</v>
      </c>
      <c r="D162" s="81" t="s">
        <v>14</v>
      </c>
      <c r="E162" s="82" t="s">
        <v>13</v>
      </c>
      <c r="K162" s="22">
        <f t="shared" si="2"/>
        <v>11</v>
      </c>
      <c r="T162" s="22">
        <v>4</v>
      </c>
      <c r="U162" s="22">
        <v>4</v>
      </c>
      <c r="V162" s="22">
        <v>3</v>
      </c>
      <c r="W162" s="22"/>
    </row>
    <row r="163" spans="1:23" ht="36.6" customHeight="1">
      <c r="A163" s="22"/>
      <c r="B163" s="112"/>
      <c r="C163" s="81" t="s">
        <v>651</v>
      </c>
      <c r="D163" s="81"/>
      <c r="E163" s="82" t="s">
        <v>13</v>
      </c>
      <c r="K163" s="22">
        <f t="shared" si="2"/>
        <v>0</v>
      </c>
      <c r="W163" s="22"/>
    </row>
    <row r="164" spans="1:23" ht="36.6" customHeight="1">
      <c r="A164" s="22"/>
      <c r="B164" s="112"/>
      <c r="C164" s="81" t="s">
        <v>868</v>
      </c>
      <c r="D164" s="81"/>
      <c r="E164" s="82" t="s">
        <v>13</v>
      </c>
      <c r="K164" s="22">
        <f t="shared" si="2"/>
        <v>1</v>
      </c>
      <c r="S164" s="22">
        <v>1</v>
      </c>
      <c r="W164" s="22"/>
    </row>
    <row r="165" spans="1:23" ht="36.6" customHeight="1">
      <c r="A165" s="22"/>
      <c r="B165" s="112"/>
      <c r="C165" s="81" t="s">
        <v>652</v>
      </c>
      <c r="D165" s="81" t="s">
        <v>13</v>
      </c>
      <c r="E165" s="82" t="s">
        <v>13</v>
      </c>
      <c r="K165" s="22">
        <f t="shared" si="2"/>
        <v>13</v>
      </c>
      <c r="S165" s="22">
        <v>2</v>
      </c>
      <c r="T165" s="22">
        <v>4</v>
      </c>
      <c r="U165" s="22">
        <v>4</v>
      </c>
      <c r="V165" s="22">
        <v>3</v>
      </c>
      <c r="W165" s="22"/>
    </row>
    <row r="166" spans="1:23" ht="36.6" customHeight="1">
      <c r="A166" s="22"/>
      <c r="B166" s="112"/>
      <c r="C166" s="81" t="s">
        <v>653</v>
      </c>
      <c r="D166" s="81"/>
      <c r="E166" s="82" t="s">
        <v>13</v>
      </c>
      <c r="K166" s="22">
        <f t="shared" si="2"/>
        <v>0</v>
      </c>
      <c r="W166" s="22"/>
    </row>
    <row r="167" spans="1:23" ht="36.6" customHeight="1">
      <c r="A167" s="22"/>
      <c r="B167" s="112"/>
      <c r="C167" s="81" t="s">
        <v>654</v>
      </c>
      <c r="D167" s="81"/>
      <c r="E167" s="82" t="s">
        <v>13</v>
      </c>
      <c r="K167" s="22">
        <f t="shared" si="2"/>
        <v>0</v>
      </c>
      <c r="W167" s="22"/>
    </row>
    <row r="168" spans="1:23" ht="36.6" customHeight="1">
      <c r="A168" s="22"/>
      <c r="B168" s="112"/>
      <c r="C168" s="81" t="s">
        <v>655</v>
      </c>
      <c r="D168" s="81"/>
      <c r="E168" s="82" t="s">
        <v>13</v>
      </c>
      <c r="K168" s="22">
        <f t="shared" si="2"/>
        <v>0</v>
      </c>
      <c r="W168" s="22"/>
    </row>
    <row r="169" spans="1:23" ht="36.6" customHeight="1">
      <c r="A169" s="22"/>
      <c r="B169" s="112"/>
      <c r="C169" s="81" t="s">
        <v>656</v>
      </c>
      <c r="D169" s="81"/>
      <c r="E169" s="82" t="s">
        <v>14</v>
      </c>
      <c r="K169" s="22">
        <f t="shared" si="2"/>
        <v>1</v>
      </c>
      <c r="T169" s="22">
        <v>1</v>
      </c>
      <c r="W169" s="22"/>
    </row>
    <row r="170" spans="1:23" ht="36.6" customHeight="1">
      <c r="A170" s="22"/>
      <c r="B170" s="112"/>
      <c r="C170" s="81" t="s">
        <v>657</v>
      </c>
      <c r="D170" s="81"/>
      <c r="E170" s="82" t="s">
        <v>13</v>
      </c>
      <c r="K170" s="22">
        <f t="shared" si="2"/>
        <v>11</v>
      </c>
      <c r="T170" s="22">
        <v>4</v>
      </c>
      <c r="U170" s="22">
        <v>4</v>
      </c>
      <c r="V170" s="22">
        <v>3</v>
      </c>
      <c r="W170" s="22"/>
    </row>
    <row r="171" spans="1:23" ht="36.6" customHeight="1">
      <c r="A171" s="22"/>
      <c r="B171" s="112"/>
      <c r="C171" s="81" t="s">
        <v>869</v>
      </c>
      <c r="D171" s="81"/>
      <c r="E171" s="82"/>
      <c r="K171" s="22">
        <f t="shared" si="2"/>
        <v>1</v>
      </c>
      <c r="S171" s="22">
        <v>1</v>
      </c>
      <c r="W171" s="22"/>
    </row>
    <row r="172" spans="1:23" ht="36.6" customHeight="1">
      <c r="A172" s="22"/>
      <c r="B172" s="112"/>
      <c r="C172" s="81"/>
      <c r="D172" s="81"/>
      <c r="E172" s="82"/>
      <c r="W172" s="22"/>
    </row>
    <row r="173" spans="1:23" ht="36.6" customHeight="1">
      <c r="A173" s="22"/>
      <c r="B173" s="112"/>
      <c r="C173" s="81"/>
      <c r="D173" s="81"/>
      <c r="E173" s="82"/>
      <c r="W173" s="22"/>
    </row>
    <row r="174" spans="1:23" ht="36.6" customHeight="1">
      <c r="A174" s="22"/>
      <c r="B174" s="112"/>
      <c r="C174" s="81"/>
      <c r="D174" s="81"/>
      <c r="E174" s="82"/>
      <c r="W174" s="22"/>
    </row>
    <row r="175" spans="1:23" ht="36.6" customHeight="1">
      <c r="A175" s="22"/>
      <c r="B175" s="112"/>
      <c r="C175" s="81"/>
      <c r="D175" s="81"/>
      <c r="E175" s="82"/>
      <c r="W175" s="22"/>
    </row>
    <row r="176" spans="1:23" ht="36.6" customHeight="1">
      <c r="A176" s="22"/>
      <c r="B176" s="112"/>
      <c r="C176" s="81"/>
      <c r="D176" s="81"/>
      <c r="E176" s="82"/>
      <c r="W176" s="22"/>
    </row>
    <row r="177" spans="1:23" ht="36.6" customHeight="1">
      <c r="A177" s="22"/>
      <c r="B177" s="112"/>
      <c r="C177" s="81"/>
      <c r="D177" s="81"/>
      <c r="E177" s="82"/>
      <c r="W177" s="22"/>
    </row>
    <row r="178" spans="1:23" ht="36.6" customHeight="1">
      <c r="A178" s="22"/>
      <c r="B178" s="112"/>
      <c r="C178" s="81"/>
      <c r="D178" s="81"/>
      <c r="E178" s="82"/>
      <c r="W178" s="22"/>
    </row>
    <row r="179" spans="1:23" ht="36.6" customHeight="1">
      <c r="A179" s="22"/>
      <c r="B179" s="112"/>
      <c r="C179" s="81"/>
      <c r="D179" s="81"/>
      <c r="E179" s="82"/>
      <c r="W179" s="22"/>
    </row>
    <row r="180" spans="1:23" ht="36.6" customHeight="1">
      <c r="A180" s="22"/>
      <c r="B180" s="112"/>
      <c r="C180" s="81"/>
      <c r="D180" s="81"/>
      <c r="E180" s="82"/>
      <c r="W180" s="22"/>
    </row>
    <row r="181" spans="1:23" ht="36.6" customHeight="1">
      <c r="A181" s="22"/>
      <c r="B181" s="112"/>
      <c r="C181" s="81"/>
      <c r="D181" s="81"/>
      <c r="E181" s="82"/>
      <c r="K181" s="22">
        <f t="shared" si="2"/>
        <v>0</v>
      </c>
      <c r="W181" s="22"/>
    </row>
    <row r="182" spans="1:23" ht="36.6" customHeight="1">
      <c r="A182" s="22"/>
      <c r="B182" s="112"/>
      <c r="C182" s="81"/>
      <c r="D182" s="81"/>
      <c r="E182" s="82"/>
      <c r="K182" s="22">
        <f t="shared" si="2"/>
        <v>0</v>
      </c>
      <c r="W182" s="22"/>
    </row>
    <row r="183" spans="1:23" ht="36.6" customHeight="1">
      <c r="A183" s="22"/>
      <c r="B183" s="112"/>
      <c r="C183" s="81"/>
      <c r="D183" s="81"/>
      <c r="E183" s="82"/>
      <c r="K183" s="22">
        <f t="shared" si="2"/>
        <v>0</v>
      </c>
      <c r="W183" s="22"/>
    </row>
    <row r="184" spans="1:23" ht="36.6" customHeight="1">
      <c r="A184" s="22"/>
      <c r="B184" s="112"/>
      <c r="C184" s="81"/>
      <c r="D184" s="81"/>
      <c r="E184" s="82"/>
      <c r="K184" s="22">
        <f t="shared" si="2"/>
        <v>0</v>
      </c>
      <c r="W184" s="22"/>
    </row>
    <row r="185" spans="1:23" ht="36.6" customHeight="1">
      <c r="A185" s="22"/>
      <c r="B185" s="112"/>
      <c r="C185" s="81"/>
      <c r="D185" s="81"/>
      <c r="E185" s="82"/>
      <c r="K185" s="22">
        <f t="shared" si="2"/>
        <v>0</v>
      </c>
      <c r="W185" s="22"/>
    </row>
    <row r="186" spans="1:23" ht="36.6" customHeight="1">
      <c r="A186" s="22"/>
      <c r="B186" s="112"/>
      <c r="C186" s="81"/>
      <c r="D186" s="81"/>
      <c r="E186" s="82"/>
      <c r="K186" s="22">
        <f t="shared" si="2"/>
        <v>0</v>
      </c>
      <c r="W186" s="22"/>
    </row>
    <row r="187" spans="1:23" ht="36.6" customHeight="1">
      <c r="A187" s="22"/>
      <c r="B187" s="112"/>
      <c r="C187" s="81"/>
      <c r="D187" s="81"/>
      <c r="E187" s="82"/>
      <c r="K187" s="22">
        <f t="shared" si="2"/>
        <v>0</v>
      </c>
      <c r="W187" s="22"/>
    </row>
    <row r="188" spans="1:23" ht="36.6" customHeight="1">
      <c r="A188" s="22"/>
      <c r="B188" s="112"/>
      <c r="C188" s="81"/>
      <c r="D188" s="81"/>
      <c r="E188" s="82"/>
      <c r="K188" s="22">
        <f t="shared" si="2"/>
        <v>0</v>
      </c>
      <c r="W188" s="22"/>
    </row>
    <row r="189" spans="1:23" ht="36.6" customHeight="1">
      <c r="A189" s="22"/>
      <c r="B189" s="112"/>
      <c r="C189" s="81"/>
      <c r="D189" s="81"/>
      <c r="E189" s="82"/>
      <c r="K189" s="22">
        <f t="shared" si="2"/>
        <v>0</v>
      </c>
      <c r="W189" s="22"/>
    </row>
    <row r="190" spans="1:23" ht="36.6" customHeight="1">
      <c r="A190" s="22"/>
      <c r="B190" s="112"/>
      <c r="C190" s="81"/>
      <c r="D190" s="81"/>
      <c r="E190" s="82"/>
      <c r="K190" s="22">
        <f t="shared" si="2"/>
        <v>0</v>
      </c>
      <c r="W190" s="22"/>
    </row>
    <row r="191" spans="1:23" ht="36.6" customHeight="1">
      <c r="A191" s="22"/>
      <c r="B191" s="112"/>
      <c r="C191" s="81"/>
      <c r="D191" s="81"/>
      <c r="E191" s="82"/>
      <c r="K191" s="22">
        <f t="shared" si="2"/>
        <v>0</v>
      </c>
      <c r="W191" s="22"/>
    </row>
    <row r="192" spans="1:23" ht="36.6" customHeight="1">
      <c r="A192" s="22"/>
      <c r="B192" s="112"/>
      <c r="C192" s="81"/>
      <c r="D192" s="81"/>
      <c r="E192" s="82"/>
      <c r="K192" s="22">
        <f t="shared" si="2"/>
        <v>0</v>
      </c>
      <c r="W192" s="22"/>
    </row>
    <row r="193" spans="1:23" ht="36.6" customHeight="1">
      <c r="A193" s="22"/>
      <c r="B193" s="112"/>
      <c r="C193" s="81"/>
      <c r="D193" s="81"/>
      <c r="E193" s="82"/>
      <c r="K193" s="22">
        <f t="shared" si="2"/>
        <v>0</v>
      </c>
      <c r="W193" s="22"/>
    </row>
    <row r="194" spans="1:23" ht="36.6" customHeight="1">
      <c r="A194" s="22"/>
      <c r="B194" s="112"/>
      <c r="C194" s="81"/>
      <c r="D194" s="81"/>
      <c r="E194" s="82"/>
      <c r="K194" s="22">
        <f t="shared" si="2"/>
        <v>0</v>
      </c>
      <c r="W194" s="22"/>
    </row>
    <row r="195" spans="1:23" ht="36.6" customHeight="1">
      <c r="A195" s="22"/>
      <c r="B195" s="112"/>
      <c r="C195" s="81"/>
      <c r="D195" s="81"/>
      <c r="E195" s="82"/>
      <c r="K195" s="22">
        <f t="shared" si="2"/>
        <v>0</v>
      </c>
      <c r="W195" s="22"/>
    </row>
    <row r="196" spans="1:23" ht="36.6" customHeight="1">
      <c r="A196" s="22"/>
      <c r="B196" s="112"/>
      <c r="C196" s="81"/>
      <c r="D196" s="81"/>
      <c r="E196" s="82"/>
      <c r="K196" s="22">
        <f t="shared" si="2"/>
        <v>0</v>
      </c>
      <c r="W196" s="22"/>
    </row>
    <row r="197" spans="1:23" ht="36.6" customHeight="1">
      <c r="A197" s="22"/>
      <c r="B197" s="112"/>
      <c r="C197" s="81"/>
      <c r="D197" s="81"/>
      <c r="E197" s="82"/>
      <c r="K197" s="22">
        <f t="shared" si="2"/>
        <v>0</v>
      </c>
      <c r="W197" s="22"/>
    </row>
    <row r="198" spans="1:23" ht="36.6" customHeight="1">
      <c r="A198" s="22"/>
      <c r="B198" s="112"/>
      <c r="C198" s="81"/>
      <c r="D198" s="81"/>
      <c r="E198" s="82"/>
      <c r="K198" s="22">
        <f t="shared" ref="K198:K261" si="3">SUM(L198:V198)</f>
        <v>0</v>
      </c>
      <c r="W198" s="22"/>
    </row>
    <row r="199" spans="1:23" ht="36.6" customHeight="1">
      <c r="A199" s="22"/>
      <c r="B199" s="112"/>
      <c r="C199" s="81"/>
      <c r="D199" s="81"/>
      <c r="E199" s="82"/>
      <c r="K199" s="22">
        <f t="shared" si="3"/>
        <v>0</v>
      </c>
      <c r="W199" s="22"/>
    </row>
    <row r="200" spans="1:23" ht="36.6" customHeight="1">
      <c r="A200" s="22"/>
      <c r="B200" s="112"/>
      <c r="C200" s="81"/>
      <c r="D200" s="81"/>
      <c r="E200" s="82"/>
      <c r="K200" s="22">
        <f t="shared" si="3"/>
        <v>0</v>
      </c>
      <c r="W200" s="22"/>
    </row>
    <row r="201" spans="1:23" ht="36.6" customHeight="1">
      <c r="A201" s="22"/>
      <c r="B201" s="112"/>
      <c r="C201" s="81"/>
      <c r="D201" s="81"/>
      <c r="E201" s="82"/>
      <c r="K201" s="22">
        <f t="shared" si="3"/>
        <v>0</v>
      </c>
      <c r="W201" s="22"/>
    </row>
    <row r="202" spans="1:23" ht="36.6" customHeight="1">
      <c r="A202" s="22"/>
      <c r="B202" s="112"/>
      <c r="C202" s="81"/>
      <c r="D202" s="81"/>
      <c r="E202" s="82"/>
      <c r="K202" s="22">
        <f t="shared" si="3"/>
        <v>0</v>
      </c>
      <c r="W202" s="22"/>
    </row>
    <row r="203" spans="1:23" ht="36.6" customHeight="1">
      <c r="A203" s="22"/>
      <c r="B203" s="112"/>
      <c r="C203" s="81"/>
      <c r="D203" s="81"/>
      <c r="E203" s="82"/>
      <c r="K203" s="22">
        <f t="shared" si="3"/>
        <v>0</v>
      </c>
      <c r="W203" s="22"/>
    </row>
    <row r="204" spans="1:23" ht="36.6" customHeight="1">
      <c r="A204" s="22"/>
      <c r="B204" s="112"/>
      <c r="C204" s="81"/>
      <c r="D204" s="81"/>
      <c r="E204" s="82"/>
      <c r="K204" s="22">
        <f t="shared" si="3"/>
        <v>0</v>
      </c>
      <c r="W204" s="22"/>
    </row>
    <row r="205" spans="1:23" ht="36.6" customHeight="1">
      <c r="A205" s="22"/>
      <c r="B205" s="112"/>
      <c r="C205" s="81"/>
      <c r="D205" s="81"/>
      <c r="E205" s="82"/>
      <c r="K205" s="22">
        <f t="shared" si="3"/>
        <v>0</v>
      </c>
      <c r="W205" s="22"/>
    </row>
    <row r="206" spans="1:23" ht="36.6" customHeight="1">
      <c r="A206" s="22"/>
      <c r="B206" s="112"/>
      <c r="C206" s="81"/>
      <c r="D206" s="81"/>
      <c r="E206" s="82"/>
      <c r="K206" s="22">
        <f t="shared" si="3"/>
        <v>0</v>
      </c>
      <c r="W206" s="22"/>
    </row>
    <row r="207" spans="1:23" ht="36.6" customHeight="1">
      <c r="A207" s="22"/>
      <c r="B207" s="112"/>
      <c r="C207" s="81"/>
      <c r="D207" s="81"/>
      <c r="E207" s="82"/>
      <c r="K207" s="22">
        <f t="shared" si="3"/>
        <v>0</v>
      </c>
      <c r="W207" s="22"/>
    </row>
    <row r="208" spans="1:23" ht="36.6" customHeight="1">
      <c r="A208" s="22"/>
      <c r="B208" s="112"/>
      <c r="C208" s="81"/>
      <c r="D208" s="81"/>
      <c r="E208" s="82"/>
      <c r="K208" s="22">
        <f t="shared" si="3"/>
        <v>0</v>
      </c>
      <c r="W208" s="22"/>
    </row>
    <row r="209" spans="1:23" ht="36.6" customHeight="1">
      <c r="A209" s="22"/>
      <c r="B209" s="112"/>
      <c r="C209" s="81"/>
      <c r="D209" s="81"/>
      <c r="E209" s="82"/>
      <c r="K209" s="22">
        <f t="shared" si="3"/>
        <v>0</v>
      </c>
      <c r="W209" s="22"/>
    </row>
    <row r="210" spans="1:23" ht="36.6" customHeight="1">
      <c r="A210" s="22"/>
      <c r="B210" s="112"/>
      <c r="C210" s="81"/>
      <c r="D210" s="81"/>
      <c r="E210" s="82"/>
      <c r="K210" s="22">
        <f t="shared" si="3"/>
        <v>0</v>
      </c>
      <c r="W210" s="22"/>
    </row>
    <row r="211" spans="1:23" ht="36.6" customHeight="1">
      <c r="A211" s="22"/>
      <c r="B211" s="112"/>
      <c r="C211" s="81"/>
      <c r="D211" s="81"/>
      <c r="E211" s="82"/>
      <c r="K211" s="22">
        <f t="shared" si="3"/>
        <v>0</v>
      </c>
      <c r="W211" s="22"/>
    </row>
    <row r="212" spans="1:23" s="22" customFormat="1" hidden="1" outlineLevel="4">
      <c r="K212" s="22">
        <f t="shared" si="3"/>
        <v>0</v>
      </c>
    </row>
    <row r="213" spans="1:23" s="22" customFormat="1" hidden="1" outlineLevel="4">
      <c r="K213" s="22">
        <f t="shared" si="3"/>
        <v>0</v>
      </c>
    </row>
    <row r="214" spans="1:23" s="22" customFormat="1" hidden="1" outlineLevel="4">
      <c r="K214" s="22">
        <f t="shared" si="3"/>
        <v>0</v>
      </c>
    </row>
    <row r="215" spans="1:23" s="22" customFormat="1" hidden="1" outlineLevel="4">
      <c r="K215" s="22">
        <f t="shared" si="3"/>
        <v>0</v>
      </c>
    </row>
    <row r="216" spans="1:23" s="22" customFormat="1" hidden="1" outlineLevel="4">
      <c r="K216" s="22">
        <f t="shared" si="3"/>
        <v>0</v>
      </c>
    </row>
    <row r="217" spans="1:23" s="22" customFormat="1" hidden="1" outlineLevel="4">
      <c r="K217" s="22">
        <f t="shared" si="3"/>
        <v>0</v>
      </c>
    </row>
    <row r="218" spans="1:23" s="22" customFormat="1" hidden="1" outlineLevel="4">
      <c r="K218" s="22">
        <f t="shared" si="3"/>
        <v>0</v>
      </c>
    </row>
    <row r="219" spans="1:23" s="22" customFormat="1" hidden="1" outlineLevel="4">
      <c r="K219" s="22">
        <f t="shared" si="3"/>
        <v>0</v>
      </c>
    </row>
    <row r="220" spans="1:23" s="22" customFormat="1" hidden="1" outlineLevel="4">
      <c r="K220" s="22">
        <f t="shared" si="3"/>
        <v>0</v>
      </c>
    </row>
    <row r="221" spans="1:23" s="22" customFormat="1" hidden="1" outlineLevel="4">
      <c r="K221" s="22">
        <f t="shared" si="3"/>
        <v>0</v>
      </c>
    </row>
    <row r="222" spans="1:23" s="22" customFormat="1" hidden="1" outlineLevel="4">
      <c r="K222" s="22">
        <f t="shared" si="3"/>
        <v>0</v>
      </c>
    </row>
    <row r="223" spans="1:23" s="22" customFormat="1" hidden="1" outlineLevel="4">
      <c r="K223" s="22">
        <f t="shared" si="3"/>
        <v>0</v>
      </c>
    </row>
    <row r="224" spans="1:23" s="22" customFormat="1" hidden="1" outlineLevel="4">
      <c r="K224" s="22">
        <f t="shared" si="3"/>
        <v>0</v>
      </c>
    </row>
    <row r="225" spans="11:11" s="22" customFormat="1" hidden="1" outlineLevel="4">
      <c r="K225" s="22">
        <f t="shared" si="3"/>
        <v>0</v>
      </c>
    </row>
    <row r="226" spans="11:11" s="25" customFormat="1" outlineLevel="3" collapsed="1">
      <c r="K226" s="22">
        <f t="shared" si="3"/>
        <v>0</v>
      </c>
    </row>
    <row r="227" spans="11:11" s="22" customFormat="1" hidden="1" outlineLevel="4">
      <c r="K227" s="22">
        <f t="shared" si="3"/>
        <v>0</v>
      </c>
    </row>
    <row r="228" spans="11:11" s="22" customFormat="1" hidden="1" outlineLevel="4">
      <c r="K228" s="22">
        <f t="shared" si="3"/>
        <v>0</v>
      </c>
    </row>
    <row r="229" spans="11:11" s="22" customFormat="1" hidden="1" outlineLevel="4">
      <c r="K229" s="22">
        <f t="shared" si="3"/>
        <v>0</v>
      </c>
    </row>
    <row r="230" spans="11:11" s="22" customFormat="1" hidden="1" outlineLevel="4">
      <c r="K230" s="22">
        <f t="shared" si="3"/>
        <v>0</v>
      </c>
    </row>
    <row r="231" spans="11:11" s="22" customFormat="1" hidden="1" outlineLevel="4">
      <c r="K231" s="22">
        <f t="shared" si="3"/>
        <v>0</v>
      </c>
    </row>
    <row r="232" spans="11:11" s="22" customFormat="1" hidden="1" outlineLevel="4">
      <c r="K232" s="22">
        <f t="shared" si="3"/>
        <v>0</v>
      </c>
    </row>
    <row r="233" spans="11:11" s="22" customFormat="1" hidden="1" outlineLevel="4">
      <c r="K233" s="22">
        <f t="shared" si="3"/>
        <v>0</v>
      </c>
    </row>
    <row r="234" spans="11:11" s="22" customFormat="1" hidden="1" outlineLevel="4">
      <c r="K234" s="22">
        <f t="shared" si="3"/>
        <v>0</v>
      </c>
    </row>
    <row r="235" spans="11:11" s="22" customFormat="1" hidden="1" outlineLevel="4">
      <c r="K235" s="22">
        <f t="shared" si="3"/>
        <v>0</v>
      </c>
    </row>
    <row r="236" spans="11:11" s="22" customFormat="1" hidden="1" outlineLevel="4">
      <c r="K236" s="22">
        <f t="shared" si="3"/>
        <v>0</v>
      </c>
    </row>
    <row r="237" spans="11:11" s="22" customFormat="1" hidden="1" outlineLevel="4">
      <c r="K237" s="22">
        <f t="shared" si="3"/>
        <v>0</v>
      </c>
    </row>
    <row r="238" spans="11:11" s="22" customFormat="1" hidden="1" outlineLevel="4">
      <c r="K238" s="22">
        <f t="shared" si="3"/>
        <v>0</v>
      </c>
    </row>
    <row r="239" spans="11:11" s="22" customFormat="1" hidden="1" outlineLevel="4">
      <c r="K239" s="22">
        <f t="shared" si="3"/>
        <v>0</v>
      </c>
    </row>
    <row r="240" spans="11:11" s="22" customFormat="1" hidden="1" outlineLevel="4">
      <c r="K240" s="22">
        <f t="shared" si="3"/>
        <v>0</v>
      </c>
    </row>
    <row r="241" spans="11:11" s="22" customFormat="1" hidden="1" outlineLevel="4">
      <c r="K241" s="22">
        <f t="shared" si="3"/>
        <v>0</v>
      </c>
    </row>
    <row r="242" spans="11:11" s="25" customFormat="1" outlineLevel="3" collapsed="1">
      <c r="K242" s="22">
        <f t="shared" si="3"/>
        <v>0</v>
      </c>
    </row>
    <row r="243" spans="11:11" s="22" customFormat="1" hidden="1" outlineLevel="4">
      <c r="K243" s="22">
        <f t="shared" si="3"/>
        <v>0</v>
      </c>
    </row>
    <row r="244" spans="11:11" s="22" customFormat="1" hidden="1" outlineLevel="4">
      <c r="K244" s="22">
        <f t="shared" si="3"/>
        <v>0</v>
      </c>
    </row>
    <row r="245" spans="11:11" s="22" customFormat="1" hidden="1" outlineLevel="4">
      <c r="K245" s="22">
        <f t="shared" si="3"/>
        <v>0</v>
      </c>
    </row>
    <row r="246" spans="11:11" s="22" customFormat="1" hidden="1" outlineLevel="4">
      <c r="K246" s="22">
        <f t="shared" si="3"/>
        <v>0</v>
      </c>
    </row>
    <row r="247" spans="11:11" s="22" customFormat="1" hidden="1" outlineLevel="4">
      <c r="K247" s="22">
        <f t="shared" si="3"/>
        <v>0</v>
      </c>
    </row>
    <row r="248" spans="11:11" s="22" customFormat="1" hidden="1" outlineLevel="4">
      <c r="K248" s="22">
        <f t="shared" si="3"/>
        <v>0</v>
      </c>
    </row>
    <row r="249" spans="11:11" s="22" customFormat="1" hidden="1" outlineLevel="4">
      <c r="K249" s="22">
        <f t="shared" si="3"/>
        <v>0</v>
      </c>
    </row>
    <row r="250" spans="11:11" s="22" customFormat="1" hidden="1" outlineLevel="4">
      <c r="K250" s="22">
        <f t="shared" si="3"/>
        <v>0</v>
      </c>
    </row>
    <row r="251" spans="11:11" s="22" customFormat="1" hidden="1" outlineLevel="4">
      <c r="K251" s="22">
        <f t="shared" si="3"/>
        <v>0</v>
      </c>
    </row>
    <row r="252" spans="11:11" s="22" customFormat="1" hidden="1" outlineLevel="4">
      <c r="K252" s="22">
        <f t="shared" si="3"/>
        <v>0</v>
      </c>
    </row>
    <row r="253" spans="11:11" s="22" customFormat="1" hidden="1" outlineLevel="4">
      <c r="K253" s="22">
        <f t="shared" si="3"/>
        <v>0</v>
      </c>
    </row>
    <row r="254" spans="11:11" s="22" customFormat="1" hidden="1" outlineLevel="4">
      <c r="K254" s="22">
        <f t="shared" si="3"/>
        <v>0</v>
      </c>
    </row>
    <row r="255" spans="11:11" s="22" customFormat="1" hidden="1" outlineLevel="4">
      <c r="K255" s="22">
        <f t="shared" si="3"/>
        <v>0</v>
      </c>
    </row>
    <row r="256" spans="11:11" s="22" customFormat="1" hidden="1" outlineLevel="4">
      <c r="K256" s="22">
        <f t="shared" si="3"/>
        <v>0</v>
      </c>
    </row>
    <row r="257" spans="11:11" s="22" customFormat="1" hidden="1" outlineLevel="4">
      <c r="K257" s="22">
        <f t="shared" si="3"/>
        <v>0</v>
      </c>
    </row>
    <row r="258" spans="11:11" s="25" customFormat="1" outlineLevel="3" collapsed="1">
      <c r="K258" s="22">
        <f t="shared" si="3"/>
        <v>0</v>
      </c>
    </row>
    <row r="259" spans="11:11" s="22" customFormat="1" hidden="1" outlineLevel="4">
      <c r="K259" s="22">
        <f t="shared" si="3"/>
        <v>0</v>
      </c>
    </row>
    <row r="260" spans="11:11" s="22" customFormat="1" hidden="1" outlineLevel="4">
      <c r="K260" s="22">
        <f t="shared" si="3"/>
        <v>0</v>
      </c>
    </row>
    <row r="261" spans="11:11" s="22" customFormat="1" hidden="1" outlineLevel="4">
      <c r="K261" s="22">
        <f t="shared" si="3"/>
        <v>0</v>
      </c>
    </row>
    <row r="262" spans="11:11" s="22" customFormat="1" hidden="1" outlineLevel="4">
      <c r="K262" s="22">
        <f t="shared" ref="K262:K325" si="4">SUM(L262:V262)</f>
        <v>0</v>
      </c>
    </row>
    <row r="263" spans="11:11" s="22" customFormat="1" hidden="1" outlineLevel="4">
      <c r="K263" s="22">
        <f t="shared" si="4"/>
        <v>0</v>
      </c>
    </row>
    <row r="264" spans="11:11" s="22" customFormat="1" hidden="1" outlineLevel="4">
      <c r="K264" s="22">
        <f t="shared" si="4"/>
        <v>0</v>
      </c>
    </row>
    <row r="265" spans="11:11" s="22" customFormat="1" hidden="1" outlineLevel="4">
      <c r="K265" s="22">
        <f t="shared" si="4"/>
        <v>0</v>
      </c>
    </row>
    <row r="266" spans="11:11" s="22" customFormat="1" hidden="1" outlineLevel="4">
      <c r="K266" s="22">
        <f t="shared" si="4"/>
        <v>0</v>
      </c>
    </row>
    <row r="267" spans="11:11" s="22" customFormat="1" hidden="1" outlineLevel="4">
      <c r="K267" s="22">
        <f t="shared" si="4"/>
        <v>0</v>
      </c>
    </row>
    <row r="268" spans="11:11" s="22" customFormat="1" hidden="1" outlineLevel="4">
      <c r="K268" s="22">
        <f t="shared" si="4"/>
        <v>0</v>
      </c>
    </row>
    <row r="269" spans="11:11" s="22" customFormat="1" hidden="1" outlineLevel="4">
      <c r="K269" s="22">
        <f t="shared" si="4"/>
        <v>0</v>
      </c>
    </row>
    <row r="270" spans="11:11" s="22" customFormat="1" hidden="1" outlineLevel="4">
      <c r="K270" s="22">
        <f t="shared" si="4"/>
        <v>0</v>
      </c>
    </row>
    <row r="271" spans="11:11" s="22" customFormat="1" hidden="1" outlineLevel="4">
      <c r="K271" s="22">
        <f t="shared" si="4"/>
        <v>0</v>
      </c>
    </row>
    <row r="272" spans="11:11" s="22" customFormat="1" hidden="1" outlineLevel="4">
      <c r="K272" s="22">
        <f t="shared" si="4"/>
        <v>0</v>
      </c>
    </row>
    <row r="273" spans="11:11" s="22" customFormat="1" hidden="1" outlineLevel="4">
      <c r="K273" s="22">
        <f t="shared" si="4"/>
        <v>0</v>
      </c>
    </row>
    <row r="274" spans="11:11" s="22" customFormat="1" hidden="1" outlineLevel="4">
      <c r="K274" s="22">
        <f t="shared" si="4"/>
        <v>0</v>
      </c>
    </row>
    <row r="275" spans="11:11" s="25" customFormat="1" outlineLevel="3" collapsed="1">
      <c r="K275" s="22">
        <f t="shared" si="4"/>
        <v>0</v>
      </c>
    </row>
    <row r="276" spans="11:11" s="22" customFormat="1" hidden="1" outlineLevel="4">
      <c r="K276" s="22">
        <f t="shared" si="4"/>
        <v>0</v>
      </c>
    </row>
    <row r="277" spans="11:11" s="22" customFormat="1" hidden="1" outlineLevel="4">
      <c r="K277" s="22">
        <f t="shared" si="4"/>
        <v>0</v>
      </c>
    </row>
    <row r="278" spans="11:11" s="22" customFormat="1" hidden="1" outlineLevel="4">
      <c r="K278" s="22">
        <f t="shared" si="4"/>
        <v>0</v>
      </c>
    </row>
    <row r="279" spans="11:11" s="22" customFormat="1" hidden="1" outlineLevel="4">
      <c r="K279" s="22">
        <f t="shared" si="4"/>
        <v>0</v>
      </c>
    </row>
    <row r="280" spans="11:11" s="22" customFormat="1" hidden="1" outlineLevel="4">
      <c r="K280" s="22">
        <f t="shared" si="4"/>
        <v>0</v>
      </c>
    </row>
    <row r="281" spans="11:11" s="22" customFormat="1" hidden="1" outlineLevel="4">
      <c r="K281" s="22">
        <f t="shared" si="4"/>
        <v>0</v>
      </c>
    </row>
    <row r="282" spans="11:11" s="22" customFormat="1" hidden="1" outlineLevel="4">
      <c r="K282" s="22">
        <f t="shared" si="4"/>
        <v>0</v>
      </c>
    </row>
    <row r="283" spans="11:11" s="22" customFormat="1" hidden="1" outlineLevel="4">
      <c r="K283" s="22">
        <f t="shared" si="4"/>
        <v>0</v>
      </c>
    </row>
    <row r="284" spans="11:11" s="22" customFormat="1" hidden="1" outlineLevel="4">
      <c r="K284" s="22">
        <f t="shared" si="4"/>
        <v>0</v>
      </c>
    </row>
    <row r="285" spans="11:11" s="22" customFormat="1" hidden="1" outlineLevel="4">
      <c r="K285" s="22">
        <f t="shared" si="4"/>
        <v>0</v>
      </c>
    </row>
    <row r="286" spans="11:11" s="22" customFormat="1" hidden="1" outlineLevel="4">
      <c r="K286" s="22">
        <f t="shared" si="4"/>
        <v>0</v>
      </c>
    </row>
    <row r="287" spans="11:11" s="22" customFormat="1" hidden="1" outlineLevel="4">
      <c r="K287" s="22">
        <f t="shared" si="4"/>
        <v>0</v>
      </c>
    </row>
    <row r="288" spans="11:11" s="22" customFormat="1" hidden="1" outlineLevel="4">
      <c r="K288" s="22">
        <f t="shared" si="4"/>
        <v>0</v>
      </c>
    </row>
    <row r="289" spans="11:11" s="22" customFormat="1" hidden="1" outlineLevel="4">
      <c r="K289" s="22">
        <f t="shared" si="4"/>
        <v>0</v>
      </c>
    </row>
    <row r="290" spans="11:11" s="22" customFormat="1" hidden="1" outlineLevel="4">
      <c r="K290" s="22">
        <f t="shared" si="4"/>
        <v>0</v>
      </c>
    </row>
    <row r="291" spans="11:11" s="22" customFormat="1" hidden="1" outlineLevel="4">
      <c r="K291" s="22">
        <f t="shared" si="4"/>
        <v>0</v>
      </c>
    </row>
    <row r="292" spans="11:11" s="22" customFormat="1" hidden="1" outlineLevel="4">
      <c r="K292" s="22">
        <f t="shared" si="4"/>
        <v>0</v>
      </c>
    </row>
    <row r="293" spans="11:11" s="25" customFormat="1" outlineLevel="3" collapsed="1">
      <c r="K293" s="22">
        <f t="shared" si="4"/>
        <v>0</v>
      </c>
    </row>
    <row r="294" spans="11:11" s="22" customFormat="1" hidden="1" outlineLevel="4">
      <c r="K294" s="22">
        <f t="shared" si="4"/>
        <v>0</v>
      </c>
    </row>
    <row r="295" spans="11:11" s="22" customFormat="1" hidden="1" outlineLevel="4">
      <c r="K295" s="22">
        <f t="shared" si="4"/>
        <v>0</v>
      </c>
    </row>
    <row r="296" spans="11:11" s="22" customFormat="1" hidden="1" outlineLevel="4">
      <c r="K296" s="22">
        <f t="shared" si="4"/>
        <v>0</v>
      </c>
    </row>
    <row r="297" spans="11:11" s="22" customFormat="1" hidden="1" outlineLevel="4">
      <c r="K297" s="22">
        <f t="shared" si="4"/>
        <v>0</v>
      </c>
    </row>
    <row r="298" spans="11:11" s="22" customFormat="1" hidden="1" outlineLevel="4">
      <c r="K298" s="22">
        <f t="shared" si="4"/>
        <v>0</v>
      </c>
    </row>
    <row r="299" spans="11:11" s="22" customFormat="1" hidden="1" outlineLevel="4">
      <c r="K299" s="22">
        <f t="shared" si="4"/>
        <v>0</v>
      </c>
    </row>
    <row r="300" spans="11:11" s="22" customFormat="1" hidden="1" outlineLevel="4">
      <c r="K300" s="22">
        <f t="shared" si="4"/>
        <v>0</v>
      </c>
    </row>
    <row r="301" spans="11:11" s="22" customFormat="1" hidden="1" outlineLevel="4">
      <c r="K301" s="22">
        <f t="shared" si="4"/>
        <v>0</v>
      </c>
    </row>
    <row r="302" spans="11:11" s="22" customFormat="1" hidden="1" outlineLevel="4">
      <c r="K302" s="22">
        <f t="shared" si="4"/>
        <v>0</v>
      </c>
    </row>
    <row r="303" spans="11:11" s="22" customFormat="1" hidden="1" outlineLevel="4">
      <c r="K303" s="22">
        <f t="shared" si="4"/>
        <v>0</v>
      </c>
    </row>
    <row r="304" spans="11:11" s="22" customFormat="1" hidden="1" outlineLevel="4">
      <c r="K304" s="22">
        <f t="shared" si="4"/>
        <v>0</v>
      </c>
    </row>
    <row r="305" spans="11:11" s="22" customFormat="1" hidden="1" outlineLevel="4">
      <c r="K305" s="22">
        <f t="shared" si="4"/>
        <v>0</v>
      </c>
    </row>
    <row r="306" spans="11:11" s="22" customFormat="1" hidden="1" outlineLevel="4">
      <c r="K306" s="22">
        <f t="shared" si="4"/>
        <v>0</v>
      </c>
    </row>
    <row r="307" spans="11:11" s="22" customFormat="1" hidden="1" outlineLevel="4">
      <c r="K307" s="22">
        <f t="shared" si="4"/>
        <v>0</v>
      </c>
    </row>
    <row r="308" spans="11:11" s="22" customFormat="1" hidden="1" outlineLevel="4">
      <c r="K308" s="22">
        <f t="shared" si="4"/>
        <v>0</v>
      </c>
    </row>
    <row r="309" spans="11:11" s="25" customFormat="1" outlineLevel="3" collapsed="1">
      <c r="K309" s="22">
        <f t="shared" si="4"/>
        <v>0</v>
      </c>
    </row>
    <row r="310" spans="11:11" s="22" customFormat="1" hidden="1" outlineLevel="4">
      <c r="K310" s="22">
        <f t="shared" si="4"/>
        <v>0</v>
      </c>
    </row>
    <row r="311" spans="11:11" s="22" customFormat="1" hidden="1" outlineLevel="4">
      <c r="K311" s="22">
        <f t="shared" si="4"/>
        <v>0</v>
      </c>
    </row>
    <row r="312" spans="11:11" s="22" customFormat="1" hidden="1" outlineLevel="4">
      <c r="K312" s="22">
        <f t="shared" si="4"/>
        <v>0</v>
      </c>
    </row>
    <row r="313" spans="11:11" s="22" customFormat="1" hidden="1" outlineLevel="4">
      <c r="K313" s="22">
        <f t="shared" si="4"/>
        <v>0</v>
      </c>
    </row>
    <row r="314" spans="11:11" s="22" customFormat="1" hidden="1" outlineLevel="4">
      <c r="K314" s="22">
        <f t="shared" si="4"/>
        <v>0</v>
      </c>
    </row>
    <row r="315" spans="11:11" s="22" customFormat="1" hidden="1" outlineLevel="4">
      <c r="K315" s="22">
        <f t="shared" si="4"/>
        <v>0</v>
      </c>
    </row>
    <row r="316" spans="11:11" s="22" customFormat="1" hidden="1" outlineLevel="4">
      <c r="K316" s="22">
        <f t="shared" si="4"/>
        <v>0</v>
      </c>
    </row>
    <row r="317" spans="11:11" s="22" customFormat="1" hidden="1" outlineLevel="4">
      <c r="K317" s="22">
        <f t="shared" si="4"/>
        <v>0</v>
      </c>
    </row>
    <row r="318" spans="11:11" s="22" customFormat="1" hidden="1" outlineLevel="4">
      <c r="K318" s="22">
        <f t="shared" si="4"/>
        <v>0</v>
      </c>
    </row>
    <row r="319" spans="11:11" s="22" customFormat="1" hidden="1" outlineLevel="4">
      <c r="K319" s="22">
        <f t="shared" si="4"/>
        <v>0</v>
      </c>
    </row>
    <row r="320" spans="11:11" s="22" customFormat="1" hidden="1" outlineLevel="4">
      <c r="K320" s="22">
        <f t="shared" si="4"/>
        <v>0</v>
      </c>
    </row>
    <row r="321" spans="11:11" s="22" customFormat="1" hidden="1" outlineLevel="4">
      <c r="K321" s="22">
        <f t="shared" si="4"/>
        <v>0</v>
      </c>
    </row>
    <row r="322" spans="11:11" s="22" customFormat="1" hidden="1" outlineLevel="4">
      <c r="K322" s="22">
        <f t="shared" si="4"/>
        <v>0</v>
      </c>
    </row>
    <row r="323" spans="11:11" s="22" customFormat="1" hidden="1" outlineLevel="4">
      <c r="K323" s="22">
        <f t="shared" si="4"/>
        <v>0</v>
      </c>
    </row>
    <row r="324" spans="11:11" s="22" customFormat="1" hidden="1" outlineLevel="4">
      <c r="K324" s="22">
        <f t="shared" si="4"/>
        <v>0</v>
      </c>
    </row>
    <row r="325" spans="11:11" s="25" customFormat="1" outlineLevel="3" collapsed="1">
      <c r="K325" s="22">
        <f t="shared" si="4"/>
        <v>0</v>
      </c>
    </row>
    <row r="326" spans="11:11" s="22" customFormat="1" hidden="1" outlineLevel="4">
      <c r="K326" s="22">
        <f t="shared" ref="K326:K351" si="5">SUM(L326:V326)</f>
        <v>0</v>
      </c>
    </row>
    <row r="327" spans="11:11" s="22" customFormat="1" hidden="1" outlineLevel="4">
      <c r="K327" s="22">
        <f t="shared" si="5"/>
        <v>0</v>
      </c>
    </row>
    <row r="328" spans="11:11" s="22" customFormat="1" hidden="1" outlineLevel="4">
      <c r="K328" s="22">
        <f t="shared" si="5"/>
        <v>0</v>
      </c>
    </row>
    <row r="329" spans="11:11" s="22" customFormat="1" hidden="1" outlineLevel="4">
      <c r="K329" s="22">
        <f t="shared" si="5"/>
        <v>0</v>
      </c>
    </row>
    <row r="330" spans="11:11" s="22" customFormat="1" hidden="1" outlineLevel="4">
      <c r="K330" s="22">
        <f t="shared" si="5"/>
        <v>0</v>
      </c>
    </row>
    <row r="331" spans="11:11" s="22" customFormat="1" hidden="1" outlineLevel="4">
      <c r="K331" s="22">
        <f t="shared" si="5"/>
        <v>0</v>
      </c>
    </row>
    <row r="332" spans="11:11" s="22" customFormat="1" hidden="1" outlineLevel="4">
      <c r="K332" s="22">
        <f t="shared" si="5"/>
        <v>0</v>
      </c>
    </row>
    <row r="333" spans="11:11" s="22" customFormat="1" hidden="1" outlineLevel="4">
      <c r="K333" s="22">
        <f t="shared" si="5"/>
        <v>0</v>
      </c>
    </row>
    <row r="334" spans="11:11" s="22" customFormat="1" hidden="1" outlineLevel="4">
      <c r="K334" s="22">
        <f t="shared" si="5"/>
        <v>0</v>
      </c>
    </row>
    <row r="335" spans="11:11" s="22" customFormat="1" hidden="1" outlineLevel="4">
      <c r="K335" s="22">
        <f t="shared" si="5"/>
        <v>0</v>
      </c>
    </row>
    <row r="336" spans="11:11" s="22" customFormat="1" hidden="1" outlineLevel="4">
      <c r="K336" s="22">
        <f t="shared" si="5"/>
        <v>0</v>
      </c>
    </row>
    <row r="337" spans="11:11" s="22" customFormat="1" hidden="1" outlineLevel="4">
      <c r="K337" s="22">
        <f t="shared" si="5"/>
        <v>0</v>
      </c>
    </row>
    <row r="338" spans="11:11" s="22" customFormat="1" hidden="1" outlineLevel="4">
      <c r="K338" s="22">
        <f t="shared" si="5"/>
        <v>0</v>
      </c>
    </row>
    <row r="339" spans="11:11" s="22" customFormat="1" hidden="1" outlineLevel="4">
      <c r="K339" s="22">
        <f t="shared" si="5"/>
        <v>0</v>
      </c>
    </row>
    <row r="340" spans="11:11" s="22" customFormat="1" hidden="1" outlineLevel="4">
      <c r="K340" s="22">
        <f t="shared" si="5"/>
        <v>0</v>
      </c>
    </row>
    <row r="341" spans="11:11" s="25" customFormat="1" outlineLevel="3" collapsed="1">
      <c r="K341" s="22">
        <f t="shared" si="5"/>
        <v>0</v>
      </c>
    </row>
    <row r="342" spans="11:11" s="22" customFormat="1" hidden="1" outlineLevel="4">
      <c r="K342" s="22">
        <f t="shared" si="5"/>
        <v>0</v>
      </c>
    </row>
    <row r="343" spans="11:11" s="22" customFormat="1" hidden="1" outlineLevel="4">
      <c r="K343" s="22">
        <f t="shared" si="5"/>
        <v>0</v>
      </c>
    </row>
    <row r="344" spans="11:11" s="22" customFormat="1" hidden="1" outlineLevel="4">
      <c r="K344" s="22">
        <f t="shared" si="5"/>
        <v>0</v>
      </c>
    </row>
    <row r="345" spans="11:11" s="22" customFormat="1" hidden="1" outlineLevel="4">
      <c r="K345" s="22">
        <f t="shared" si="5"/>
        <v>0</v>
      </c>
    </row>
    <row r="346" spans="11:11" s="25" customFormat="1" outlineLevel="3" collapsed="1">
      <c r="K346" s="22">
        <f t="shared" si="5"/>
        <v>0</v>
      </c>
    </row>
    <row r="347" spans="11:11" s="22" customFormat="1" hidden="1" outlineLevel="4">
      <c r="K347" s="22">
        <f t="shared" si="5"/>
        <v>0</v>
      </c>
    </row>
    <row r="348" spans="11:11" s="22" customFormat="1" hidden="1" outlineLevel="4">
      <c r="K348" s="22">
        <f t="shared" si="5"/>
        <v>0</v>
      </c>
    </row>
    <row r="349" spans="11:11" s="22" customFormat="1" hidden="1" outlineLevel="4">
      <c r="K349" s="22">
        <f t="shared" si="5"/>
        <v>0</v>
      </c>
    </row>
    <row r="350" spans="11:11" s="22" customFormat="1" hidden="1" outlineLevel="4">
      <c r="K350" s="22">
        <f t="shared" si="5"/>
        <v>0</v>
      </c>
    </row>
    <row r="351" spans="11:11" s="25" customFormat="1" outlineLevel="3" collapsed="1">
      <c r="K351" s="22">
        <f t="shared" si="5"/>
        <v>0</v>
      </c>
    </row>
    <row r="352" spans="11:11" s="22" customFormat="1" hidden="1" outlineLevel="4"/>
    <row r="353" s="22" customFormat="1" hidden="1" outlineLevel="4"/>
    <row r="354" s="22" customFormat="1" hidden="1" outlineLevel="4"/>
    <row r="355" s="22" customFormat="1" hidden="1" outlineLevel="4"/>
    <row r="356" s="25" customFormat="1" outlineLevel="3" collapsed="1"/>
    <row r="357" s="22" customFormat="1" hidden="1" outlineLevel="4"/>
    <row r="358" s="22" customFormat="1" hidden="1" outlineLevel="4"/>
    <row r="359" s="22" customFormat="1" hidden="1" outlineLevel="4"/>
    <row r="360" s="22" customFormat="1" hidden="1" outlineLevel="4"/>
    <row r="361" s="25" customFormat="1" outlineLevel="3" collapsed="1"/>
    <row r="362" s="22" customFormat="1" hidden="1" outlineLevel="4"/>
    <row r="363" s="22" customFormat="1" hidden="1" outlineLevel="4"/>
    <row r="364" s="22" customFormat="1" hidden="1" outlineLevel="4"/>
    <row r="365" s="22" customFormat="1" hidden="1" outlineLevel="4"/>
    <row r="366" s="22" customFormat="1" hidden="1" outlineLevel="4"/>
    <row r="367" s="22" customFormat="1" hidden="1" outlineLevel="4"/>
    <row r="368" s="22" customFormat="1" hidden="1" outlineLevel="4"/>
    <row r="369" s="22" customFormat="1" hidden="1" outlineLevel="4"/>
    <row r="370" s="22" customFormat="1" hidden="1" outlineLevel="4"/>
    <row r="371" s="22" customFormat="1" hidden="1" outlineLevel="4"/>
    <row r="372" s="22" customFormat="1" hidden="1" outlineLevel="4"/>
    <row r="373" s="22" customFormat="1" hidden="1" outlineLevel="4"/>
    <row r="374" s="25" customFormat="1" outlineLevel="3" collapsed="1"/>
    <row r="375" s="22" customFormat="1" outlineLevel="4"/>
    <row r="376" s="25" customFormat="1" outlineLevel="3"/>
    <row r="377" s="22" customFormat="1" outlineLevel="4"/>
    <row r="378" s="22" customFormat="1" outlineLevel="4"/>
    <row r="379" s="22" customFormat="1" outlineLevel="4"/>
    <row r="380" s="25" customFormat="1" outlineLevel="3"/>
    <row r="381" s="22" customFormat="1" outlineLevel="4"/>
    <row r="382" s="22" customFormat="1" outlineLevel="4"/>
    <row r="383" s="22" customFormat="1" outlineLevel="4"/>
    <row r="384" s="22" customFormat="1" outlineLevel="4"/>
    <row r="385" s="22" customFormat="1" outlineLevel="4"/>
    <row r="386" s="22" customFormat="1" outlineLevel="4"/>
    <row r="387" s="22" customFormat="1" outlineLevel="4"/>
    <row r="388" s="25" customFormat="1" outlineLevel="3"/>
    <row r="389" s="22" customFormat="1" outlineLevel="4"/>
    <row r="390" s="22" customFormat="1" outlineLevel="4"/>
    <row r="391" s="22" customFormat="1" outlineLevel="4"/>
    <row r="392" s="22" customFormat="1" outlineLevel="4"/>
    <row r="393" s="22" customFormat="1" outlineLevel="4"/>
    <row r="394" s="22" customFormat="1" outlineLevel="4"/>
    <row r="395" s="22" customFormat="1" outlineLevel="4"/>
    <row r="396" s="25" customFormat="1" outlineLevel="3"/>
    <row r="397" s="22" customFormat="1" outlineLevel="4"/>
    <row r="398" s="22" customFormat="1" outlineLevel="4"/>
    <row r="399" s="22" customFormat="1" outlineLevel="4"/>
    <row r="400" s="22" customFormat="1" outlineLevel="4"/>
    <row r="401" s="22" customFormat="1" outlineLevel="4"/>
    <row r="402" s="22" customFormat="1" outlineLevel="4"/>
    <row r="403" s="22" customFormat="1" outlineLevel="4"/>
    <row r="404" s="22" customFormat="1" outlineLevel="4"/>
    <row r="405" s="25" customFormat="1" outlineLevel="3"/>
    <row r="406" s="22" customFormat="1" outlineLevel="4"/>
    <row r="407" s="22" customFormat="1" outlineLevel="4"/>
    <row r="408" s="22" customFormat="1" outlineLevel="4"/>
    <row r="409" s="25" customFormat="1" outlineLevel="3"/>
    <row r="410" s="22" customFormat="1" outlineLevel="4"/>
    <row r="411" s="22" customFormat="1" outlineLevel="4"/>
    <row r="412" s="22" customFormat="1" outlineLevel="4"/>
    <row r="413" s="22" customFormat="1" outlineLevel="4"/>
    <row r="414" s="22" customFormat="1" outlineLevel="4"/>
    <row r="415" s="22" customFormat="1" outlineLevel="4"/>
    <row r="416" s="22" customFormat="1" outlineLevel="4"/>
    <row r="417" s="25" customFormat="1" outlineLevel="3"/>
    <row r="418" s="22" customFormat="1" outlineLevel="4"/>
    <row r="419" s="22" customFormat="1" outlineLevel="4"/>
    <row r="420" s="22" customFormat="1" outlineLevel="4"/>
    <row r="421" s="22" customFormat="1" outlineLevel="4"/>
    <row r="422" s="22" customFormat="1" outlineLevel="4"/>
    <row r="423" s="22" customFormat="1" outlineLevel="4"/>
    <row r="424" s="22" customFormat="1" outlineLevel="4"/>
    <row r="425" s="25" customFormat="1" outlineLevel="3"/>
    <row r="426" s="22" customFormat="1" outlineLevel="4"/>
    <row r="427" s="25" customFormat="1" outlineLevel="3"/>
    <row r="428" s="22" customFormat="1" outlineLevel="4"/>
    <row r="429" s="22" customFormat="1" outlineLevel="4"/>
    <row r="430" s="22" customFormat="1" outlineLevel="4"/>
    <row r="431" s="22" customFormat="1" outlineLevel="4"/>
    <row r="432" s="22" customFormat="1" outlineLevel="4"/>
    <row r="433" spans="1:23" s="25" customFormat="1" outlineLevel="3"/>
    <row r="434" spans="1:23" outlineLevel="4">
      <c r="A434" s="22"/>
      <c r="B434" s="22"/>
      <c r="C434" s="22"/>
      <c r="W434" s="22"/>
    </row>
    <row r="435" spans="1:23" outlineLevel="4">
      <c r="A435" s="22"/>
      <c r="B435" s="22"/>
      <c r="C435" s="22"/>
      <c r="W435" s="22"/>
    </row>
    <row r="436" spans="1:23" outlineLevel="4">
      <c r="A436" s="22"/>
      <c r="B436" s="22"/>
      <c r="C436" s="22"/>
      <c r="W436" s="22"/>
    </row>
    <row r="437" spans="1:23" outlineLevel="4">
      <c r="A437" s="22"/>
      <c r="B437" s="22"/>
      <c r="C437" s="22"/>
      <c r="W437" s="22"/>
    </row>
    <row r="438" spans="1:23" outlineLevel="4">
      <c r="A438" s="22"/>
      <c r="B438" s="22"/>
      <c r="C438" s="22"/>
      <c r="W438" s="22"/>
    </row>
    <row r="439" spans="1:23" outlineLevel="4">
      <c r="A439" s="22"/>
      <c r="B439" s="22"/>
      <c r="C439" s="22"/>
      <c r="W439" s="22"/>
    </row>
    <row r="440" spans="1:23" s="25" customFormat="1" outlineLevel="3"/>
    <row r="441" spans="1:23" hidden="1" outlineLevel="4">
      <c r="A441" s="22"/>
      <c r="B441" s="22"/>
      <c r="C441" s="22"/>
      <c r="W441" s="22"/>
    </row>
    <row r="442" spans="1:23" hidden="1" outlineLevel="4">
      <c r="A442" s="22"/>
      <c r="B442" s="22"/>
      <c r="C442" s="22"/>
      <c r="W442" s="22"/>
    </row>
    <row r="443" spans="1:23" s="25" customFormat="1" outlineLevel="1">
      <c r="A443" s="51"/>
    </row>
    <row r="444" spans="1:23" s="25" customFormat="1" outlineLevel="2">
      <c r="A444" s="51"/>
    </row>
    <row r="445" spans="1:23" s="25" customFormat="1" outlineLevel="3">
      <c r="A445" s="51"/>
    </row>
    <row r="446" spans="1:23" outlineLevel="4">
      <c r="A446" s="45"/>
      <c r="B446" s="22"/>
      <c r="C446" s="22"/>
      <c r="W446" s="22"/>
    </row>
    <row r="447" spans="1:23" s="25" customFormat="1" outlineLevel="3">
      <c r="A447" s="51"/>
    </row>
    <row r="448" spans="1:23" hidden="1" outlineLevel="4">
      <c r="A448" s="22"/>
      <c r="B448" s="22"/>
      <c r="C448" s="22"/>
      <c r="W448" s="22"/>
    </row>
    <row r="449" spans="1:23">
      <c r="A449" s="22"/>
      <c r="B449" s="22"/>
      <c r="C449" s="22"/>
      <c r="W449" s="22"/>
    </row>
    <row r="450" spans="1:23">
      <c r="A450" s="26"/>
    </row>
    <row r="451" spans="1:23">
      <c r="A451" s="26"/>
    </row>
    <row r="452" spans="1:23">
      <c r="A452" s="26"/>
    </row>
    <row r="453" spans="1:23">
      <c r="A453" s="26"/>
    </row>
    <row r="454" spans="1:23">
      <c r="A454" s="26"/>
    </row>
    <row r="455" spans="1:23">
      <c r="A455" s="26"/>
    </row>
    <row r="456" spans="1:23">
      <c r="A456" s="26"/>
    </row>
    <row r="457" spans="1:23">
      <c r="A457" s="26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E7D66-383A-4AB0-8897-A40CBC7A32EA}">
  <dimension ref="A1:AA130"/>
  <sheetViews>
    <sheetView workbookViewId="0">
      <selection activeCell="C7" sqref="C7"/>
    </sheetView>
  </sheetViews>
  <sheetFormatPr defaultRowHeight="13.2"/>
  <cols>
    <col min="2" max="2" width="10.21875" customWidth="1"/>
    <col min="3" max="3" width="41.33203125" customWidth="1"/>
    <col min="4" max="20" width="0" hidden="1" customWidth="1"/>
    <col min="21" max="22" width="13.44140625" customWidth="1"/>
    <col min="23" max="26" width="13.77734375" customWidth="1"/>
  </cols>
  <sheetData>
    <row r="1" spans="1:27">
      <c r="A1" s="153"/>
      <c r="B1" s="153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7" ht="13.05" customHeight="1"/>
    <row r="3" spans="1:27">
      <c r="C3" t="s">
        <v>1352</v>
      </c>
    </row>
    <row r="5" spans="1:27">
      <c r="U5" t="s">
        <v>11</v>
      </c>
      <c r="V5" s="78" t="s">
        <v>10</v>
      </c>
      <c r="W5" t="s">
        <v>268</v>
      </c>
      <c r="X5" t="s">
        <v>269</v>
      </c>
      <c r="Y5" t="s">
        <v>270</v>
      </c>
      <c r="Z5" t="s">
        <v>271</v>
      </c>
      <c r="AA5" t="s">
        <v>276</v>
      </c>
    </row>
    <row r="6" spans="1:27" ht="33.6" customHeight="1">
      <c r="B6" s="74" t="s">
        <v>80</v>
      </c>
      <c r="C6" s="75" t="s">
        <v>81</v>
      </c>
      <c r="D6" s="76" t="s">
        <v>15</v>
      </c>
      <c r="E6" s="77">
        <v>1200</v>
      </c>
      <c r="V6">
        <v>200</v>
      </c>
    </row>
    <row r="7" spans="1:27" ht="33.6" customHeight="1">
      <c r="B7" s="74" t="s">
        <v>82</v>
      </c>
      <c r="C7" s="75" t="s">
        <v>83</v>
      </c>
      <c r="D7" s="76" t="s">
        <v>15</v>
      </c>
      <c r="E7" s="77">
        <v>280</v>
      </c>
      <c r="V7">
        <v>150</v>
      </c>
    </row>
    <row r="8" spans="1:27" ht="33.6" customHeight="1">
      <c r="B8" s="74" t="s">
        <v>84</v>
      </c>
      <c r="C8" s="75" t="s">
        <v>85</v>
      </c>
      <c r="D8" s="76" t="s">
        <v>15</v>
      </c>
      <c r="E8" s="77">
        <v>2000</v>
      </c>
      <c r="V8">
        <v>120</v>
      </c>
    </row>
    <row r="9" spans="1:27" ht="33.6" customHeight="1">
      <c r="B9" s="74" t="s">
        <v>86</v>
      </c>
      <c r="C9" s="75" t="s">
        <v>87</v>
      </c>
      <c r="D9" s="76" t="s">
        <v>15</v>
      </c>
      <c r="E9" s="77">
        <v>320</v>
      </c>
      <c r="V9">
        <v>80</v>
      </c>
    </row>
    <row r="10" spans="1:27" ht="33.6" customHeight="1">
      <c r="B10" s="74" t="s">
        <v>88</v>
      </c>
      <c r="C10" s="75" t="s">
        <v>89</v>
      </c>
      <c r="D10" s="76" t="s">
        <v>13</v>
      </c>
      <c r="E10" s="77">
        <v>64</v>
      </c>
      <c r="V10">
        <f t="shared" ref="V10:V69" si="0">W10+X10+Y10+Z10+AA10</f>
        <v>22</v>
      </c>
      <c r="X10">
        <v>8</v>
      </c>
      <c r="Y10">
        <v>8</v>
      </c>
      <c r="Z10">
        <v>6</v>
      </c>
    </row>
    <row r="11" spans="1:27" ht="33.6" customHeight="1">
      <c r="B11" s="74" t="s">
        <v>90</v>
      </c>
      <c r="C11" s="73" t="s">
        <v>20</v>
      </c>
      <c r="D11" s="76"/>
      <c r="E11" s="77"/>
    </row>
    <row r="12" spans="1:27" ht="33.6" customHeight="1">
      <c r="B12" s="74" t="s">
        <v>91</v>
      </c>
      <c r="C12" s="75" t="s">
        <v>92</v>
      </c>
      <c r="D12" s="76" t="s">
        <v>15</v>
      </c>
      <c r="E12" s="77">
        <v>4300</v>
      </c>
      <c r="V12">
        <f t="shared" si="0"/>
        <v>480</v>
      </c>
      <c r="X12">
        <v>150</v>
      </c>
      <c r="Y12">
        <v>180</v>
      </c>
      <c r="Z12">
        <v>150</v>
      </c>
    </row>
    <row r="13" spans="1:27" ht="33.6" customHeight="1">
      <c r="B13" s="74" t="s">
        <v>93</v>
      </c>
      <c r="C13" s="73" t="s">
        <v>94</v>
      </c>
      <c r="D13" s="76"/>
      <c r="E13" s="77"/>
    </row>
    <row r="14" spans="1:27" ht="33.6" customHeight="1">
      <c r="B14" s="74" t="s">
        <v>95</v>
      </c>
      <c r="C14" s="75" t="s">
        <v>96</v>
      </c>
      <c r="D14" s="76" t="s">
        <v>13</v>
      </c>
      <c r="E14" s="77">
        <v>39</v>
      </c>
      <c r="V14">
        <f t="shared" si="0"/>
        <v>11</v>
      </c>
      <c r="X14">
        <v>4</v>
      </c>
      <c r="Y14">
        <v>4</v>
      </c>
      <c r="Z14">
        <v>3</v>
      </c>
    </row>
    <row r="15" spans="1:27" ht="33.6" customHeight="1">
      <c r="B15" s="74" t="s">
        <v>97</v>
      </c>
      <c r="C15" s="75" t="s">
        <v>98</v>
      </c>
      <c r="D15" s="76" t="s">
        <v>13</v>
      </c>
      <c r="E15" s="77">
        <v>75</v>
      </c>
      <c r="V15">
        <f t="shared" si="0"/>
        <v>22</v>
      </c>
      <c r="X15">
        <v>8</v>
      </c>
      <c r="Y15">
        <v>8</v>
      </c>
      <c r="Z15">
        <v>6</v>
      </c>
    </row>
    <row r="16" spans="1:27" ht="33.6" customHeight="1">
      <c r="B16" s="74" t="s">
        <v>99</v>
      </c>
      <c r="C16" s="75" t="s">
        <v>100</v>
      </c>
      <c r="D16" s="76" t="s">
        <v>13</v>
      </c>
      <c r="E16" s="77">
        <v>75</v>
      </c>
      <c r="V16">
        <f t="shared" si="0"/>
        <v>22</v>
      </c>
      <c r="X16">
        <v>8</v>
      </c>
      <c r="Y16">
        <v>8</v>
      </c>
      <c r="Z16">
        <v>6</v>
      </c>
    </row>
    <row r="17" spans="2:25" ht="33.6" customHeight="1">
      <c r="B17" s="74" t="s">
        <v>101</v>
      </c>
      <c r="C17" s="73" t="s">
        <v>17</v>
      </c>
      <c r="D17" s="76"/>
      <c r="E17" s="77"/>
    </row>
    <row r="18" spans="2:25" ht="33.6" customHeight="1">
      <c r="B18" s="74" t="s">
        <v>102</v>
      </c>
      <c r="C18" s="75" t="s">
        <v>103</v>
      </c>
      <c r="D18" s="76" t="s">
        <v>26</v>
      </c>
      <c r="E18" s="77">
        <v>400</v>
      </c>
      <c r="U18" t="s">
        <v>26</v>
      </c>
      <c r="V18">
        <v>80</v>
      </c>
    </row>
    <row r="19" spans="2:25" ht="33.6" customHeight="1">
      <c r="B19" s="74" t="s">
        <v>104</v>
      </c>
      <c r="C19" s="75" t="s">
        <v>105</v>
      </c>
      <c r="D19" s="76" t="s">
        <v>13</v>
      </c>
      <c r="E19" s="77">
        <v>75</v>
      </c>
      <c r="U19" t="s">
        <v>277</v>
      </c>
      <c r="V19">
        <v>22</v>
      </c>
    </row>
    <row r="20" spans="2:25" ht="33.6" customHeight="1">
      <c r="B20" s="74" t="s">
        <v>106</v>
      </c>
      <c r="C20" s="73" t="s">
        <v>107</v>
      </c>
      <c r="D20" s="76"/>
      <c r="E20" s="77"/>
    </row>
    <row r="21" spans="2:25" ht="33.6" customHeight="1">
      <c r="B21" s="74" t="s">
        <v>108</v>
      </c>
      <c r="C21" s="73" t="s">
        <v>109</v>
      </c>
      <c r="D21" s="76"/>
      <c r="E21" s="77"/>
    </row>
    <row r="22" spans="2:25" ht="33.6" customHeight="1">
      <c r="B22" s="74" t="s">
        <v>110</v>
      </c>
      <c r="C22" s="75" t="s">
        <v>85</v>
      </c>
      <c r="D22" s="76" t="s">
        <v>15</v>
      </c>
      <c r="E22" s="77">
        <v>450</v>
      </c>
      <c r="V22">
        <f t="shared" si="0"/>
        <v>25</v>
      </c>
      <c r="W22">
        <v>25</v>
      </c>
    </row>
    <row r="23" spans="2:25" ht="33.6" customHeight="1">
      <c r="B23" s="74" t="s">
        <v>111</v>
      </c>
      <c r="C23" s="75" t="s">
        <v>83</v>
      </c>
      <c r="D23" s="76" t="s">
        <v>15</v>
      </c>
      <c r="E23" s="77">
        <v>80</v>
      </c>
      <c r="V23">
        <f t="shared" si="0"/>
        <v>0</v>
      </c>
    </row>
    <row r="24" spans="2:25" ht="33.6" customHeight="1">
      <c r="B24" s="74" t="s">
        <v>112</v>
      </c>
      <c r="C24" s="75" t="s">
        <v>87</v>
      </c>
      <c r="D24" s="76" t="s">
        <v>15</v>
      </c>
      <c r="E24" s="77">
        <v>140</v>
      </c>
      <c r="V24">
        <f t="shared" si="0"/>
        <v>0</v>
      </c>
    </row>
    <row r="25" spans="2:25" ht="33.6" customHeight="1">
      <c r="B25" s="74" t="s">
        <v>113</v>
      </c>
      <c r="C25" s="75" t="s">
        <v>89</v>
      </c>
      <c r="D25" s="76" t="s">
        <v>13</v>
      </c>
      <c r="E25" s="77">
        <v>10</v>
      </c>
      <c r="V25">
        <f t="shared" si="0"/>
        <v>0</v>
      </c>
    </row>
    <row r="26" spans="2:25" ht="33.6" customHeight="1">
      <c r="B26" s="74" t="s">
        <v>90</v>
      </c>
      <c r="C26" s="73" t="s">
        <v>20</v>
      </c>
      <c r="D26" s="76"/>
      <c r="E26" s="77"/>
    </row>
    <row r="27" spans="2:25" ht="33.6" customHeight="1">
      <c r="B27" s="74" t="s">
        <v>114</v>
      </c>
      <c r="C27" s="75" t="s">
        <v>115</v>
      </c>
      <c r="D27" s="76" t="s">
        <v>15</v>
      </c>
      <c r="E27" s="77">
        <v>640</v>
      </c>
      <c r="V27">
        <v>80</v>
      </c>
      <c r="W27">
        <v>60</v>
      </c>
      <c r="X27">
        <v>20</v>
      </c>
    </row>
    <row r="28" spans="2:25" ht="33.6" customHeight="1">
      <c r="B28" s="74" t="s">
        <v>116</v>
      </c>
      <c r="C28" s="75" t="s">
        <v>117</v>
      </c>
      <c r="D28" s="76" t="s">
        <v>15</v>
      </c>
      <c r="E28" s="77">
        <v>640</v>
      </c>
      <c r="V28">
        <f t="shared" si="0"/>
        <v>200</v>
      </c>
      <c r="W28">
        <v>30</v>
      </c>
      <c r="X28">
        <v>10</v>
      </c>
      <c r="Y28">
        <v>160</v>
      </c>
    </row>
    <row r="29" spans="2:25" ht="33.6" customHeight="1">
      <c r="B29" s="74" t="s">
        <v>118</v>
      </c>
      <c r="C29" s="75" t="s">
        <v>119</v>
      </c>
      <c r="D29" s="76" t="s">
        <v>15</v>
      </c>
      <c r="E29" s="77">
        <v>80</v>
      </c>
      <c r="V29">
        <f t="shared" si="0"/>
        <v>20</v>
      </c>
      <c r="W29">
        <v>20</v>
      </c>
    </row>
    <row r="30" spans="2:25" ht="33.6" customHeight="1">
      <c r="B30" s="74" t="s">
        <v>120</v>
      </c>
      <c r="C30" s="73" t="s">
        <v>121</v>
      </c>
      <c r="D30" s="76"/>
      <c r="E30" s="77"/>
    </row>
    <row r="31" spans="2:25" ht="33.6" customHeight="1">
      <c r="B31" s="74" t="s">
        <v>122</v>
      </c>
      <c r="C31" s="75" t="s">
        <v>123</v>
      </c>
      <c r="D31" s="76" t="s">
        <v>14</v>
      </c>
      <c r="E31" s="77">
        <v>4</v>
      </c>
      <c r="V31">
        <f t="shared" si="0"/>
        <v>1</v>
      </c>
      <c r="X31">
        <v>1</v>
      </c>
    </row>
    <row r="32" spans="2:25" ht="33.6" customHeight="1">
      <c r="B32" s="74" t="s">
        <v>124</v>
      </c>
      <c r="C32" s="75" t="s">
        <v>125</v>
      </c>
      <c r="D32" s="76" t="s">
        <v>13</v>
      </c>
      <c r="E32" s="77">
        <v>9</v>
      </c>
      <c r="V32">
        <f t="shared" si="0"/>
        <v>2</v>
      </c>
      <c r="X32">
        <v>2</v>
      </c>
    </row>
    <row r="33" spans="2:26" ht="33.6" customHeight="1">
      <c r="B33" s="74" t="s">
        <v>126</v>
      </c>
      <c r="C33" s="75" t="s">
        <v>127</v>
      </c>
      <c r="D33" s="76" t="s">
        <v>13</v>
      </c>
      <c r="E33" s="77">
        <v>4</v>
      </c>
      <c r="V33">
        <f t="shared" si="0"/>
        <v>1</v>
      </c>
      <c r="X33">
        <v>1</v>
      </c>
    </row>
    <row r="34" spans="2:26" ht="33.6" customHeight="1">
      <c r="B34" s="74" t="s">
        <v>128</v>
      </c>
      <c r="C34" s="75" t="s">
        <v>129</v>
      </c>
      <c r="D34" s="76" t="s">
        <v>13</v>
      </c>
      <c r="E34" s="77">
        <v>400</v>
      </c>
      <c r="V34">
        <f t="shared" si="0"/>
        <v>0</v>
      </c>
    </row>
    <row r="35" spans="2:26" ht="33.6" customHeight="1">
      <c r="B35" s="74" t="s">
        <v>130</v>
      </c>
      <c r="C35" s="75" t="s">
        <v>131</v>
      </c>
      <c r="D35" s="76" t="s">
        <v>13</v>
      </c>
      <c r="E35" s="77">
        <v>4</v>
      </c>
      <c r="V35">
        <f t="shared" si="0"/>
        <v>1</v>
      </c>
      <c r="X35">
        <v>1</v>
      </c>
    </row>
    <row r="36" spans="2:26" ht="33.6" customHeight="1">
      <c r="B36" s="74" t="s">
        <v>132</v>
      </c>
      <c r="C36" s="75" t="s">
        <v>133</v>
      </c>
      <c r="D36" s="76" t="s">
        <v>13</v>
      </c>
      <c r="E36" s="77">
        <v>5</v>
      </c>
      <c r="V36">
        <f t="shared" si="0"/>
        <v>2</v>
      </c>
      <c r="W36">
        <v>1</v>
      </c>
      <c r="X36">
        <v>1</v>
      </c>
    </row>
    <row r="37" spans="2:26" ht="33.6" customHeight="1">
      <c r="B37" s="74" t="s">
        <v>134</v>
      </c>
      <c r="C37" s="75" t="s">
        <v>135</v>
      </c>
      <c r="D37" s="76" t="s">
        <v>13</v>
      </c>
      <c r="E37" s="77">
        <v>9</v>
      </c>
      <c r="V37">
        <f t="shared" si="0"/>
        <v>2</v>
      </c>
      <c r="X37">
        <v>2</v>
      </c>
    </row>
    <row r="38" spans="2:26" ht="33.6" customHeight="1">
      <c r="B38" s="74" t="s">
        <v>136</v>
      </c>
      <c r="C38" s="75" t="s">
        <v>137</v>
      </c>
      <c r="D38" s="76" t="s">
        <v>13</v>
      </c>
      <c r="E38" s="77">
        <v>9</v>
      </c>
      <c r="V38">
        <f t="shared" si="0"/>
        <v>2</v>
      </c>
      <c r="W38">
        <v>1</v>
      </c>
      <c r="X38">
        <v>1</v>
      </c>
    </row>
    <row r="39" spans="2:26" ht="33.6" customHeight="1">
      <c r="B39" s="74" t="s">
        <v>138</v>
      </c>
      <c r="C39" s="75" t="s">
        <v>139</v>
      </c>
      <c r="D39" s="76" t="s">
        <v>13</v>
      </c>
      <c r="E39" s="77">
        <v>9</v>
      </c>
      <c r="V39">
        <f t="shared" si="0"/>
        <v>2</v>
      </c>
      <c r="W39">
        <v>1</v>
      </c>
      <c r="X39">
        <v>1</v>
      </c>
    </row>
    <row r="40" spans="2:26" ht="33.6" customHeight="1">
      <c r="B40" s="74" t="s">
        <v>101</v>
      </c>
      <c r="C40" s="73" t="s">
        <v>17</v>
      </c>
      <c r="D40" s="76"/>
      <c r="E40" s="77"/>
      <c r="V40">
        <f t="shared" si="0"/>
        <v>0</v>
      </c>
    </row>
    <row r="41" spans="2:26" ht="33.6" customHeight="1">
      <c r="B41" s="74" t="s">
        <v>140</v>
      </c>
      <c r="C41" s="75" t="s">
        <v>103</v>
      </c>
      <c r="D41" s="76" t="s">
        <v>26</v>
      </c>
      <c r="E41" s="77">
        <v>200</v>
      </c>
      <c r="U41" t="s">
        <v>26</v>
      </c>
      <c r="V41">
        <f t="shared" si="0"/>
        <v>0</v>
      </c>
    </row>
    <row r="42" spans="2:26" ht="33.6" customHeight="1">
      <c r="B42" s="74" t="s">
        <v>141</v>
      </c>
      <c r="C42" s="75" t="s">
        <v>142</v>
      </c>
      <c r="D42" s="76" t="s">
        <v>26</v>
      </c>
      <c r="E42" s="77">
        <v>32</v>
      </c>
      <c r="U42" t="s">
        <v>14</v>
      </c>
      <c r="V42">
        <v>1</v>
      </c>
    </row>
    <row r="43" spans="2:26" ht="33.6" customHeight="1">
      <c r="B43" s="74" t="s">
        <v>143</v>
      </c>
      <c r="C43" s="75" t="s">
        <v>33</v>
      </c>
      <c r="D43" s="76" t="s">
        <v>26</v>
      </c>
      <c r="E43" s="77">
        <v>32</v>
      </c>
      <c r="U43" t="s">
        <v>14</v>
      </c>
      <c r="V43">
        <v>1</v>
      </c>
    </row>
    <row r="44" spans="2:26" ht="33.6" customHeight="1">
      <c r="B44" s="74" t="s">
        <v>144</v>
      </c>
      <c r="C44" s="75" t="s">
        <v>145</v>
      </c>
      <c r="D44" s="76" t="s">
        <v>26</v>
      </c>
      <c r="E44" s="77">
        <v>32</v>
      </c>
      <c r="U44" t="s">
        <v>14</v>
      </c>
      <c r="V44">
        <v>1</v>
      </c>
    </row>
    <row r="45" spans="2:26" ht="33.6" customHeight="1">
      <c r="B45" s="74" t="s">
        <v>146</v>
      </c>
      <c r="C45" s="73" t="s">
        <v>147</v>
      </c>
      <c r="D45" s="76"/>
      <c r="E45" s="77"/>
    </row>
    <row r="46" spans="2:26" ht="33.6" customHeight="1">
      <c r="B46" s="74" t="s">
        <v>108</v>
      </c>
      <c r="C46" s="75" t="s">
        <v>109</v>
      </c>
      <c r="D46" s="76"/>
      <c r="E46" s="77"/>
    </row>
    <row r="47" spans="2:26" ht="33.6" customHeight="1">
      <c r="B47" s="74" t="s">
        <v>148</v>
      </c>
      <c r="C47" s="75" t="s">
        <v>81</v>
      </c>
      <c r="D47" s="76" t="s">
        <v>15</v>
      </c>
      <c r="E47" s="77">
        <v>1200</v>
      </c>
      <c r="V47">
        <f t="shared" si="0"/>
        <v>40</v>
      </c>
      <c r="X47">
        <v>20</v>
      </c>
      <c r="Y47">
        <v>10</v>
      </c>
      <c r="Z47">
        <v>10</v>
      </c>
    </row>
    <row r="48" spans="2:26" ht="33.6" customHeight="1">
      <c r="B48" s="74" t="s">
        <v>149</v>
      </c>
      <c r="C48" s="75" t="s">
        <v>85</v>
      </c>
      <c r="D48" s="76" t="s">
        <v>15</v>
      </c>
      <c r="E48" s="77">
        <v>310</v>
      </c>
      <c r="V48">
        <f t="shared" si="0"/>
        <v>11</v>
      </c>
      <c r="X48">
        <v>4</v>
      </c>
      <c r="Y48">
        <v>4</v>
      </c>
      <c r="Z48">
        <v>3</v>
      </c>
    </row>
    <row r="49" spans="2:26" ht="33.6" customHeight="1">
      <c r="B49" s="74" t="s">
        <v>150</v>
      </c>
      <c r="C49" s="75" t="s">
        <v>87</v>
      </c>
      <c r="D49" s="76" t="s">
        <v>15</v>
      </c>
      <c r="E49" s="77">
        <v>1400</v>
      </c>
      <c r="V49">
        <f t="shared" si="0"/>
        <v>0</v>
      </c>
    </row>
    <row r="50" spans="2:26" ht="33.6" customHeight="1">
      <c r="B50" s="74" t="s">
        <v>151</v>
      </c>
      <c r="C50" s="75" t="s">
        <v>89</v>
      </c>
      <c r="D50" s="76" t="s">
        <v>13</v>
      </c>
      <c r="E50" s="77">
        <v>36</v>
      </c>
      <c r="V50">
        <f t="shared" si="0"/>
        <v>11</v>
      </c>
      <c r="X50">
        <v>4</v>
      </c>
      <c r="Y50">
        <v>4</v>
      </c>
      <c r="Z50">
        <v>3</v>
      </c>
    </row>
    <row r="51" spans="2:26" ht="33.6" customHeight="1">
      <c r="B51" s="74" t="s">
        <v>90</v>
      </c>
      <c r="C51" s="73" t="s">
        <v>20</v>
      </c>
      <c r="D51" s="76"/>
      <c r="E51" s="77"/>
    </row>
    <row r="52" spans="2:26" ht="33.6" customHeight="1">
      <c r="B52" s="74" t="s">
        <v>152</v>
      </c>
      <c r="C52" s="75" t="s">
        <v>92</v>
      </c>
      <c r="D52" s="76" t="s">
        <v>15</v>
      </c>
      <c r="E52" s="77">
        <v>7000</v>
      </c>
      <c r="V52">
        <f t="shared" si="0"/>
        <v>152</v>
      </c>
      <c r="X52">
        <v>50</v>
      </c>
      <c r="Y52">
        <v>52</v>
      </c>
      <c r="Z52">
        <v>50</v>
      </c>
    </row>
    <row r="53" spans="2:26" ht="33.6" customHeight="1">
      <c r="B53" s="74" t="s">
        <v>153</v>
      </c>
      <c r="C53" s="75" t="s">
        <v>119</v>
      </c>
      <c r="D53" s="76" t="s">
        <v>15</v>
      </c>
      <c r="E53" s="77">
        <v>80</v>
      </c>
      <c r="V53">
        <f t="shared" si="0"/>
        <v>20</v>
      </c>
      <c r="W53">
        <v>20</v>
      </c>
    </row>
    <row r="54" spans="2:26" ht="33.6" customHeight="1">
      <c r="B54" s="74" t="s">
        <v>154</v>
      </c>
      <c r="C54" s="73" t="s">
        <v>155</v>
      </c>
      <c r="D54" s="76"/>
      <c r="E54" s="77"/>
    </row>
    <row r="55" spans="2:26" ht="33.6" customHeight="1">
      <c r="B55" s="74" t="s">
        <v>156</v>
      </c>
      <c r="C55" s="75" t="s">
        <v>157</v>
      </c>
      <c r="D55" s="76" t="s">
        <v>13</v>
      </c>
      <c r="E55" s="77">
        <v>4</v>
      </c>
      <c r="V55">
        <f t="shared" si="0"/>
        <v>1</v>
      </c>
      <c r="X55">
        <v>1</v>
      </c>
    </row>
    <row r="56" spans="2:26" ht="33.6" customHeight="1">
      <c r="B56" s="74" t="s">
        <v>158</v>
      </c>
      <c r="C56" s="75" t="s">
        <v>159</v>
      </c>
      <c r="D56" s="76" t="s">
        <v>13</v>
      </c>
      <c r="E56" s="77">
        <v>4</v>
      </c>
      <c r="V56">
        <f t="shared" si="0"/>
        <v>1</v>
      </c>
      <c r="X56">
        <v>1</v>
      </c>
    </row>
    <row r="57" spans="2:26" ht="33.6" customHeight="1">
      <c r="B57" s="74" t="s">
        <v>160</v>
      </c>
      <c r="C57" s="73" t="s">
        <v>161</v>
      </c>
      <c r="D57" s="76"/>
      <c r="E57" s="77"/>
    </row>
    <row r="58" spans="2:26" ht="33.6" customHeight="1">
      <c r="B58" s="74" t="s">
        <v>162</v>
      </c>
      <c r="C58" s="75" t="s">
        <v>163</v>
      </c>
      <c r="D58" s="76" t="s">
        <v>13</v>
      </c>
      <c r="E58" s="77">
        <v>36</v>
      </c>
      <c r="V58">
        <f t="shared" si="0"/>
        <v>11</v>
      </c>
      <c r="X58">
        <v>4</v>
      </c>
      <c r="Y58">
        <v>4</v>
      </c>
      <c r="Z58">
        <v>3</v>
      </c>
    </row>
    <row r="59" spans="2:26" ht="33.6" customHeight="1">
      <c r="B59" s="74" t="s">
        <v>164</v>
      </c>
      <c r="C59" s="75" t="s">
        <v>165</v>
      </c>
      <c r="D59" s="76" t="s">
        <v>13</v>
      </c>
      <c r="E59" s="77">
        <v>36</v>
      </c>
      <c r="V59">
        <f t="shared" si="0"/>
        <v>11</v>
      </c>
      <c r="X59">
        <v>4</v>
      </c>
      <c r="Y59">
        <v>4</v>
      </c>
      <c r="Z59">
        <v>3</v>
      </c>
    </row>
    <row r="60" spans="2:26" ht="33.6" customHeight="1">
      <c r="B60" s="74" t="s">
        <v>166</v>
      </c>
      <c r="C60" s="75" t="s">
        <v>167</v>
      </c>
      <c r="D60" s="76" t="s">
        <v>13</v>
      </c>
      <c r="E60" s="77">
        <v>4</v>
      </c>
      <c r="V60">
        <f t="shared" si="0"/>
        <v>1</v>
      </c>
      <c r="X60">
        <v>1</v>
      </c>
    </row>
    <row r="61" spans="2:26" ht="33.6" customHeight="1">
      <c r="B61" s="74" t="s">
        <v>168</v>
      </c>
      <c r="C61" s="75" t="s">
        <v>169</v>
      </c>
      <c r="D61" s="76" t="s">
        <v>13</v>
      </c>
      <c r="E61" s="77">
        <v>11</v>
      </c>
      <c r="V61">
        <f t="shared" si="0"/>
        <v>0</v>
      </c>
    </row>
    <row r="62" spans="2:26" ht="33.6" customHeight="1">
      <c r="B62" s="74" t="s">
        <v>170</v>
      </c>
      <c r="C62" s="75" t="s">
        <v>171</v>
      </c>
      <c r="D62" s="76" t="s">
        <v>13</v>
      </c>
      <c r="E62" s="77">
        <v>11</v>
      </c>
      <c r="V62">
        <f t="shared" si="0"/>
        <v>0</v>
      </c>
    </row>
    <row r="63" spans="2:26" ht="33.6" customHeight="1">
      <c r="B63" s="74" t="s">
        <v>172</v>
      </c>
      <c r="C63" s="75" t="s">
        <v>173</v>
      </c>
      <c r="D63" s="76" t="s">
        <v>13</v>
      </c>
      <c r="E63" s="77">
        <v>8</v>
      </c>
      <c r="V63">
        <f t="shared" si="0"/>
        <v>0</v>
      </c>
    </row>
    <row r="64" spans="2:26" ht="33.6" customHeight="1">
      <c r="B64" s="74" t="s">
        <v>174</v>
      </c>
      <c r="C64" s="75" t="s">
        <v>175</v>
      </c>
      <c r="D64" s="76" t="s">
        <v>13</v>
      </c>
      <c r="E64" s="77">
        <v>7</v>
      </c>
      <c r="V64">
        <f t="shared" si="0"/>
        <v>0</v>
      </c>
    </row>
    <row r="65" spans="2:26" ht="33.6" customHeight="1">
      <c r="B65" s="74" t="s">
        <v>176</v>
      </c>
      <c r="C65" s="75" t="s">
        <v>177</v>
      </c>
      <c r="D65" s="76" t="s">
        <v>13</v>
      </c>
      <c r="E65" s="77">
        <v>8</v>
      </c>
      <c r="V65">
        <f t="shared" si="0"/>
        <v>0</v>
      </c>
    </row>
    <row r="66" spans="2:26" ht="33.6" customHeight="1">
      <c r="B66" s="74" t="s">
        <v>178</v>
      </c>
      <c r="C66" s="75" t="s">
        <v>179</v>
      </c>
      <c r="D66" s="76" t="s">
        <v>13</v>
      </c>
      <c r="E66" s="77">
        <v>7</v>
      </c>
      <c r="V66">
        <f t="shared" si="0"/>
        <v>0</v>
      </c>
    </row>
    <row r="67" spans="2:26" ht="33.6" customHeight="1">
      <c r="B67" s="74" t="s">
        <v>180</v>
      </c>
      <c r="C67" s="75" t="s">
        <v>181</v>
      </c>
      <c r="D67" s="76" t="s">
        <v>13</v>
      </c>
      <c r="E67" s="77">
        <v>7</v>
      </c>
      <c r="V67">
        <f t="shared" si="0"/>
        <v>1</v>
      </c>
      <c r="X67">
        <v>1</v>
      </c>
    </row>
    <row r="68" spans="2:26" ht="33.6" customHeight="1">
      <c r="B68" s="74" t="s">
        <v>182</v>
      </c>
      <c r="C68" s="75" t="s">
        <v>183</v>
      </c>
      <c r="D68" s="76" t="s">
        <v>13</v>
      </c>
      <c r="E68" s="77">
        <v>7</v>
      </c>
      <c r="V68">
        <f t="shared" si="0"/>
        <v>0</v>
      </c>
    </row>
    <row r="69" spans="2:26" ht="33.6" customHeight="1">
      <c r="B69" s="74" t="s">
        <v>184</v>
      </c>
      <c r="C69" s="75" t="s">
        <v>185</v>
      </c>
      <c r="D69" s="76" t="s">
        <v>13</v>
      </c>
      <c r="E69" s="77">
        <v>16</v>
      </c>
      <c r="V69">
        <f t="shared" si="0"/>
        <v>0</v>
      </c>
    </row>
    <row r="70" spans="2:26" ht="33.6" customHeight="1">
      <c r="B70" s="74" t="s">
        <v>101</v>
      </c>
      <c r="C70" s="73" t="s">
        <v>17</v>
      </c>
      <c r="D70" s="76"/>
      <c r="E70" s="77"/>
    </row>
    <row r="71" spans="2:26" ht="33.6" customHeight="1">
      <c r="B71" s="74" t="s">
        <v>186</v>
      </c>
      <c r="C71" s="75" t="s">
        <v>103</v>
      </c>
      <c r="D71" s="76" t="s">
        <v>26</v>
      </c>
      <c r="E71" s="77">
        <v>400</v>
      </c>
      <c r="V71">
        <f t="shared" ref="V71:V123" si="1">W71+X71+Y71+Z71+AA71</f>
        <v>0</v>
      </c>
    </row>
    <row r="72" spans="2:26" ht="33.6" customHeight="1">
      <c r="B72" s="74" t="s">
        <v>187</v>
      </c>
      <c r="C72" s="75" t="s">
        <v>33</v>
      </c>
      <c r="D72" s="76" t="s">
        <v>26</v>
      </c>
      <c r="E72" s="77">
        <v>64</v>
      </c>
      <c r="V72">
        <v>1</v>
      </c>
    </row>
    <row r="73" spans="2:26" ht="33.6" customHeight="1">
      <c r="B73" s="74" t="s">
        <v>188</v>
      </c>
      <c r="C73" s="75" t="s">
        <v>189</v>
      </c>
      <c r="D73" s="76" t="s">
        <v>26</v>
      </c>
      <c r="E73" s="77">
        <v>64</v>
      </c>
      <c r="V73">
        <v>1</v>
      </c>
    </row>
    <row r="74" spans="2:26" ht="33.6" customHeight="1">
      <c r="B74" s="74" t="s">
        <v>190</v>
      </c>
      <c r="C74" s="73" t="s">
        <v>191</v>
      </c>
      <c r="D74" s="76"/>
      <c r="E74" s="77"/>
    </row>
    <row r="75" spans="2:26" ht="33.6" customHeight="1">
      <c r="B75" s="74" t="s">
        <v>108</v>
      </c>
      <c r="C75" s="73" t="s">
        <v>109</v>
      </c>
      <c r="D75" s="76"/>
      <c r="E75" s="77"/>
    </row>
    <row r="76" spans="2:26" ht="33.6" customHeight="1">
      <c r="B76" s="74" t="s">
        <v>192</v>
      </c>
      <c r="C76" s="75" t="s">
        <v>81</v>
      </c>
      <c r="D76" s="76" t="s">
        <v>15</v>
      </c>
      <c r="E76" s="77">
        <v>2200</v>
      </c>
      <c r="V76">
        <f t="shared" si="1"/>
        <v>100</v>
      </c>
      <c r="X76">
        <v>40</v>
      </c>
      <c r="Y76">
        <v>40</v>
      </c>
      <c r="Z76">
        <v>20</v>
      </c>
    </row>
    <row r="77" spans="2:26" ht="33.6" customHeight="1">
      <c r="B77" s="74" t="s">
        <v>193</v>
      </c>
      <c r="C77" s="75" t="s">
        <v>194</v>
      </c>
      <c r="D77" s="76" t="s">
        <v>15</v>
      </c>
      <c r="E77" s="77">
        <v>360</v>
      </c>
      <c r="V77">
        <f t="shared" si="1"/>
        <v>0</v>
      </c>
    </row>
    <row r="78" spans="2:26" ht="33.6" customHeight="1">
      <c r="B78" s="74" t="s">
        <v>195</v>
      </c>
      <c r="C78" s="75" t="s">
        <v>85</v>
      </c>
      <c r="D78" s="76" t="s">
        <v>15</v>
      </c>
      <c r="E78" s="77">
        <v>1300</v>
      </c>
      <c r="V78">
        <f t="shared" si="1"/>
        <v>0</v>
      </c>
    </row>
    <row r="79" spans="2:26" ht="33.6" customHeight="1">
      <c r="B79" s="74" t="s">
        <v>196</v>
      </c>
      <c r="C79" s="75" t="s">
        <v>87</v>
      </c>
      <c r="D79" s="76" t="s">
        <v>15</v>
      </c>
      <c r="E79" s="77">
        <v>480</v>
      </c>
      <c r="V79">
        <f t="shared" si="1"/>
        <v>0</v>
      </c>
    </row>
    <row r="80" spans="2:26" ht="33.6" customHeight="1">
      <c r="B80" s="74" t="s">
        <v>197</v>
      </c>
      <c r="C80" s="75" t="s">
        <v>89</v>
      </c>
      <c r="D80" s="76" t="s">
        <v>13</v>
      </c>
      <c r="E80" s="77">
        <v>39</v>
      </c>
      <c r="V80">
        <f t="shared" si="1"/>
        <v>12</v>
      </c>
      <c r="X80">
        <v>4</v>
      </c>
      <c r="Y80">
        <v>4</v>
      </c>
      <c r="Z80">
        <v>4</v>
      </c>
    </row>
    <row r="81" spans="2:27" ht="33.6" customHeight="1">
      <c r="B81" s="74" t="s">
        <v>198</v>
      </c>
      <c r="C81" s="73" t="s">
        <v>199</v>
      </c>
      <c r="D81" s="76"/>
      <c r="E81" s="77"/>
      <c r="V81">
        <f t="shared" si="1"/>
        <v>0</v>
      </c>
    </row>
    <row r="82" spans="2:27" ht="33.6" customHeight="1">
      <c r="B82" s="74" t="s">
        <v>200</v>
      </c>
      <c r="C82" s="75" t="s">
        <v>201</v>
      </c>
      <c r="D82" s="76" t="s">
        <v>15</v>
      </c>
      <c r="E82" s="77">
        <v>200</v>
      </c>
      <c r="V82">
        <f t="shared" si="1"/>
        <v>30</v>
      </c>
      <c r="AA82">
        <v>30</v>
      </c>
    </row>
    <row r="83" spans="2:27" ht="33.6" customHeight="1">
      <c r="B83" s="74" t="s">
        <v>202</v>
      </c>
      <c r="C83" s="75" t="s">
        <v>203</v>
      </c>
      <c r="D83" s="76" t="s">
        <v>15</v>
      </c>
      <c r="E83" s="77">
        <v>3000</v>
      </c>
      <c r="V83">
        <f t="shared" si="1"/>
        <v>220</v>
      </c>
      <c r="X83">
        <v>30</v>
      </c>
      <c r="Y83">
        <v>120</v>
      </c>
      <c r="Z83">
        <v>70</v>
      </c>
    </row>
    <row r="84" spans="2:27" ht="33.6" customHeight="1">
      <c r="B84" s="74" t="s">
        <v>204</v>
      </c>
      <c r="C84" s="75" t="s">
        <v>205</v>
      </c>
      <c r="D84" s="76" t="s">
        <v>13</v>
      </c>
      <c r="E84" s="77">
        <v>39</v>
      </c>
      <c r="V84">
        <f t="shared" si="1"/>
        <v>0</v>
      </c>
    </row>
    <row r="85" spans="2:27" ht="33.6" customHeight="1">
      <c r="B85" s="74" t="s">
        <v>206</v>
      </c>
      <c r="C85" s="75" t="s">
        <v>207</v>
      </c>
      <c r="D85" s="76" t="s">
        <v>15</v>
      </c>
      <c r="E85" s="77">
        <v>80</v>
      </c>
      <c r="V85">
        <f t="shared" si="1"/>
        <v>0</v>
      </c>
    </row>
    <row r="86" spans="2:27" ht="33.6" customHeight="1">
      <c r="B86" s="74" t="s">
        <v>208</v>
      </c>
      <c r="C86" s="73" t="s">
        <v>209</v>
      </c>
      <c r="D86" s="76"/>
      <c r="E86" s="77"/>
    </row>
    <row r="87" spans="2:27" ht="33.6" customHeight="1">
      <c r="B87" s="74" t="s">
        <v>210</v>
      </c>
      <c r="C87" s="75" t="s">
        <v>157</v>
      </c>
      <c r="D87" s="76" t="s">
        <v>13</v>
      </c>
      <c r="E87" s="77">
        <v>4</v>
      </c>
      <c r="V87">
        <f t="shared" si="1"/>
        <v>1</v>
      </c>
      <c r="AA87">
        <v>1</v>
      </c>
    </row>
    <row r="88" spans="2:27" ht="33.6" customHeight="1">
      <c r="B88" s="80"/>
      <c r="C88" s="172" t="s">
        <v>272</v>
      </c>
      <c r="D88" s="169"/>
      <c r="E88" s="170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>
        <f t="shared" si="1"/>
        <v>1</v>
      </c>
      <c r="AA88">
        <v>1</v>
      </c>
    </row>
    <row r="89" spans="2:27" ht="33.6" customHeight="1">
      <c r="B89" s="80"/>
      <c r="C89" s="172" t="s">
        <v>273</v>
      </c>
      <c r="D89" s="169"/>
      <c r="E89" s="170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>
        <f t="shared" si="1"/>
        <v>3</v>
      </c>
      <c r="AA89">
        <v>3</v>
      </c>
    </row>
    <row r="90" spans="2:27" ht="33.6" customHeight="1">
      <c r="B90" s="80"/>
      <c r="C90" s="172" t="s">
        <v>274</v>
      </c>
      <c r="D90" s="169"/>
      <c r="E90" s="170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>
        <f t="shared" si="1"/>
        <v>9</v>
      </c>
      <c r="AA90">
        <v>9</v>
      </c>
    </row>
    <row r="91" spans="2:27" ht="33.6" customHeight="1">
      <c r="B91" s="80"/>
      <c r="C91" s="172" t="s">
        <v>275</v>
      </c>
      <c r="D91" s="169"/>
      <c r="E91" s="170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>
        <f t="shared" si="1"/>
        <v>1</v>
      </c>
      <c r="AA91">
        <v>1</v>
      </c>
    </row>
    <row r="92" spans="2:27" ht="33.6" customHeight="1">
      <c r="B92" s="80"/>
      <c r="C92" s="171" t="s">
        <v>213</v>
      </c>
      <c r="D92" s="169"/>
      <c r="E92" s="170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>
        <f t="shared" si="1"/>
        <v>1</v>
      </c>
      <c r="AA92">
        <v>1</v>
      </c>
    </row>
    <row r="93" spans="2:27" ht="33.6" customHeight="1">
      <c r="B93" s="74" t="s">
        <v>214</v>
      </c>
      <c r="C93" s="75" t="s">
        <v>215</v>
      </c>
      <c r="D93" s="76" t="s">
        <v>13</v>
      </c>
      <c r="E93" s="77">
        <v>4</v>
      </c>
      <c r="V93">
        <f t="shared" si="1"/>
        <v>1</v>
      </c>
      <c r="AA93">
        <v>1</v>
      </c>
    </row>
    <row r="94" spans="2:27" ht="33.6" customHeight="1">
      <c r="B94" s="74" t="s">
        <v>216</v>
      </c>
      <c r="C94" s="75" t="s">
        <v>217</v>
      </c>
      <c r="D94" s="76" t="s">
        <v>13</v>
      </c>
      <c r="E94" s="77">
        <v>71</v>
      </c>
      <c r="V94">
        <f t="shared" si="1"/>
        <v>22</v>
      </c>
      <c r="X94">
        <v>8</v>
      </c>
      <c r="Y94">
        <v>8</v>
      </c>
      <c r="Z94">
        <v>6</v>
      </c>
    </row>
    <row r="95" spans="2:27" ht="33.6" customHeight="1">
      <c r="B95" s="74" t="s">
        <v>218</v>
      </c>
      <c r="C95" s="75" t="s">
        <v>219</v>
      </c>
      <c r="D95" s="76" t="s">
        <v>13</v>
      </c>
      <c r="E95" s="77">
        <v>4</v>
      </c>
      <c r="V95">
        <f t="shared" si="1"/>
        <v>1</v>
      </c>
      <c r="AA95">
        <v>1</v>
      </c>
    </row>
    <row r="96" spans="2:27" ht="33.6" customHeight="1">
      <c r="B96" s="74" t="s">
        <v>220</v>
      </c>
      <c r="C96" s="75" t="s">
        <v>221</v>
      </c>
      <c r="D96" s="76" t="s">
        <v>13</v>
      </c>
      <c r="E96" s="77">
        <v>8</v>
      </c>
      <c r="V96">
        <f t="shared" si="1"/>
        <v>1</v>
      </c>
      <c r="AA96">
        <v>1</v>
      </c>
    </row>
    <row r="97" spans="2:27" ht="33.6" customHeight="1">
      <c r="B97" s="74" t="s">
        <v>222</v>
      </c>
      <c r="C97" s="75" t="s">
        <v>223</v>
      </c>
      <c r="D97" s="76" t="s">
        <v>13</v>
      </c>
      <c r="E97" s="77">
        <v>39</v>
      </c>
      <c r="V97">
        <f t="shared" si="1"/>
        <v>11</v>
      </c>
      <c r="X97">
        <v>4</v>
      </c>
      <c r="Y97">
        <v>4</v>
      </c>
      <c r="Z97">
        <v>3</v>
      </c>
    </row>
    <row r="98" spans="2:27" ht="33.6" customHeight="1">
      <c r="B98" s="74" t="s">
        <v>224</v>
      </c>
      <c r="C98" s="75" t="s">
        <v>225</v>
      </c>
      <c r="D98" s="76" t="s">
        <v>226</v>
      </c>
      <c r="E98" s="77">
        <v>5</v>
      </c>
      <c r="V98">
        <f t="shared" si="1"/>
        <v>0</v>
      </c>
    </row>
    <row r="99" spans="2:27" ht="33.6" customHeight="1">
      <c r="B99" s="74" t="s">
        <v>227</v>
      </c>
      <c r="C99" s="75" t="s">
        <v>228</v>
      </c>
      <c r="D99" s="76" t="s">
        <v>13</v>
      </c>
      <c r="E99" s="77">
        <v>4</v>
      </c>
      <c r="V99">
        <f t="shared" si="1"/>
        <v>1</v>
      </c>
      <c r="AA99">
        <v>1</v>
      </c>
    </row>
    <row r="100" spans="2:27" ht="33.6" customHeight="1">
      <c r="B100" s="74" t="s">
        <v>229</v>
      </c>
      <c r="C100" s="75" t="s">
        <v>230</v>
      </c>
      <c r="D100" s="76" t="s">
        <v>13</v>
      </c>
      <c r="E100" s="77">
        <v>4</v>
      </c>
      <c r="V100">
        <f t="shared" si="1"/>
        <v>1</v>
      </c>
      <c r="X100">
        <v>1</v>
      </c>
    </row>
    <row r="101" spans="2:27" ht="33.6" customHeight="1">
      <c r="B101" s="74" t="s">
        <v>101</v>
      </c>
      <c r="C101" s="73" t="s">
        <v>17</v>
      </c>
      <c r="D101" s="76"/>
      <c r="E101" s="77"/>
    </row>
    <row r="102" spans="2:27" ht="33.6" customHeight="1">
      <c r="B102" s="74" t="s">
        <v>231</v>
      </c>
      <c r="C102" s="75" t="s">
        <v>103</v>
      </c>
      <c r="D102" s="76" t="s">
        <v>26</v>
      </c>
      <c r="E102" s="77">
        <v>400</v>
      </c>
      <c r="V102">
        <f t="shared" si="1"/>
        <v>0</v>
      </c>
    </row>
    <row r="103" spans="2:27" ht="33.6" customHeight="1">
      <c r="B103" s="74" t="s">
        <v>232</v>
      </c>
      <c r="C103" s="75" t="s">
        <v>233</v>
      </c>
      <c r="D103" s="76" t="s">
        <v>26</v>
      </c>
      <c r="E103" s="77">
        <v>64</v>
      </c>
      <c r="U103" t="s">
        <v>14</v>
      </c>
      <c r="V103">
        <v>1</v>
      </c>
    </row>
    <row r="104" spans="2:27" ht="33.6" customHeight="1">
      <c r="B104" s="74" t="s">
        <v>234</v>
      </c>
      <c r="C104" s="75" t="s">
        <v>235</v>
      </c>
      <c r="D104" s="76" t="s">
        <v>26</v>
      </c>
      <c r="E104" s="77">
        <v>64</v>
      </c>
      <c r="U104" t="s">
        <v>14</v>
      </c>
      <c r="V104">
        <v>1</v>
      </c>
    </row>
    <row r="105" spans="2:27" ht="33.6" customHeight="1">
      <c r="B105" s="74" t="s">
        <v>236</v>
      </c>
      <c r="C105" s="75" t="s">
        <v>237</v>
      </c>
      <c r="D105" s="76" t="s">
        <v>26</v>
      </c>
      <c r="E105" s="77">
        <v>96</v>
      </c>
      <c r="U105" t="s">
        <v>14</v>
      </c>
      <c r="V105">
        <v>1</v>
      </c>
    </row>
    <row r="106" spans="2:27" ht="33.6" customHeight="1">
      <c r="B106" s="74" t="s">
        <v>238</v>
      </c>
      <c r="C106" s="73" t="s">
        <v>239</v>
      </c>
      <c r="D106" s="76"/>
      <c r="E106" s="77"/>
    </row>
    <row r="107" spans="2:27" ht="33.6" customHeight="1">
      <c r="B107" s="74" t="s">
        <v>240</v>
      </c>
      <c r="C107" s="75" t="s">
        <v>241</v>
      </c>
      <c r="D107" s="76"/>
      <c r="E107" s="77"/>
    </row>
    <row r="108" spans="2:27" ht="33.6" customHeight="1">
      <c r="B108" s="74" t="s">
        <v>242</v>
      </c>
      <c r="C108" s="75" t="s">
        <v>243</v>
      </c>
      <c r="D108" s="76" t="s">
        <v>13</v>
      </c>
      <c r="E108" s="77">
        <v>39</v>
      </c>
      <c r="V108">
        <f t="shared" si="1"/>
        <v>11</v>
      </c>
      <c r="X108">
        <v>4</v>
      </c>
      <c r="Y108">
        <v>4</v>
      </c>
      <c r="Z108">
        <v>3</v>
      </c>
    </row>
    <row r="109" spans="2:27" ht="33.6" customHeight="1">
      <c r="B109" s="74" t="s">
        <v>101</v>
      </c>
      <c r="C109" s="73" t="s">
        <v>17</v>
      </c>
      <c r="D109" s="76"/>
      <c r="E109" s="77"/>
    </row>
    <row r="110" spans="2:27" ht="33.6" customHeight="1">
      <c r="B110" s="74" t="s">
        <v>244</v>
      </c>
      <c r="C110" s="75" t="s">
        <v>189</v>
      </c>
      <c r="D110" s="76" t="s">
        <v>26</v>
      </c>
      <c r="E110" s="77">
        <v>40</v>
      </c>
      <c r="V110">
        <v>1</v>
      </c>
    </row>
    <row r="111" spans="2:27" ht="33.6" customHeight="1">
      <c r="B111" s="74" t="s">
        <v>245</v>
      </c>
      <c r="C111" s="73" t="s">
        <v>246</v>
      </c>
      <c r="D111" s="76"/>
      <c r="E111" s="77"/>
    </row>
    <row r="112" spans="2:27" ht="33.6" customHeight="1">
      <c r="B112" s="74" t="s">
        <v>247</v>
      </c>
      <c r="C112" s="73" t="s">
        <v>248</v>
      </c>
      <c r="D112" s="76"/>
      <c r="E112" s="77"/>
    </row>
    <row r="113" spans="2:26" ht="33.6" customHeight="1">
      <c r="B113" s="74" t="s">
        <v>249</v>
      </c>
      <c r="C113" s="75" t="s">
        <v>250</v>
      </c>
      <c r="D113" s="76" t="s">
        <v>13</v>
      </c>
      <c r="E113" s="77">
        <v>80</v>
      </c>
      <c r="V113">
        <f t="shared" si="1"/>
        <v>32</v>
      </c>
      <c r="W113">
        <v>8</v>
      </c>
      <c r="X113">
        <v>8</v>
      </c>
      <c r="Y113">
        <v>8</v>
      </c>
      <c r="Z113">
        <v>8</v>
      </c>
    </row>
    <row r="114" spans="2:26" ht="33.6" customHeight="1">
      <c r="B114" s="74" t="s">
        <v>251</v>
      </c>
      <c r="C114" s="75" t="s">
        <v>252</v>
      </c>
      <c r="D114" s="76" t="s">
        <v>13</v>
      </c>
      <c r="E114" s="77">
        <v>16</v>
      </c>
      <c r="V114">
        <v>1</v>
      </c>
    </row>
    <row r="115" spans="2:26" ht="33.6" customHeight="1">
      <c r="B115" s="74" t="s">
        <v>253</v>
      </c>
      <c r="C115" s="75" t="s">
        <v>254</v>
      </c>
      <c r="D115" s="76" t="s">
        <v>13</v>
      </c>
      <c r="E115" s="77">
        <v>160</v>
      </c>
      <c r="V115">
        <v>50</v>
      </c>
    </row>
    <row r="116" spans="2:26" ht="33.6" customHeight="1">
      <c r="B116" s="74" t="s">
        <v>255</v>
      </c>
      <c r="C116" s="75" t="s">
        <v>256</v>
      </c>
      <c r="D116" s="76" t="s">
        <v>15</v>
      </c>
      <c r="E116" s="77">
        <v>160</v>
      </c>
      <c r="V116">
        <v>32</v>
      </c>
    </row>
    <row r="117" spans="2:26" ht="33.6" customHeight="1">
      <c r="B117" s="74" t="s">
        <v>257</v>
      </c>
      <c r="C117" s="75" t="s">
        <v>258</v>
      </c>
      <c r="D117" s="76" t="s">
        <v>13</v>
      </c>
      <c r="E117" s="77">
        <v>380</v>
      </c>
      <c r="V117">
        <f t="shared" si="1"/>
        <v>254</v>
      </c>
      <c r="W117">
        <v>200</v>
      </c>
      <c r="X117">
        <v>22</v>
      </c>
      <c r="Y117">
        <v>16</v>
      </c>
      <c r="Z117">
        <v>16</v>
      </c>
    </row>
    <row r="118" spans="2:26" ht="33.6" customHeight="1">
      <c r="B118" s="74" t="s">
        <v>259</v>
      </c>
      <c r="C118" s="75" t="s">
        <v>260</v>
      </c>
      <c r="D118" s="76" t="s">
        <v>13</v>
      </c>
      <c r="E118" s="77">
        <v>24</v>
      </c>
      <c r="V118">
        <v>1</v>
      </c>
    </row>
    <row r="119" spans="2:26" ht="33.6" customHeight="1">
      <c r="B119" s="74" t="s">
        <v>261</v>
      </c>
      <c r="C119" s="75" t="s">
        <v>262</v>
      </c>
      <c r="D119" s="76" t="s">
        <v>13</v>
      </c>
      <c r="E119" s="77">
        <v>760</v>
      </c>
      <c r="V119">
        <v>80</v>
      </c>
    </row>
    <row r="120" spans="2:26" ht="33.6" customHeight="1">
      <c r="B120" s="74" t="s">
        <v>263</v>
      </c>
      <c r="C120" s="75" t="s">
        <v>264</v>
      </c>
      <c r="D120" s="76" t="s">
        <v>15</v>
      </c>
      <c r="E120" s="77">
        <v>760</v>
      </c>
      <c r="V120">
        <v>254</v>
      </c>
    </row>
    <row r="121" spans="2:26" ht="33.6" customHeight="1">
      <c r="B121" s="74" t="s">
        <v>265</v>
      </c>
      <c r="C121" s="75" t="s">
        <v>266</v>
      </c>
      <c r="D121" s="76" t="s">
        <v>13</v>
      </c>
      <c r="E121" s="77">
        <v>32</v>
      </c>
      <c r="V121">
        <v>20</v>
      </c>
    </row>
    <row r="122" spans="2:26" ht="33.6" customHeight="1">
      <c r="B122" s="74" t="s">
        <v>101</v>
      </c>
      <c r="C122" s="73" t="s">
        <v>17</v>
      </c>
      <c r="D122" s="76"/>
      <c r="E122" s="77"/>
    </row>
    <row r="123" spans="2:26" ht="33.6" customHeight="1">
      <c r="B123" s="74" t="s">
        <v>267</v>
      </c>
      <c r="C123" s="75" t="s">
        <v>103</v>
      </c>
      <c r="D123" s="76" t="s">
        <v>26</v>
      </c>
      <c r="E123" s="77">
        <v>100</v>
      </c>
      <c r="V123">
        <f t="shared" si="1"/>
        <v>0</v>
      </c>
    </row>
    <row r="124" spans="2:26" ht="33.6" customHeight="1">
      <c r="B124" s="74"/>
      <c r="C124" s="168" t="s">
        <v>278</v>
      </c>
      <c r="D124" s="169"/>
      <c r="E124" s="170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</row>
    <row r="125" spans="2:26" ht="33.6" customHeight="1">
      <c r="B125" s="74"/>
      <c r="C125" s="171"/>
      <c r="D125" s="169"/>
      <c r="E125" s="170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</row>
    <row r="126" spans="2:26">
      <c r="C126" s="155" t="s">
        <v>1350</v>
      </c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 t="s">
        <v>14</v>
      </c>
      <c r="V126" s="46">
        <v>1</v>
      </c>
      <c r="W126" s="46"/>
    </row>
    <row r="127" spans="2:26">
      <c r="C127" s="155" t="s">
        <v>1348</v>
      </c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 t="s">
        <v>14</v>
      </c>
      <c r="V127" s="46">
        <v>1</v>
      </c>
      <c r="W127" s="46"/>
    </row>
    <row r="128" spans="2:26">
      <c r="C128" s="155" t="s">
        <v>1349</v>
      </c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 t="s">
        <v>14</v>
      </c>
      <c r="V128" s="46">
        <v>1</v>
      </c>
      <c r="W128" s="46"/>
    </row>
    <row r="129" spans="3:23">
      <c r="C129" s="155" t="s">
        <v>1347</v>
      </c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 t="s">
        <v>14</v>
      </c>
      <c r="V129" s="46">
        <v>1</v>
      </c>
      <c r="W129" s="46"/>
    </row>
    <row r="130" spans="3:23">
      <c r="C130" s="155" t="s">
        <v>1351</v>
      </c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 t="s">
        <v>14</v>
      </c>
      <c r="V130" s="46">
        <v>1</v>
      </c>
      <c r="W130" s="46"/>
    </row>
  </sheetData>
  <mergeCells count="1">
    <mergeCell ref="A1:B1"/>
  </mergeCells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7A8F7-08A8-4D78-91B3-B896F543F925}">
  <dimension ref="A2:S111"/>
  <sheetViews>
    <sheetView workbookViewId="0">
      <selection activeCell="S29" sqref="S29"/>
    </sheetView>
  </sheetViews>
  <sheetFormatPr defaultRowHeight="13.2"/>
  <cols>
    <col min="1" max="1" width="6.33203125" customWidth="1"/>
    <col min="2" max="2" width="0.88671875" customWidth="1"/>
    <col min="3" max="4" width="3.21875" customWidth="1"/>
    <col min="5" max="5" width="13.33203125" customWidth="1"/>
    <col min="6" max="6" width="39.44140625" customWidth="1"/>
    <col min="7" max="7" width="5.77734375" customWidth="1"/>
    <col min="8" max="8" width="10.88671875" hidden="1" customWidth="1"/>
    <col min="9" max="9" width="12.21875" hidden="1" customWidth="1"/>
    <col min="10" max="10" width="17.21875" hidden="1" customWidth="1"/>
    <col min="11" max="13" width="0" hidden="1" customWidth="1"/>
  </cols>
  <sheetData>
    <row r="2" spans="1:19">
      <c r="F2" t="s">
        <v>1352</v>
      </c>
    </row>
    <row r="4" spans="1:19">
      <c r="A4" s="15"/>
      <c r="B4" s="90"/>
      <c r="C4" s="91"/>
      <c r="D4" s="92"/>
      <c r="E4" s="92"/>
      <c r="F4" s="92"/>
      <c r="G4" s="92"/>
      <c r="H4" s="92"/>
      <c r="I4" s="92"/>
      <c r="J4" s="93"/>
      <c r="L4" s="79" t="s">
        <v>10</v>
      </c>
      <c r="N4" s="79" t="s">
        <v>10</v>
      </c>
      <c r="O4" t="s">
        <v>268</v>
      </c>
      <c r="P4" t="s">
        <v>269</v>
      </c>
      <c r="Q4" t="s">
        <v>270</v>
      </c>
      <c r="R4" t="s">
        <v>271</v>
      </c>
      <c r="S4" t="s">
        <v>276</v>
      </c>
    </row>
    <row r="5" spans="1:19" ht="15.6">
      <c r="A5" s="84"/>
      <c r="B5" s="85"/>
      <c r="C5" s="94" t="s">
        <v>287</v>
      </c>
      <c r="D5" s="84"/>
      <c r="E5" s="84"/>
      <c r="F5" s="84"/>
      <c r="G5" s="84"/>
      <c r="H5" s="84"/>
      <c r="I5" s="84"/>
      <c r="J5" s="95">
        <f>BK5</f>
        <v>0</v>
      </c>
    </row>
    <row r="6" spans="1:19" ht="15">
      <c r="A6" s="96"/>
      <c r="B6" s="97"/>
      <c r="C6" s="96"/>
      <c r="D6" s="98" t="s">
        <v>288</v>
      </c>
      <c r="E6" s="99" t="s">
        <v>662</v>
      </c>
      <c r="F6" s="99" t="s">
        <v>663</v>
      </c>
      <c r="G6" s="96"/>
      <c r="H6" s="96"/>
      <c r="I6" s="100"/>
      <c r="J6" s="101">
        <f>BK6</f>
        <v>0</v>
      </c>
    </row>
    <row r="7" spans="1:19">
      <c r="A7" s="96"/>
      <c r="B7" s="97"/>
      <c r="C7" s="96"/>
      <c r="D7" s="98" t="s">
        <v>288</v>
      </c>
      <c r="E7" s="102" t="s">
        <v>664</v>
      </c>
      <c r="F7" s="102" t="s">
        <v>665</v>
      </c>
      <c r="G7" s="96"/>
      <c r="H7" s="96"/>
      <c r="I7" s="100"/>
      <c r="J7" s="103">
        <f>BK7</f>
        <v>0</v>
      </c>
    </row>
    <row r="8" spans="1:19" ht="22.8">
      <c r="A8" s="84"/>
      <c r="B8" s="85"/>
      <c r="C8" s="104" t="s">
        <v>293</v>
      </c>
      <c r="D8" s="104" t="s">
        <v>294</v>
      </c>
      <c r="E8" s="105" t="s">
        <v>666</v>
      </c>
      <c r="F8" s="106" t="s">
        <v>667</v>
      </c>
      <c r="G8" s="107" t="s">
        <v>14</v>
      </c>
      <c r="H8" s="108"/>
      <c r="I8" s="109"/>
      <c r="J8" s="110">
        <f t="shared" ref="J8:J26" si="0">ROUND(I8*H8,2)</f>
        <v>0</v>
      </c>
      <c r="N8">
        <f>SUM(O8:S8)</f>
        <v>11</v>
      </c>
      <c r="P8">
        <v>4</v>
      </c>
      <c r="Q8">
        <v>4</v>
      </c>
      <c r="R8">
        <v>3</v>
      </c>
    </row>
    <row r="9" spans="1:19" ht="34.200000000000003">
      <c r="A9" s="84"/>
      <c r="B9" s="85"/>
      <c r="C9" s="104" t="s">
        <v>297</v>
      </c>
      <c r="D9" s="104" t="s">
        <v>294</v>
      </c>
      <c r="E9" s="105" t="s">
        <v>668</v>
      </c>
      <c r="F9" s="106" t="s">
        <v>669</v>
      </c>
      <c r="G9" s="107" t="s">
        <v>14</v>
      </c>
      <c r="H9" s="108"/>
      <c r="I9" s="109"/>
      <c r="J9" s="110">
        <f t="shared" si="0"/>
        <v>0</v>
      </c>
      <c r="N9">
        <f t="shared" ref="N9:N72" si="1">SUM(O9:S9)</f>
        <v>13</v>
      </c>
      <c r="O9">
        <v>2</v>
      </c>
      <c r="P9">
        <v>4</v>
      </c>
      <c r="Q9">
        <v>4</v>
      </c>
      <c r="R9">
        <v>3</v>
      </c>
    </row>
    <row r="10" spans="1:19" ht="34.200000000000003">
      <c r="A10" s="84"/>
      <c r="B10" s="85"/>
      <c r="C10" s="104" t="s">
        <v>302</v>
      </c>
      <c r="D10" s="104" t="s">
        <v>294</v>
      </c>
      <c r="E10" s="105" t="s">
        <v>670</v>
      </c>
      <c r="F10" s="106" t="s">
        <v>671</v>
      </c>
      <c r="G10" s="107" t="s">
        <v>14</v>
      </c>
      <c r="H10" s="108"/>
      <c r="I10" s="109"/>
      <c r="J10" s="110">
        <f t="shared" si="0"/>
        <v>0</v>
      </c>
      <c r="N10">
        <f t="shared" si="1"/>
        <v>5</v>
      </c>
      <c r="P10">
        <v>1</v>
      </c>
      <c r="Q10">
        <v>2</v>
      </c>
      <c r="R10">
        <v>2</v>
      </c>
    </row>
    <row r="11" spans="1:19" ht="45.6">
      <c r="A11" s="84"/>
      <c r="B11" s="85"/>
      <c r="C11" s="104" t="s">
        <v>305</v>
      </c>
      <c r="D11" s="104" t="s">
        <v>294</v>
      </c>
      <c r="E11" s="105" t="s">
        <v>672</v>
      </c>
      <c r="F11" s="106" t="s">
        <v>673</v>
      </c>
      <c r="G11" s="107" t="s">
        <v>14</v>
      </c>
      <c r="H11" s="108"/>
      <c r="I11" s="109"/>
      <c r="J11" s="110">
        <f t="shared" si="0"/>
        <v>0</v>
      </c>
      <c r="N11">
        <f t="shared" si="1"/>
        <v>16</v>
      </c>
      <c r="P11">
        <v>5</v>
      </c>
      <c r="Q11">
        <v>6</v>
      </c>
      <c r="R11">
        <v>5</v>
      </c>
    </row>
    <row r="12" spans="1:19" ht="45.6">
      <c r="A12" s="84"/>
      <c r="B12" s="85"/>
      <c r="C12" s="104" t="s">
        <v>308</v>
      </c>
      <c r="D12" s="104" t="s">
        <v>294</v>
      </c>
      <c r="E12" s="105" t="s">
        <v>674</v>
      </c>
      <c r="F12" s="106" t="s">
        <v>675</v>
      </c>
      <c r="G12" s="107" t="s">
        <v>14</v>
      </c>
      <c r="H12" s="108"/>
      <c r="I12" s="109"/>
      <c r="J12" s="110">
        <f t="shared" si="0"/>
        <v>0</v>
      </c>
      <c r="N12">
        <f t="shared" si="1"/>
        <v>9</v>
      </c>
      <c r="P12">
        <v>4</v>
      </c>
      <c r="Q12">
        <v>4</v>
      </c>
      <c r="R12">
        <v>1</v>
      </c>
    </row>
    <row r="13" spans="1:19" ht="45.6">
      <c r="A13" s="84"/>
      <c r="B13" s="85"/>
      <c r="C13" s="104" t="s">
        <v>311</v>
      </c>
      <c r="D13" s="104" t="s">
        <v>294</v>
      </c>
      <c r="E13" s="105" t="s">
        <v>676</v>
      </c>
      <c r="F13" s="106" t="s">
        <v>677</v>
      </c>
      <c r="G13" s="107" t="s">
        <v>14</v>
      </c>
      <c r="H13" s="108"/>
      <c r="I13" s="109"/>
      <c r="J13" s="110">
        <f t="shared" si="0"/>
        <v>0</v>
      </c>
      <c r="N13">
        <f t="shared" si="1"/>
        <v>2</v>
      </c>
      <c r="R13">
        <v>2</v>
      </c>
    </row>
    <row r="14" spans="1:19" ht="45.6">
      <c r="A14" s="84"/>
      <c r="B14" s="85"/>
      <c r="C14" s="104" t="s">
        <v>34</v>
      </c>
      <c r="D14" s="104" t="s">
        <v>294</v>
      </c>
      <c r="E14" s="105" t="s">
        <v>678</v>
      </c>
      <c r="F14" s="106" t="s">
        <v>679</v>
      </c>
      <c r="G14" s="107" t="s">
        <v>14</v>
      </c>
      <c r="H14" s="108"/>
      <c r="I14" s="109"/>
      <c r="J14" s="110">
        <f t="shared" si="0"/>
        <v>0</v>
      </c>
      <c r="N14">
        <f t="shared" si="1"/>
        <v>0</v>
      </c>
    </row>
    <row r="15" spans="1:19" ht="57">
      <c r="A15" s="84"/>
      <c r="B15" s="85"/>
      <c r="C15" s="104" t="s">
        <v>316</v>
      </c>
      <c r="D15" s="104" t="s">
        <v>294</v>
      </c>
      <c r="E15" s="105" t="s">
        <v>680</v>
      </c>
      <c r="F15" s="106" t="s">
        <v>681</v>
      </c>
      <c r="G15" s="107" t="s">
        <v>14</v>
      </c>
      <c r="H15" s="108"/>
      <c r="I15" s="109"/>
      <c r="J15" s="110">
        <f t="shared" si="0"/>
        <v>0</v>
      </c>
      <c r="N15">
        <f t="shared" si="1"/>
        <v>0</v>
      </c>
    </row>
    <row r="16" spans="1:19" ht="57">
      <c r="A16" s="84"/>
      <c r="B16" s="85"/>
      <c r="C16" s="104" t="s">
        <v>319</v>
      </c>
      <c r="D16" s="104" t="s">
        <v>294</v>
      </c>
      <c r="E16" s="105" t="s">
        <v>682</v>
      </c>
      <c r="F16" s="106" t="s">
        <v>683</v>
      </c>
      <c r="G16" s="107" t="s">
        <v>14</v>
      </c>
      <c r="H16" s="108"/>
      <c r="I16" s="109"/>
      <c r="J16" s="110">
        <f t="shared" si="0"/>
        <v>0</v>
      </c>
      <c r="N16">
        <f t="shared" si="1"/>
        <v>2</v>
      </c>
      <c r="R16">
        <v>2</v>
      </c>
    </row>
    <row r="17" spans="1:18" ht="57">
      <c r="A17" s="84"/>
      <c r="B17" s="85"/>
      <c r="C17" s="104" t="s">
        <v>322</v>
      </c>
      <c r="D17" s="104" t="s">
        <v>294</v>
      </c>
      <c r="E17" s="105" t="s">
        <v>684</v>
      </c>
      <c r="F17" s="106" t="s">
        <v>685</v>
      </c>
      <c r="G17" s="107" t="s">
        <v>14</v>
      </c>
      <c r="H17" s="108"/>
      <c r="I17" s="109"/>
      <c r="J17" s="110">
        <f t="shared" si="0"/>
        <v>0</v>
      </c>
      <c r="N17">
        <f t="shared" si="1"/>
        <v>3</v>
      </c>
      <c r="P17">
        <v>1</v>
      </c>
      <c r="Q17">
        <v>2</v>
      </c>
    </row>
    <row r="18" spans="1:18" ht="57">
      <c r="A18" s="84"/>
      <c r="B18" s="85"/>
      <c r="C18" s="104" t="s">
        <v>325</v>
      </c>
      <c r="D18" s="104" t="s">
        <v>294</v>
      </c>
      <c r="E18" s="105" t="s">
        <v>686</v>
      </c>
      <c r="F18" s="106" t="s">
        <v>687</v>
      </c>
      <c r="G18" s="107" t="s">
        <v>14</v>
      </c>
      <c r="H18" s="108"/>
      <c r="I18" s="109"/>
      <c r="J18" s="110">
        <f t="shared" si="0"/>
        <v>0</v>
      </c>
      <c r="N18">
        <f t="shared" si="1"/>
        <v>0</v>
      </c>
    </row>
    <row r="19" spans="1:18" ht="57">
      <c r="A19" s="84"/>
      <c r="B19" s="85"/>
      <c r="C19" s="104" t="s">
        <v>328</v>
      </c>
      <c r="D19" s="104" t="s">
        <v>294</v>
      </c>
      <c r="E19" s="105" t="s">
        <v>688</v>
      </c>
      <c r="F19" s="106" t="s">
        <v>689</v>
      </c>
      <c r="G19" s="107" t="s">
        <v>14</v>
      </c>
      <c r="H19" s="108"/>
      <c r="I19" s="109"/>
      <c r="J19" s="110">
        <f t="shared" si="0"/>
        <v>0</v>
      </c>
      <c r="N19">
        <f t="shared" si="1"/>
        <v>0</v>
      </c>
    </row>
    <row r="20" spans="1:18" ht="57">
      <c r="A20" s="84"/>
      <c r="B20" s="85"/>
      <c r="C20" s="104" t="s">
        <v>329</v>
      </c>
      <c r="D20" s="104" t="s">
        <v>294</v>
      </c>
      <c r="E20" s="105" t="s">
        <v>690</v>
      </c>
      <c r="F20" s="106" t="s">
        <v>691</v>
      </c>
      <c r="G20" s="107" t="s">
        <v>14</v>
      </c>
      <c r="H20" s="108"/>
      <c r="I20" s="109"/>
      <c r="J20" s="110">
        <f t="shared" si="0"/>
        <v>0</v>
      </c>
      <c r="N20">
        <f t="shared" si="1"/>
        <v>0</v>
      </c>
    </row>
    <row r="21" spans="1:18">
      <c r="A21" s="84"/>
      <c r="B21" s="85"/>
      <c r="C21" s="104" t="s">
        <v>332</v>
      </c>
      <c r="D21" s="104" t="s">
        <v>294</v>
      </c>
      <c r="E21" s="105" t="s">
        <v>692</v>
      </c>
      <c r="F21" s="106" t="s">
        <v>693</v>
      </c>
      <c r="G21" s="107" t="s">
        <v>14</v>
      </c>
      <c r="H21" s="108"/>
      <c r="I21" s="109"/>
      <c r="J21" s="110">
        <f t="shared" si="0"/>
        <v>0</v>
      </c>
      <c r="N21">
        <f t="shared" si="1"/>
        <v>2</v>
      </c>
      <c r="O21">
        <v>2</v>
      </c>
    </row>
    <row r="22" spans="1:18">
      <c r="A22" s="84"/>
      <c r="B22" s="85"/>
      <c r="C22" s="104" t="s">
        <v>335</v>
      </c>
      <c r="D22" s="104" t="s">
        <v>294</v>
      </c>
      <c r="E22" s="105" t="s">
        <v>694</v>
      </c>
      <c r="F22" s="106" t="s">
        <v>695</v>
      </c>
      <c r="G22" s="107" t="s">
        <v>14</v>
      </c>
      <c r="H22" s="108"/>
      <c r="I22" s="109"/>
      <c r="J22" s="110">
        <f t="shared" si="0"/>
        <v>0</v>
      </c>
      <c r="N22">
        <v>2</v>
      </c>
      <c r="O22" s="46"/>
    </row>
    <row r="23" spans="1:18">
      <c r="A23" s="84"/>
      <c r="B23" s="85"/>
      <c r="C23" s="104" t="s">
        <v>338</v>
      </c>
      <c r="D23" s="104" t="s">
        <v>294</v>
      </c>
      <c r="E23" s="105" t="s">
        <v>696</v>
      </c>
      <c r="F23" s="106" t="s">
        <v>697</v>
      </c>
      <c r="G23" s="107" t="s">
        <v>14</v>
      </c>
      <c r="H23" s="108"/>
      <c r="I23" s="109"/>
      <c r="J23" s="110">
        <f t="shared" si="0"/>
        <v>0</v>
      </c>
      <c r="N23">
        <f t="shared" si="1"/>
        <v>2</v>
      </c>
      <c r="O23" s="46">
        <v>2</v>
      </c>
    </row>
    <row r="24" spans="1:18" ht="22.8">
      <c r="A24" s="84"/>
      <c r="B24" s="85"/>
      <c r="C24" s="104" t="s">
        <v>339</v>
      </c>
      <c r="D24" s="104" t="s">
        <v>294</v>
      </c>
      <c r="E24" s="105" t="s">
        <v>698</v>
      </c>
      <c r="F24" s="106" t="s">
        <v>699</v>
      </c>
      <c r="G24" s="107" t="s">
        <v>14</v>
      </c>
      <c r="H24" s="108"/>
      <c r="I24" s="109"/>
      <c r="J24" s="110">
        <f t="shared" si="0"/>
        <v>0</v>
      </c>
      <c r="N24">
        <f t="shared" si="1"/>
        <v>11</v>
      </c>
      <c r="P24">
        <v>4</v>
      </c>
      <c r="Q24">
        <v>4</v>
      </c>
      <c r="R24">
        <v>3</v>
      </c>
    </row>
    <row r="25" spans="1:18" ht="22.8">
      <c r="A25" s="84"/>
      <c r="B25" s="85"/>
      <c r="C25" s="104" t="s">
        <v>342</v>
      </c>
      <c r="D25" s="104" t="s">
        <v>294</v>
      </c>
      <c r="E25" s="105" t="s">
        <v>700</v>
      </c>
      <c r="F25" s="106" t="s">
        <v>701</v>
      </c>
      <c r="G25" s="107" t="s">
        <v>14</v>
      </c>
      <c r="H25" s="108"/>
      <c r="I25" s="109"/>
      <c r="J25" s="110">
        <f t="shared" si="0"/>
        <v>0</v>
      </c>
      <c r="N25">
        <f t="shared" si="1"/>
        <v>11</v>
      </c>
      <c r="P25">
        <v>4</v>
      </c>
      <c r="Q25">
        <v>4</v>
      </c>
      <c r="R25">
        <v>3</v>
      </c>
    </row>
    <row r="26" spans="1:18">
      <c r="A26" s="84"/>
      <c r="B26" s="85"/>
      <c r="C26" s="104" t="s">
        <v>345</v>
      </c>
      <c r="D26" s="104" t="s">
        <v>294</v>
      </c>
      <c r="E26" s="105" t="s">
        <v>702</v>
      </c>
      <c r="F26" s="106" t="s">
        <v>703</v>
      </c>
      <c r="G26" s="107" t="s">
        <v>14</v>
      </c>
      <c r="H26" s="108"/>
      <c r="I26" s="109"/>
      <c r="J26" s="110">
        <f t="shared" si="0"/>
        <v>0</v>
      </c>
      <c r="N26">
        <v>4</v>
      </c>
    </row>
    <row r="27" spans="1:18">
      <c r="A27" s="96"/>
      <c r="B27" s="97"/>
      <c r="C27" s="96"/>
      <c r="D27" s="98" t="s">
        <v>288</v>
      </c>
      <c r="E27" s="102" t="s">
        <v>90</v>
      </c>
      <c r="F27" s="102" t="s">
        <v>704</v>
      </c>
      <c r="G27" s="96"/>
      <c r="H27" s="96"/>
      <c r="I27" s="100"/>
      <c r="J27" s="103">
        <f>BK27</f>
        <v>0</v>
      </c>
      <c r="N27">
        <f t="shared" si="1"/>
        <v>0</v>
      </c>
    </row>
    <row r="28" spans="1:18">
      <c r="A28" s="84"/>
      <c r="B28" s="85"/>
      <c r="C28" s="104" t="s">
        <v>348</v>
      </c>
      <c r="D28" s="104" t="s">
        <v>294</v>
      </c>
      <c r="E28" s="105" t="s">
        <v>705</v>
      </c>
      <c r="F28" s="106" t="s">
        <v>706</v>
      </c>
      <c r="G28" s="107" t="s">
        <v>14</v>
      </c>
      <c r="H28" s="108"/>
      <c r="I28" s="109"/>
      <c r="J28" s="110">
        <f>ROUND(I28*H28,2)</f>
        <v>0</v>
      </c>
      <c r="N28">
        <f t="shared" si="1"/>
        <v>0</v>
      </c>
    </row>
    <row r="29" spans="1:18" ht="96">
      <c r="A29" s="84"/>
      <c r="B29" s="85"/>
      <c r="C29" s="84"/>
      <c r="D29" s="125" t="s">
        <v>707</v>
      </c>
      <c r="E29" s="84"/>
      <c r="F29" s="126" t="s">
        <v>708</v>
      </c>
      <c r="G29" s="84"/>
      <c r="H29" s="84"/>
      <c r="I29" s="127"/>
      <c r="J29" s="84"/>
      <c r="N29">
        <f t="shared" si="1"/>
        <v>0</v>
      </c>
    </row>
    <row r="30" spans="1:18">
      <c r="A30" s="84"/>
      <c r="B30" s="85"/>
      <c r="C30" s="104" t="s">
        <v>351</v>
      </c>
      <c r="D30" s="104" t="s">
        <v>294</v>
      </c>
      <c r="E30" s="105" t="s">
        <v>709</v>
      </c>
      <c r="F30" s="106" t="s">
        <v>710</v>
      </c>
      <c r="G30" s="107" t="s">
        <v>14</v>
      </c>
      <c r="H30" s="108"/>
      <c r="I30" s="109"/>
      <c r="J30" s="110">
        <f>ROUND(I30*H30,2)</f>
        <v>0</v>
      </c>
      <c r="N30">
        <f t="shared" si="1"/>
        <v>0</v>
      </c>
    </row>
    <row r="31" spans="1:18" ht="96">
      <c r="A31" s="84"/>
      <c r="B31" s="85"/>
      <c r="C31" s="84"/>
      <c r="D31" s="125" t="s">
        <v>707</v>
      </c>
      <c r="E31" s="84"/>
      <c r="F31" s="126" t="s">
        <v>708</v>
      </c>
      <c r="G31" s="84"/>
      <c r="H31" s="84"/>
      <c r="I31" s="127"/>
      <c r="J31" s="84"/>
      <c r="N31">
        <f t="shared" si="1"/>
        <v>0</v>
      </c>
    </row>
    <row r="32" spans="1:18">
      <c r="A32" s="84"/>
      <c r="B32" s="85"/>
      <c r="C32" s="104" t="s">
        <v>354</v>
      </c>
      <c r="D32" s="104" t="s">
        <v>294</v>
      </c>
      <c r="E32" s="105" t="s">
        <v>711</v>
      </c>
      <c r="F32" s="106" t="s">
        <v>712</v>
      </c>
      <c r="G32" s="107" t="s">
        <v>14</v>
      </c>
      <c r="H32" s="108"/>
      <c r="I32" s="109"/>
      <c r="J32" s="110">
        <f>ROUND(I32*H32,2)</f>
        <v>0</v>
      </c>
      <c r="N32">
        <f t="shared" si="1"/>
        <v>0</v>
      </c>
    </row>
    <row r="33" spans="1:15" ht="105.6">
      <c r="A33" s="84"/>
      <c r="B33" s="85"/>
      <c r="C33" s="84"/>
      <c r="D33" s="125" t="s">
        <v>707</v>
      </c>
      <c r="E33" s="84"/>
      <c r="F33" s="126" t="s">
        <v>713</v>
      </c>
      <c r="G33" s="84"/>
      <c r="H33" s="84"/>
      <c r="I33" s="127"/>
      <c r="J33" s="84"/>
      <c r="N33">
        <f t="shared" si="1"/>
        <v>0</v>
      </c>
    </row>
    <row r="34" spans="1:15">
      <c r="A34" s="84"/>
      <c r="B34" s="85"/>
      <c r="C34" s="104" t="s">
        <v>714</v>
      </c>
      <c r="D34" s="104" t="s">
        <v>294</v>
      </c>
      <c r="E34" s="105" t="s">
        <v>715</v>
      </c>
      <c r="F34" s="106" t="s">
        <v>716</v>
      </c>
      <c r="G34" s="107" t="s">
        <v>14</v>
      </c>
      <c r="H34" s="108"/>
      <c r="I34" s="109"/>
      <c r="J34" s="110">
        <f>ROUND(I34*H34,2)</f>
        <v>0</v>
      </c>
      <c r="N34">
        <v>1</v>
      </c>
    </row>
    <row r="35" spans="1:15" ht="105.6">
      <c r="A35" s="84"/>
      <c r="B35" s="85"/>
      <c r="C35" s="84"/>
      <c r="D35" s="125" t="s">
        <v>707</v>
      </c>
      <c r="E35" s="84"/>
      <c r="F35" s="126" t="s">
        <v>717</v>
      </c>
      <c r="G35" s="84"/>
      <c r="H35" s="84"/>
      <c r="I35" s="127"/>
      <c r="J35" s="84"/>
      <c r="N35">
        <f t="shared" si="1"/>
        <v>0</v>
      </c>
    </row>
    <row r="36" spans="1:15">
      <c r="A36" s="84"/>
      <c r="B36" s="85"/>
      <c r="C36" s="104" t="s">
        <v>718</v>
      </c>
      <c r="D36" s="104" t="s">
        <v>294</v>
      </c>
      <c r="E36" s="105" t="s">
        <v>719</v>
      </c>
      <c r="F36" s="106" t="s">
        <v>17</v>
      </c>
      <c r="G36" s="107" t="s">
        <v>14</v>
      </c>
      <c r="H36" s="108"/>
      <c r="I36" s="109"/>
      <c r="J36" s="110">
        <f>ROUND(I36*H36,2)</f>
        <v>0</v>
      </c>
      <c r="N36">
        <f t="shared" si="1"/>
        <v>0</v>
      </c>
    </row>
    <row r="37" spans="1:15" ht="57.6">
      <c r="A37" s="84"/>
      <c r="B37" s="85"/>
      <c r="C37" s="84"/>
      <c r="D37" s="125" t="s">
        <v>707</v>
      </c>
      <c r="E37" s="84"/>
      <c r="F37" s="126" t="s">
        <v>720</v>
      </c>
      <c r="G37" s="84"/>
      <c r="H37" s="84"/>
      <c r="I37" s="127"/>
      <c r="J37" s="84"/>
      <c r="N37">
        <f t="shared" si="1"/>
        <v>0</v>
      </c>
    </row>
    <row r="38" spans="1:15">
      <c r="A38" s="96"/>
      <c r="B38" s="97"/>
      <c r="C38" s="96"/>
      <c r="D38" s="98" t="s">
        <v>288</v>
      </c>
      <c r="E38" s="102" t="s">
        <v>108</v>
      </c>
      <c r="F38" s="102" t="s">
        <v>29</v>
      </c>
      <c r="G38" s="96"/>
      <c r="H38" s="96"/>
      <c r="I38" s="100"/>
      <c r="J38" s="103">
        <f>BK38</f>
        <v>0</v>
      </c>
      <c r="N38">
        <f t="shared" si="1"/>
        <v>0</v>
      </c>
    </row>
    <row r="39" spans="1:15" ht="57">
      <c r="A39" s="84"/>
      <c r="B39" s="85"/>
      <c r="C39" s="104" t="s">
        <v>721</v>
      </c>
      <c r="D39" s="104" t="s">
        <v>294</v>
      </c>
      <c r="E39" s="105" t="s">
        <v>188</v>
      </c>
      <c r="F39" s="106" t="s">
        <v>722</v>
      </c>
      <c r="G39" s="107" t="s">
        <v>15</v>
      </c>
      <c r="H39" s="108"/>
      <c r="I39" s="109"/>
      <c r="J39" s="110">
        <f t="shared" ref="J39:J101" si="2">ROUND(I39*H39,2)</f>
        <v>0</v>
      </c>
      <c r="N39">
        <v>260</v>
      </c>
    </row>
    <row r="40" spans="1:15" ht="57">
      <c r="A40" s="84"/>
      <c r="B40" s="85"/>
      <c r="C40" s="104" t="s">
        <v>723</v>
      </c>
      <c r="D40" s="104" t="s">
        <v>294</v>
      </c>
      <c r="E40" s="105" t="s">
        <v>192</v>
      </c>
      <c r="F40" s="106" t="s">
        <v>724</v>
      </c>
      <c r="G40" s="107" t="s">
        <v>15</v>
      </c>
      <c r="H40" s="108"/>
      <c r="I40" s="109"/>
      <c r="J40" s="110">
        <f t="shared" si="2"/>
        <v>0</v>
      </c>
      <c r="N40">
        <v>150</v>
      </c>
    </row>
    <row r="41" spans="1:15" ht="57">
      <c r="A41" s="84"/>
      <c r="B41" s="85"/>
      <c r="C41" s="104" t="s">
        <v>725</v>
      </c>
      <c r="D41" s="104" t="s">
        <v>294</v>
      </c>
      <c r="E41" s="105" t="s">
        <v>193</v>
      </c>
      <c r="F41" s="106" t="s">
        <v>726</v>
      </c>
      <c r="G41" s="107" t="s">
        <v>15</v>
      </c>
      <c r="H41" s="108"/>
      <c r="I41" s="109"/>
      <c r="J41" s="110">
        <f t="shared" si="2"/>
        <v>0</v>
      </c>
      <c r="N41">
        <v>180</v>
      </c>
    </row>
    <row r="42" spans="1:15" ht="57">
      <c r="A42" s="84"/>
      <c r="B42" s="85"/>
      <c r="C42" s="104" t="s">
        <v>727</v>
      </c>
      <c r="D42" s="104" t="s">
        <v>294</v>
      </c>
      <c r="E42" s="105" t="s">
        <v>195</v>
      </c>
      <c r="F42" s="106" t="s">
        <v>728</v>
      </c>
      <c r="G42" s="107" t="s">
        <v>15</v>
      </c>
      <c r="H42" s="108"/>
      <c r="I42" s="109"/>
      <c r="J42" s="110">
        <f t="shared" si="2"/>
        <v>0</v>
      </c>
      <c r="N42">
        <v>200</v>
      </c>
    </row>
    <row r="43" spans="1:15" ht="57">
      <c r="A43" s="84"/>
      <c r="B43" s="85"/>
      <c r="C43" s="104" t="s">
        <v>729</v>
      </c>
      <c r="D43" s="104" t="s">
        <v>294</v>
      </c>
      <c r="E43" s="105" t="s">
        <v>196</v>
      </c>
      <c r="F43" s="106" t="s">
        <v>730</v>
      </c>
      <c r="G43" s="107" t="s">
        <v>15</v>
      </c>
      <c r="H43" s="108"/>
      <c r="I43" s="109"/>
      <c r="J43" s="110">
        <f t="shared" si="2"/>
        <v>0</v>
      </c>
      <c r="N43">
        <v>145</v>
      </c>
    </row>
    <row r="44" spans="1:15" ht="57">
      <c r="A44" s="84"/>
      <c r="B44" s="85"/>
      <c r="C44" s="104" t="s">
        <v>731</v>
      </c>
      <c r="D44" s="104" t="s">
        <v>294</v>
      </c>
      <c r="E44" s="105" t="s">
        <v>197</v>
      </c>
      <c r="F44" s="106" t="s">
        <v>732</v>
      </c>
      <c r="G44" s="107" t="s">
        <v>15</v>
      </c>
      <c r="H44" s="108"/>
      <c r="I44" s="109"/>
      <c r="J44" s="110">
        <f t="shared" si="2"/>
        <v>0</v>
      </c>
      <c r="N44">
        <v>95</v>
      </c>
    </row>
    <row r="45" spans="1:15">
      <c r="A45" s="84"/>
      <c r="B45" s="85"/>
      <c r="C45" s="104" t="s">
        <v>733</v>
      </c>
      <c r="D45" s="104" t="s">
        <v>294</v>
      </c>
      <c r="E45" s="105" t="s">
        <v>200</v>
      </c>
      <c r="F45" s="106" t="s">
        <v>734</v>
      </c>
      <c r="G45" s="107" t="s">
        <v>15</v>
      </c>
      <c r="H45" s="108"/>
      <c r="I45" s="109"/>
      <c r="J45" s="110">
        <f t="shared" si="2"/>
        <v>0</v>
      </c>
      <c r="N45">
        <f t="shared" si="1"/>
        <v>0</v>
      </c>
    </row>
    <row r="46" spans="1:15">
      <c r="A46" s="84"/>
      <c r="B46" s="85"/>
      <c r="C46" s="104" t="s">
        <v>735</v>
      </c>
      <c r="D46" s="104" t="s">
        <v>294</v>
      </c>
      <c r="E46" s="105" t="s">
        <v>202</v>
      </c>
      <c r="F46" s="106" t="s">
        <v>736</v>
      </c>
      <c r="G46" s="107" t="s">
        <v>15</v>
      </c>
      <c r="H46" s="108"/>
      <c r="I46" s="109"/>
      <c r="J46" s="110">
        <f t="shared" si="2"/>
        <v>0</v>
      </c>
      <c r="N46">
        <f t="shared" si="1"/>
        <v>0</v>
      </c>
    </row>
    <row r="47" spans="1:15">
      <c r="A47" s="84"/>
      <c r="B47" s="85"/>
      <c r="C47" s="104" t="s">
        <v>737</v>
      </c>
      <c r="D47" s="104" t="s">
        <v>294</v>
      </c>
      <c r="E47" s="105" t="s">
        <v>204</v>
      </c>
      <c r="F47" s="106" t="s">
        <v>738</v>
      </c>
      <c r="G47" s="107" t="s">
        <v>15</v>
      </c>
      <c r="H47" s="108"/>
      <c r="I47" s="109"/>
      <c r="J47" s="110">
        <f t="shared" si="2"/>
        <v>0</v>
      </c>
      <c r="N47">
        <f t="shared" si="1"/>
        <v>0</v>
      </c>
    </row>
    <row r="48" spans="1:15">
      <c r="A48" s="84"/>
      <c r="B48" s="85"/>
      <c r="C48" s="104" t="s">
        <v>739</v>
      </c>
      <c r="D48" s="104" t="s">
        <v>294</v>
      </c>
      <c r="E48" s="105" t="s">
        <v>206</v>
      </c>
      <c r="F48" s="106" t="s">
        <v>740</v>
      </c>
      <c r="G48" s="107" t="s">
        <v>15</v>
      </c>
      <c r="H48" s="108"/>
      <c r="I48" s="109"/>
      <c r="J48" s="110">
        <f t="shared" si="2"/>
        <v>0</v>
      </c>
      <c r="N48">
        <f t="shared" si="1"/>
        <v>40</v>
      </c>
      <c r="O48">
        <v>40</v>
      </c>
    </row>
    <row r="49" spans="1:15" ht="22.8">
      <c r="A49" s="84"/>
      <c r="B49" s="85"/>
      <c r="C49" s="104" t="s">
        <v>741</v>
      </c>
      <c r="D49" s="104" t="s">
        <v>294</v>
      </c>
      <c r="E49" s="105" t="s">
        <v>210</v>
      </c>
      <c r="F49" s="106" t="s">
        <v>742</v>
      </c>
      <c r="G49" s="107" t="s">
        <v>15</v>
      </c>
      <c r="H49" s="108"/>
      <c r="I49" s="109"/>
      <c r="J49" s="110">
        <f t="shared" si="2"/>
        <v>0</v>
      </c>
      <c r="N49">
        <f t="shared" si="1"/>
        <v>0</v>
      </c>
    </row>
    <row r="50" spans="1:15" ht="22.8">
      <c r="A50" s="84"/>
      <c r="B50" s="85"/>
      <c r="C50" s="104" t="s">
        <v>743</v>
      </c>
      <c r="D50" s="104" t="s">
        <v>294</v>
      </c>
      <c r="E50" s="105" t="s">
        <v>211</v>
      </c>
      <c r="F50" s="106" t="s">
        <v>744</v>
      </c>
      <c r="G50" s="107" t="s">
        <v>15</v>
      </c>
      <c r="H50" s="108"/>
      <c r="I50" s="109"/>
      <c r="J50" s="110">
        <f t="shared" si="2"/>
        <v>0</v>
      </c>
      <c r="N50">
        <v>180</v>
      </c>
    </row>
    <row r="51" spans="1:15" ht="22.8">
      <c r="A51" s="84"/>
      <c r="B51" s="85"/>
      <c r="C51" s="104" t="s">
        <v>745</v>
      </c>
      <c r="D51" s="104" t="s">
        <v>294</v>
      </c>
      <c r="E51" s="105" t="s">
        <v>212</v>
      </c>
      <c r="F51" s="106" t="s">
        <v>746</v>
      </c>
      <c r="G51" s="107" t="s">
        <v>15</v>
      </c>
      <c r="H51" s="108"/>
      <c r="I51" s="109"/>
      <c r="J51" s="110">
        <f t="shared" si="2"/>
        <v>0</v>
      </c>
      <c r="N51">
        <v>120</v>
      </c>
    </row>
    <row r="52" spans="1:15" ht="22.8">
      <c r="A52" s="84"/>
      <c r="B52" s="85"/>
      <c r="C52" s="104" t="s">
        <v>747</v>
      </c>
      <c r="D52" s="104" t="s">
        <v>294</v>
      </c>
      <c r="E52" s="105" t="s">
        <v>214</v>
      </c>
      <c r="F52" s="106" t="s">
        <v>748</v>
      </c>
      <c r="G52" s="107" t="s">
        <v>15</v>
      </c>
      <c r="H52" s="108"/>
      <c r="I52" s="109"/>
      <c r="J52" s="110">
        <f t="shared" si="2"/>
        <v>0</v>
      </c>
      <c r="N52">
        <v>80</v>
      </c>
    </row>
    <row r="53" spans="1:15">
      <c r="A53" s="84"/>
      <c r="B53" s="85"/>
      <c r="C53" s="104" t="s">
        <v>749</v>
      </c>
      <c r="D53" s="104" t="s">
        <v>294</v>
      </c>
      <c r="E53" s="105" t="s">
        <v>216</v>
      </c>
      <c r="F53" s="106" t="s">
        <v>750</v>
      </c>
      <c r="G53" s="107" t="s">
        <v>15</v>
      </c>
      <c r="H53" s="108"/>
      <c r="I53" s="109"/>
      <c r="J53" s="110">
        <f t="shared" si="2"/>
        <v>0</v>
      </c>
      <c r="N53">
        <f t="shared" si="1"/>
        <v>0</v>
      </c>
      <c r="O53" s="46"/>
    </row>
    <row r="54" spans="1:15">
      <c r="A54" s="84"/>
      <c r="B54" s="85"/>
      <c r="C54" s="104" t="s">
        <v>751</v>
      </c>
      <c r="D54" s="104" t="s">
        <v>294</v>
      </c>
      <c r="E54" s="105" t="s">
        <v>218</v>
      </c>
      <c r="F54" s="106" t="s">
        <v>752</v>
      </c>
      <c r="G54" s="107" t="s">
        <v>15</v>
      </c>
      <c r="H54" s="108"/>
      <c r="I54" s="109"/>
      <c r="J54" s="110">
        <f t="shared" si="2"/>
        <v>0</v>
      </c>
      <c r="N54">
        <f t="shared" si="1"/>
        <v>0</v>
      </c>
      <c r="O54" s="46"/>
    </row>
    <row r="55" spans="1:15">
      <c r="A55" s="84"/>
      <c r="B55" s="85"/>
      <c r="C55" s="104" t="s">
        <v>753</v>
      </c>
      <c r="D55" s="104" t="s">
        <v>294</v>
      </c>
      <c r="E55" s="105" t="s">
        <v>220</v>
      </c>
      <c r="F55" s="106" t="s">
        <v>754</v>
      </c>
      <c r="G55" s="107" t="s">
        <v>15</v>
      </c>
      <c r="H55" s="108"/>
      <c r="I55" s="109"/>
      <c r="J55" s="110">
        <f t="shared" si="2"/>
        <v>0</v>
      </c>
      <c r="N55">
        <f t="shared" si="1"/>
        <v>0</v>
      </c>
      <c r="O55" s="46"/>
    </row>
    <row r="56" spans="1:15">
      <c r="A56" s="84"/>
      <c r="B56" s="85"/>
      <c r="C56" s="104" t="s">
        <v>755</v>
      </c>
      <c r="D56" s="104" t="s">
        <v>294</v>
      </c>
      <c r="E56" s="105" t="s">
        <v>222</v>
      </c>
      <c r="F56" s="106" t="s">
        <v>756</v>
      </c>
      <c r="G56" s="107" t="s">
        <v>15</v>
      </c>
      <c r="H56" s="108"/>
      <c r="I56" s="109"/>
      <c r="J56" s="110">
        <f t="shared" si="2"/>
        <v>0</v>
      </c>
      <c r="N56">
        <f t="shared" si="1"/>
        <v>0</v>
      </c>
      <c r="O56" s="46"/>
    </row>
    <row r="57" spans="1:15">
      <c r="A57" s="84"/>
      <c r="B57" s="85"/>
      <c r="C57" s="104" t="s">
        <v>757</v>
      </c>
      <c r="D57" s="104" t="s">
        <v>294</v>
      </c>
      <c r="E57" s="105" t="s">
        <v>224</v>
      </c>
      <c r="F57" s="106" t="s">
        <v>758</v>
      </c>
      <c r="G57" s="107" t="s">
        <v>15</v>
      </c>
      <c r="H57" s="108"/>
      <c r="I57" s="109"/>
      <c r="J57" s="110">
        <f t="shared" si="2"/>
        <v>0</v>
      </c>
      <c r="N57">
        <f t="shared" si="1"/>
        <v>0</v>
      </c>
      <c r="O57" s="46"/>
    </row>
    <row r="58" spans="1:15">
      <c r="A58" s="84"/>
      <c r="B58" s="85"/>
      <c r="C58" s="104" t="s">
        <v>759</v>
      </c>
      <c r="D58" s="104" t="s">
        <v>294</v>
      </c>
      <c r="E58" s="105" t="s">
        <v>227</v>
      </c>
      <c r="F58" s="106" t="s">
        <v>760</v>
      </c>
      <c r="G58" s="107" t="s">
        <v>15</v>
      </c>
      <c r="H58" s="108"/>
      <c r="I58" s="109"/>
      <c r="J58" s="110">
        <f t="shared" si="2"/>
        <v>0</v>
      </c>
      <c r="N58">
        <f t="shared" si="1"/>
        <v>0</v>
      </c>
      <c r="O58" s="46"/>
    </row>
    <row r="59" spans="1:15" ht="22.8">
      <c r="A59" s="84"/>
      <c r="B59" s="85"/>
      <c r="C59" s="104" t="s">
        <v>761</v>
      </c>
      <c r="D59" s="104" t="s">
        <v>294</v>
      </c>
      <c r="E59" s="105" t="s">
        <v>229</v>
      </c>
      <c r="F59" s="106" t="s">
        <v>762</v>
      </c>
      <c r="G59" s="107" t="s">
        <v>15</v>
      </c>
      <c r="H59" s="108"/>
      <c r="I59" s="109"/>
      <c r="J59" s="110">
        <f t="shared" si="2"/>
        <v>0</v>
      </c>
      <c r="N59">
        <f t="shared" si="1"/>
        <v>120</v>
      </c>
      <c r="O59" s="46">
        <v>120</v>
      </c>
    </row>
    <row r="60" spans="1:15" ht="22.8">
      <c r="A60" s="84"/>
      <c r="B60" s="85"/>
      <c r="C60" s="104" t="s">
        <v>763</v>
      </c>
      <c r="D60" s="104" t="s">
        <v>294</v>
      </c>
      <c r="E60" s="105" t="s">
        <v>231</v>
      </c>
      <c r="F60" s="106" t="s">
        <v>764</v>
      </c>
      <c r="G60" s="107" t="s">
        <v>15</v>
      </c>
      <c r="H60" s="108"/>
      <c r="I60" s="109"/>
      <c r="J60" s="110">
        <f t="shared" si="2"/>
        <v>0</v>
      </c>
      <c r="N60">
        <f t="shared" si="1"/>
        <v>90</v>
      </c>
      <c r="O60" s="46">
        <v>90</v>
      </c>
    </row>
    <row r="61" spans="1:15" ht="22.8">
      <c r="A61" s="84"/>
      <c r="B61" s="85"/>
      <c r="C61" s="104" t="s">
        <v>765</v>
      </c>
      <c r="D61" s="104" t="s">
        <v>294</v>
      </c>
      <c r="E61" s="105" t="s">
        <v>232</v>
      </c>
      <c r="F61" s="106" t="s">
        <v>766</v>
      </c>
      <c r="G61" s="107" t="s">
        <v>15</v>
      </c>
      <c r="H61" s="108"/>
      <c r="I61" s="109"/>
      <c r="J61" s="110">
        <f t="shared" si="2"/>
        <v>0</v>
      </c>
      <c r="N61">
        <f t="shared" si="1"/>
        <v>120</v>
      </c>
      <c r="O61" s="46">
        <v>120</v>
      </c>
    </row>
    <row r="62" spans="1:15" ht="22.8">
      <c r="A62" s="84"/>
      <c r="B62" s="85"/>
      <c r="C62" s="104" t="s">
        <v>767</v>
      </c>
      <c r="D62" s="104" t="s">
        <v>294</v>
      </c>
      <c r="E62" s="105" t="s">
        <v>234</v>
      </c>
      <c r="F62" s="106" t="s">
        <v>768</v>
      </c>
      <c r="G62" s="107" t="s">
        <v>15</v>
      </c>
      <c r="H62" s="108"/>
      <c r="I62" s="109"/>
      <c r="J62" s="110">
        <f t="shared" si="2"/>
        <v>0</v>
      </c>
      <c r="N62">
        <f t="shared" si="1"/>
        <v>100</v>
      </c>
      <c r="O62" s="46">
        <v>100</v>
      </c>
    </row>
    <row r="63" spans="1:15" ht="22.8">
      <c r="A63" s="84"/>
      <c r="B63" s="85"/>
      <c r="C63" s="104" t="s">
        <v>769</v>
      </c>
      <c r="D63" s="104" t="s">
        <v>294</v>
      </c>
      <c r="E63" s="105" t="s">
        <v>236</v>
      </c>
      <c r="F63" s="106" t="s">
        <v>770</v>
      </c>
      <c r="G63" s="107" t="s">
        <v>15</v>
      </c>
      <c r="H63" s="108"/>
      <c r="I63" s="109"/>
      <c r="J63" s="110">
        <f t="shared" si="2"/>
        <v>0</v>
      </c>
      <c r="N63">
        <f t="shared" si="1"/>
        <v>80</v>
      </c>
      <c r="O63" s="46">
        <v>80</v>
      </c>
    </row>
    <row r="64" spans="1:15" ht="22.8">
      <c r="A64" s="84"/>
      <c r="B64" s="85"/>
      <c r="C64" s="104" t="s">
        <v>771</v>
      </c>
      <c r="D64" s="104" t="s">
        <v>294</v>
      </c>
      <c r="E64" s="105" t="s">
        <v>242</v>
      </c>
      <c r="F64" s="106" t="s">
        <v>772</v>
      </c>
      <c r="G64" s="107" t="s">
        <v>15</v>
      </c>
      <c r="H64" s="108"/>
      <c r="I64" s="109"/>
      <c r="J64" s="110">
        <f t="shared" si="2"/>
        <v>0</v>
      </c>
      <c r="N64">
        <f t="shared" si="1"/>
        <v>50</v>
      </c>
      <c r="O64" s="46">
        <v>50</v>
      </c>
    </row>
    <row r="65" spans="1:18" ht="22.8">
      <c r="A65" s="84"/>
      <c r="B65" s="85"/>
      <c r="C65" s="104" t="s">
        <v>773</v>
      </c>
      <c r="D65" s="104" t="s">
        <v>294</v>
      </c>
      <c r="E65" s="105" t="s">
        <v>244</v>
      </c>
      <c r="F65" s="106" t="s">
        <v>774</v>
      </c>
      <c r="G65" s="107" t="s">
        <v>15</v>
      </c>
      <c r="H65" s="108"/>
      <c r="I65" s="109"/>
      <c r="J65" s="110">
        <f t="shared" si="2"/>
        <v>0</v>
      </c>
      <c r="N65">
        <f t="shared" si="1"/>
        <v>0</v>
      </c>
      <c r="O65" s="46"/>
    </row>
    <row r="66" spans="1:18" ht="22.8">
      <c r="A66" s="84"/>
      <c r="B66" s="85"/>
      <c r="C66" s="104" t="s">
        <v>775</v>
      </c>
      <c r="D66" s="104" t="s">
        <v>294</v>
      </c>
      <c r="E66" s="105" t="s">
        <v>249</v>
      </c>
      <c r="F66" s="106" t="s">
        <v>776</v>
      </c>
      <c r="G66" s="107" t="s">
        <v>15</v>
      </c>
      <c r="H66" s="108"/>
      <c r="I66" s="109"/>
      <c r="J66" s="110">
        <f t="shared" si="2"/>
        <v>0</v>
      </c>
      <c r="N66">
        <f t="shared" si="1"/>
        <v>0</v>
      </c>
      <c r="O66" s="46"/>
    </row>
    <row r="67" spans="1:18" ht="22.8">
      <c r="A67" s="84"/>
      <c r="B67" s="85"/>
      <c r="C67" s="104" t="s">
        <v>777</v>
      </c>
      <c r="D67" s="104" t="s">
        <v>294</v>
      </c>
      <c r="E67" s="105" t="s">
        <v>251</v>
      </c>
      <c r="F67" s="106" t="s">
        <v>778</v>
      </c>
      <c r="G67" s="107" t="s">
        <v>15</v>
      </c>
      <c r="H67" s="108"/>
      <c r="I67" s="109"/>
      <c r="J67" s="110">
        <f t="shared" si="2"/>
        <v>0</v>
      </c>
      <c r="N67">
        <f t="shared" si="1"/>
        <v>0</v>
      </c>
      <c r="O67" s="46"/>
    </row>
    <row r="68" spans="1:18" ht="22.8">
      <c r="A68" s="84"/>
      <c r="B68" s="85"/>
      <c r="C68" s="104" t="s">
        <v>779</v>
      </c>
      <c r="D68" s="104" t="s">
        <v>294</v>
      </c>
      <c r="E68" s="105" t="s">
        <v>253</v>
      </c>
      <c r="F68" s="106" t="s">
        <v>780</v>
      </c>
      <c r="G68" s="107" t="s">
        <v>15</v>
      </c>
      <c r="H68" s="108"/>
      <c r="I68" s="109"/>
      <c r="J68" s="110">
        <f t="shared" si="2"/>
        <v>0</v>
      </c>
      <c r="N68">
        <f t="shared" si="1"/>
        <v>0</v>
      </c>
      <c r="O68" s="46"/>
    </row>
    <row r="69" spans="1:18">
      <c r="A69" s="84"/>
      <c r="B69" s="85"/>
      <c r="C69" s="104" t="s">
        <v>781</v>
      </c>
      <c r="D69" s="104" t="s">
        <v>294</v>
      </c>
      <c r="E69" s="105" t="s">
        <v>255</v>
      </c>
      <c r="F69" s="106" t="s">
        <v>782</v>
      </c>
      <c r="G69" s="107" t="s">
        <v>13</v>
      </c>
      <c r="H69" s="108"/>
      <c r="I69" s="109"/>
      <c r="J69" s="110">
        <f t="shared" si="2"/>
        <v>0</v>
      </c>
      <c r="N69">
        <f t="shared" si="1"/>
        <v>32</v>
      </c>
      <c r="O69">
        <v>8</v>
      </c>
      <c r="P69">
        <v>8</v>
      </c>
      <c r="Q69">
        <v>10</v>
      </c>
      <c r="R69">
        <v>6</v>
      </c>
    </row>
    <row r="70" spans="1:18">
      <c r="A70" s="84"/>
      <c r="B70" s="85"/>
      <c r="C70" s="104" t="s">
        <v>783</v>
      </c>
      <c r="D70" s="104" t="s">
        <v>294</v>
      </c>
      <c r="E70" s="105" t="s">
        <v>259</v>
      </c>
      <c r="F70" s="106" t="s">
        <v>784</v>
      </c>
      <c r="G70" s="107" t="s">
        <v>13</v>
      </c>
      <c r="H70" s="108"/>
      <c r="I70" s="109"/>
      <c r="J70" s="110">
        <f t="shared" si="2"/>
        <v>0</v>
      </c>
      <c r="N70">
        <f t="shared" si="1"/>
        <v>72</v>
      </c>
      <c r="O70">
        <v>2</v>
      </c>
      <c r="P70">
        <v>23</v>
      </c>
      <c r="Q70">
        <v>26</v>
      </c>
      <c r="R70">
        <v>21</v>
      </c>
    </row>
    <row r="71" spans="1:18">
      <c r="A71" s="84"/>
      <c r="B71" s="85"/>
      <c r="C71" s="104" t="s">
        <v>785</v>
      </c>
      <c r="D71" s="104" t="s">
        <v>294</v>
      </c>
      <c r="E71" s="105" t="s">
        <v>261</v>
      </c>
      <c r="F71" s="106" t="s">
        <v>786</v>
      </c>
      <c r="G71" s="107" t="s">
        <v>13</v>
      </c>
      <c r="H71" s="108"/>
      <c r="I71" s="109"/>
      <c r="J71" s="110">
        <f t="shared" si="2"/>
        <v>0</v>
      </c>
      <c r="N71">
        <f t="shared" si="1"/>
        <v>42</v>
      </c>
      <c r="O71">
        <v>10</v>
      </c>
      <c r="P71">
        <v>10</v>
      </c>
      <c r="Q71">
        <v>12</v>
      </c>
      <c r="R71">
        <v>10</v>
      </c>
    </row>
    <row r="72" spans="1:18">
      <c r="A72" s="84"/>
      <c r="B72" s="85"/>
      <c r="C72" s="104" t="s">
        <v>787</v>
      </c>
      <c r="D72" s="104" t="s">
        <v>294</v>
      </c>
      <c r="E72" s="105" t="s">
        <v>263</v>
      </c>
      <c r="F72" s="106" t="s">
        <v>788</v>
      </c>
      <c r="G72" s="107" t="s">
        <v>13</v>
      </c>
      <c r="H72" s="108"/>
      <c r="I72" s="109"/>
      <c r="J72" s="110">
        <f t="shared" si="2"/>
        <v>0</v>
      </c>
      <c r="N72">
        <f t="shared" si="1"/>
        <v>22</v>
      </c>
      <c r="O72">
        <v>8</v>
      </c>
      <c r="P72">
        <v>5</v>
      </c>
      <c r="Q72">
        <v>5</v>
      </c>
      <c r="R72">
        <v>4</v>
      </c>
    </row>
    <row r="73" spans="1:18">
      <c r="A73" s="84"/>
      <c r="B73" s="85"/>
      <c r="C73" s="104" t="s">
        <v>789</v>
      </c>
      <c r="D73" s="104" t="s">
        <v>294</v>
      </c>
      <c r="E73" s="105" t="s">
        <v>265</v>
      </c>
      <c r="F73" s="106" t="s">
        <v>790</v>
      </c>
      <c r="G73" s="107" t="s">
        <v>13</v>
      </c>
      <c r="H73" s="108"/>
      <c r="I73" s="109"/>
      <c r="J73" s="110">
        <f t="shared" si="2"/>
        <v>0</v>
      </c>
      <c r="N73">
        <f t="shared" ref="N73:N77" si="3">SUM(O73:S73)</f>
        <v>6</v>
      </c>
      <c r="O73">
        <v>6</v>
      </c>
    </row>
    <row r="74" spans="1:18" ht="22.8">
      <c r="A74" s="84"/>
      <c r="B74" s="85"/>
      <c r="C74" s="104" t="s">
        <v>791</v>
      </c>
      <c r="D74" s="104" t="s">
        <v>294</v>
      </c>
      <c r="E74" s="105" t="s">
        <v>267</v>
      </c>
      <c r="F74" s="106" t="s">
        <v>792</v>
      </c>
      <c r="G74" s="107" t="s">
        <v>13</v>
      </c>
      <c r="H74" s="108"/>
      <c r="I74" s="109"/>
      <c r="J74" s="110">
        <f t="shared" si="2"/>
        <v>0</v>
      </c>
      <c r="N74">
        <f t="shared" si="3"/>
        <v>22</v>
      </c>
      <c r="P74">
        <v>8</v>
      </c>
      <c r="Q74">
        <v>8</v>
      </c>
      <c r="R74">
        <v>6</v>
      </c>
    </row>
    <row r="75" spans="1:18" ht="22.8">
      <c r="A75" s="84"/>
      <c r="B75" s="85"/>
      <c r="C75" s="104" t="s">
        <v>793</v>
      </c>
      <c r="D75" s="104" t="s">
        <v>294</v>
      </c>
      <c r="E75" s="105" t="s">
        <v>794</v>
      </c>
      <c r="F75" s="106" t="s">
        <v>795</v>
      </c>
      <c r="G75" s="107" t="s">
        <v>13</v>
      </c>
      <c r="H75" s="108"/>
      <c r="I75" s="109"/>
      <c r="J75" s="110">
        <f t="shared" si="2"/>
        <v>0</v>
      </c>
      <c r="N75">
        <f t="shared" si="3"/>
        <v>4</v>
      </c>
      <c r="O75">
        <v>1</v>
      </c>
      <c r="P75">
        <v>1</v>
      </c>
      <c r="Q75">
        <v>1</v>
      </c>
      <c r="R75">
        <v>1</v>
      </c>
    </row>
    <row r="76" spans="1:18">
      <c r="A76" s="84"/>
      <c r="B76" s="85"/>
      <c r="C76" s="104" t="s">
        <v>796</v>
      </c>
      <c r="D76" s="104" t="s">
        <v>294</v>
      </c>
      <c r="E76" s="105" t="s">
        <v>797</v>
      </c>
      <c r="F76" s="106" t="s">
        <v>798</v>
      </c>
      <c r="G76" s="107" t="s">
        <v>13</v>
      </c>
      <c r="H76" s="108"/>
      <c r="I76" s="109"/>
      <c r="J76" s="110">
        <f t="shared" si="2"/>
        <v>0</v>
      </c>
      <c r="N76">
        <f t="shared" si="3"/>
        <v>12</v>
      </c>
      <c r="O76">
        <v>1</v>
      </c>
      <c r="P76">
        <v>4</v>
      </c>
      <c r="Q76">
        <v>4</v>
      </c>
      <c r="R76">
        <v>3</v>
      </c>
    </row>
    <row r="77" spans="1:18">
      <c r="A77" s="84"/>
      <c r="B77" s="85"/>
      <c r="C77" s="104" t="s">
        <v>799</v>
      </c>
      <c r="D77" s="104" t="s">
        <v>294</v>
      </c>
      <c r="E77" s="105" t="s">
        <v>800</v>
      </c>
      <c r="F77" s="106" t="s">
        <v>801</v>
      </c>
      <c r="G77" s="107" t="s">
        <v>13</v>
      </c>
      <c r="H77" s="108"/>
      <c r="I77" s="109"/>
      <c r="J77" s="110">
        <f t="shared" si="2"/>
        <v>0</v>
      </c>
      <c r="N77">
        <f t="shared" si="3"/>
        <v>22</v>
      </c>
      <c r="P77">
        <v>8</v>
      </c>
      <c r="Q77">
        <v>8</v>
      </c>
      <c r="R77">
        <v>6</v>
      </c>
    </row>
    <row r="78" spans="1:18">
      <c r="A78" s="84"/>
      <c r="B78" s="85"/>
      <c r="C78" s="104" t="s">
        <v>802</v>
      </c>
      <c r="D78" s="104" t="s">
        <v>294</v>
      </c>
      <c r="E78" s="105" t="s">
        <v>803</v>
      </c>
      <c r="F78" s="106" t="s">
        <v>804</v>
      </c>
      <c r="G78" s="107" t="s">
        <v>13</v>
      </c>
      <c r="H78" s="108"/>
      <c r="I78" s="109"/>
      <c r="J78" s="110">
        <f t="shared" si="2"/>
        <v>0</v>
      </c>
      <c r="N78">
        <f t="shared" ref="N78:N101" si="4">SUM(O78:S78)</f>
        <v>0</v>
      </c>
      <c r="O78" s="46"/>
    </row>
    <row r="79" spans="1:18">
      <c r="A79" s="84"/>
      <c r="B79" s="85"/>
      <c r="C79" s="104" t="s">
        <v>805</v>
      </c>
      <c r="D79" s="104" t="s">
        <v>294</v>
      </c>
      <c r="E79" s="105" t="s">
        <v>806</v>
      </c>
      <c r="F79" s="106" t="s">
        <v>807</v>
      </c>
      <c r="G79" s="107" t="s">
        <v>13</v>
      </c>
      <c r="H79" s="108"/>
      <c r="I79" s="109"/>
      <c r="J79" s="110">
        <f t="shared" si="2"/>
        <v>0</v>
      </c>
      <c r="N79">
        <f t="shared" si="4"/>
        <v>0</v>
      </c>
      <c r="O79" s="46"/>
    </row>
    <row r="80" spans="1:18">
      <c r="A80" s="84"/>
      <c r="B80" s="85"/>
      <c r="C80" s="104" t="s">
        <v>808</v>
      </c>
      <c r="D80" s="104" t="s">
        <v>294</v>
      </c>
      <c r="E80" s="105" t="s">
        <v>809</v>
      </c>
      <c r="F80" s="106" t="s">
        <v>810</v>
      </c>
      <c r="G80" s="107" t="s">
        <v>13</v>
      </c>
      <c r="H80" s="108"/>
      <c r="I80" s="109"/>
      <c r="J80" s="110">
        <f t="shared" si="2"/>
        <v>0</v>
      </c>
      <c r="N80">
        <f t="shared" si="4"/>
        <v>0</v>
      </c>
      <c r="O80" s="46"/>
    </row>
    <row r="81" spans="1:15">
      <c r="A81" s="84"/>
      <c r="B81" s="85"/>
      <c r="C81" s="104" t="s">
        <v>811</v>
      </c>
      <c r="D81" s="104" t="s">
        <v>294</v>
      </c>
      <c r="E81" s="105" t="s">
        <v>812</v>
      </c>
      <c r="F81" s="106" t="s">
        <v>813</v>
      </c>
      <c r="G81" s="107" t="s">
        <v>13</v>
      </c>
      <c r="H81" s="108"/>
      <c r="I81" s="109"/>
      <c r="J81" s="110">
        <f t="shared" si="2"/>
        <v>0</v>
      </c>
      <c r="N81">
        <f t="shared" si="4"/>
        <v>6</v>
      </c>
      <c r="O81" s="46">
        <v>6</v>
      </c>
    </row>
    <row r="82" spans="1:15">
      <c r="A82" s="84"/>
      <c r="B82" s="85"/>
      <c r="C82" s="104" t="s">
        <v>814</v>
      </c>
      <c r="D82" s="104" t="s">
        <v>294</v>
      </c>
      <c r="E82" s="105" t="s">
        <v>815</v>
      </c>
      <c r="F82" s="106" t="s">
        <v>816</v>
      </c>
      <c r="G82" s="107" t="s">
        <v>13</v>
      </c>
      <c r="H82" s="108"/>
      <c r="I82" s="109"/>
      <c r="J82" s="110">
        <f t="shared" si="2"/>
        <v>0</v>
      </c>
      <c r="N82">
        <f t="shared" si="4"/>
        <v>0</v>
      </c>
      <c r="O82" s="46"/>
    </row>
    <row r="83" spans="1:15">
      <c r="A83" s="84"/>
      <c r="B83" s="85"/>
      <c r="C83" s="104" t="s">
        <v>817</v>
      </c>
      <c r="D83" s="104" t="s">
        <v>294</v>
      </c>
      <c r="E83" s="105" t="s">
        <v>818</v>
      </c>
      <c r="F83" s="106" t="s">
        <v>819</v>
      </c>
      <c r="G83" s="107" t="s">
        <v>13</v>
      </c>
      <c r="H83" s="108"/>
      <c r="I83" s="109"/>
      <c r="J83" s="110">
        <f t="shared" si="2"/>
        <v>0</v>
      </c>
      <c r="N83">
        <f t="shared" si="4"/>
        <v>0</v>
      </c>
      <c r="O83" s="46"/>
    </row>
    <row r="84" spans="1:15">
      <c r="A84" s="84"/>
      <c r="B84" s="85"/>
      <c r="C84" s="104" t="s">
        <v>820</v>
      </c>
      <c r="D84" s="104" t="s">
        <v>294</v>
      </c>
      <c r="E84" s="105" t="s">
        <v>821</v>
      </c>
      <c r="F84" s="106" t="s">
        <v>822</v>
      </c>
      <c r="G84" s="107" t="s">
        <v>13</v>
      </c>
      <c r="H84" s="108"/>
      <c r="I84" s="109"/>
      <c r="J84" s="110">
        <f t="shared" si="2"/>
        <v>0</v>
      </c>
      <c r="N84">
        <f t="shared" si="4"/>
        <v>8</v>
      </c>
      <c r="O84" s="46">
        <v>8</v>
      </c>
    </row>
    <row r="85" spans="1:15">
      <c r="A85" s="84"/>
      <c r="B85" s="85"/>
      <c r="C85" s="104" t="s">
        <v>823</v>
      </c>
      <c r="D85" s="104" t="s">
        <v>294</v>
      </c>
      <c r="E85" s="105" t="s">
        <v>824</v>
      </c>
      <c r="F85" s="106" t="s">
        <v>825</v>
      </c>
      <c r="G85" s="107" t="s">
        <v>13</v>
      </c>
      <c r="H85" s="108"/>
      <c r="I85" s="109"/>
      <c r="J85" s="110">
        <f t="shared" si="2"/>
        <v>0</v>
      </c>
      <c r="N85">
        <f t="shared" si="4"/>
        <v>6</v>
      </c>
      <c r="O85" s="46">
        <v>6</v>
      </c>
    </row>
    <row r="86" spans="1:15">
      <c r="A86" s="84"/>
      <c r="B86" s="85"/>
      <c r="C86" s="104" t="s">
        <v>826</v>
      </c>
      <c r="D86" s="104" t="s">
        <v>294</v>
      </c>
      <c r="E86" s="105" t="s">
        <v>827</v>
      </c>
      <c r="F86" s="106" t="s">
        <v>828</v>
      </c>
      <c r="G86" s="107" t="s">
        <v>13</v>
      </c>
      <c r="H86" s="108"/>
      <c r="I86" s="109"/>
      <c r="J86" s="110">
        <f t="shared" si="2"/>
        <v>0</v>
      </c>
      <c r="N86">
        <f t="shared" si="4"/>
        <v>4</v>
      </c>
      <c r="O86">
        <v>4</v>
      </c>
    </row>
    <row r="87" spans="1:15">
      <c r="A87" s="84"/>
      <c r="B87" s="85"/>
      <c r="C87" s="104" t="s">
        <v>829</v>
      </c>
      <c r="D87" s="104" t="s">
        <v>294</v>
      </c>
      <c r="E87" s="105" t="s">
        <v>830</v>
      </c>
      <c r="F87" s="106" t="s">
        <v>831</v>
      </c>
      <c r="G87" s="107" t="s">
        <v>13</v>
      </c>
      <c r="H87" s="108"/>
      <c r="I87" s="109"/>
      <c r="J87" s="110">
        <f t="shared" si="2"/>
        <v>0</v>
      </c>
      <c r="N87">
        <f t="shared" si="4"/>
        <v>1</v>
      </c>
      <c r="O87">
        <v>1</v>
      </c>
    </row>
    <row r="88" spans="1:15">
      <c r="A88" s="84"/>
      <c r="B88" s="85"/>
      <c r="C88" s="104" t="s">
        <v>832</v>
      </c>
      <c r="D88" s="104" t="s">
        <v>294</v>
      </c>
      <c r="E88" s="105" t="s">
        <v>833</v>
      </c>
      <c r="F88" s="106" t="s">
        <v>834</v>
      </c>
      <c r="G88" s="107" t="s">
        <v>13</v>
      </c>
      <c r="H88" s="108"/>
      <c r="I88" s="109"/>
      <c r="J88" s="110">
        <f t="shared" si="2"/>
        <v>0</v>
      </c>
      <c r="N88">
        <f t="shared" si="4"/>
        <v>2</v>
      </c>
      <c r="O88">
        <v>2</v>
      </c>
    </row>
    <row r="89" spans="1:15">
      <c r="A89" s="84"/>
      <c r="B89" s="85"/>
      <c r="C89" s="104" t="s">
        <v>835</v>
      </c>
      <c r="D89" s="104" t="s">
        <v>294</v>
      </c>
      <c r="E89" s="105" t="s">
        <v>836</v>
      </c>
      <c r="F89" s="106" t="s">
        <v>837</v>
      </c>
      <c r="G89" s="107" t="s">
        <v>13</v>
      </c>
      <c r="H89" s="108"/>
      <c r="I89" s="109"/>
      <c r="J89" s="110">
        <f t="shared" si="2"/>
        <v>0</v>
      </c>
      <c r="N89">
        <f t="shared" si="4"/>
        <v>1</v>
      </c>
      <c r="O89">
        <v>1</v>
      </c>
    </row>
    <row r="90" spans="1:15">
      <c r="A90" s="84"/>
      <c r="B90" s="85"/>
      <c r="C90" s="104" t="s">
        <v>838</v>
      </c>
      <c r="D90" s="104" t="s">
        <v>294</v>
      </c>
      <c r="E90" s="105" t="s">
        <v>839</v>
      </c>
      <c r="F90" s="106" t="s">
        <v>840</v>
      </c>
      <c r="G90" s="107" t="s">
        <v>13</v>
      </c>
      <c r="H90" s="108"/>
      <c r="I90" s="109"/>
      <c r="J90" s="110">
        <f t="shared" si="2"/>
        <v>0</v>
      </c>
      <c r="N90">
        <f t="shared" si="4"/>
        <v>1</v>
      </c>
      <c r="O90">
        <v>1</v>
      </c>
    </row>
    <row r="91" spans="1:15" ht="22.8">
      <c r="A91" s="84"/>
      <c r="B91" s="85"/>
      <c r="C91" s="104" t="s">
        <v>841</v>
      </c>
      <c r="D91" s="104" t="s">
        <v>294</v>
      </c>
      <c r="E91" s="105" t="s">
        <v>842</v>
      </c>
      <c r="F91" s="106" t="s">
        <v>843</v>
      </c>
      <c r="G91" s="107" t="s">
        <v>13</v>
      </c>
      <c r="H91" s="108"/>
      <c r="I91" s="109"/>
      <c r="J91" s="110">
        <f t="shared" si="2"/>
        <v>0</v>
      </c>
      <c r="N91">
        <f t="shared" si="4"/>
        <v>1</v>
      </c>
      <c r="O91">
        <v>1</v>
      </c>
    </row>
    <row r="92" spans="1:15">
      <c r="A92" s="84"/>
      <c r="B92" s="85"/>
      <c r="C92" s="104" t="s">
        <v>844</v>
      </c>
      <c r="D92" s="104" t="s">
        <v>294</v>
      </c>
      <c r="E92" s="105" t="s">
        <v>845</v>
      </c>
      <c r="F92" s="106" t="s">
        <v>846</v>
      </c>
      <c r="G92" s="107" t="s">
        <v>13</v>
      </c>
      <c r="H92" s="108"/>
      <c r="I92" s="109"/>
      <c r="J92" s="110">
        <f t="shared" si="2"/>
        <v>0</v>
      </c>
      <c r="N92">
        <f t="shared" si="4"/>
        <v>2</v>
      </c>
      <c r="O92">
        <v>2</v>
      </c>
    </row>
    <row r="93" spans="1:15">
      <c r="A93" s="84"/>
      <c r="B93" s="85"/>
      <c r="C93" s="104" t="s">
        <v>847</v>
      </c>
      <c r="D93" s="104" t="s">
        <v>294</v>
      </c>
      <c r="E93" s="105" t="s">
        <v>441</v>
      </c>
      <c r="F93" s="106" t="s">
        <v>25</v>
      </c>
      <c r="G93" s="107" t="s">
        <v>13</v>
      </c>
      <c r="H93" s="108"/>
      <c r="I93" s="109"/>
      <c r="J93" s="110">
        <f t="shared" si="2"/>
        <v>0</v>
      </c>
      <c r="N93">
        <f t="shared" si="4"/>
        <v>1</v>
      </c>
      <c r="O93">
        <v>1</v>
      </c>
    </row>
    <row r="94" spans="1:15">
      <c r="A94" s="84"/>
      <c r="B94" s="85"/>
      <c r="C94" s="104" t="s">
        <v>848</v>
      </c>
      <c r="D94" s="104" t="s">
        <v>294</v>
      </c>
      <c r="E94" s="105" t="s">
        <v>443</v>
      </c>
      <c r="F94" s="106" t="s">
        <v>849</v>
      </c>
      <c r="G94" s="107" t="s">
        <v>13</v>
      </c>
      <c r="H94" s="108"/>
      <c r="I94" s="109"/>
      <c r="J94" s="110">
        <f t="shared" si="2"/>
        <v>0</v>
      </c>
      <c r="N94">
        <f t="shared" si="4"/>
        <v>1</v>
      </c>
      <c r="O94">
        <v>1</v>
      </c>
    </row>
    <row r="95" spans="1:15">
      <c r="A95" s="84"/>
      <c r="B95" s="85"/>
      <c r="C95" s="104" t="s">
        <v>850</v>
      </c>
      <c r="D95" s="104" t="s">
        <v>294</v>
      </c>
      <c r="E95" s="105" t="s">
        <v>445</v>
      </c>
      <c r="F95" s="106" t="s">
        <v>851</v>
      </c>
      <c r="G95" s="107" t="s">
        <v>13</v>
      </c>
      <c r="H95" s="108"/>
      <c r="I95" s="109"/>
      <c r="J95" s="110">
        <f t="shared" si="2"/>
        <v>0</v>
      </c>
      <c r="N95">
        <f t="shared" si="4"/>
        <v>1</v>
      </c>
      <c r="O95">
        <v>1</v>
      </c>
    </row>
    <row r="96" spans="1:15">
      <c r="A96" s="84"/>
      <c r="B96" s="85"/>
      <c r="C96" s="104" t="s">
        <v>852</v>
      </c>
      <c r="D96" s="104" t="s">
        <v>294</v>
      </c>
      <c r="E96" s="105" t="s">
        <v>447</v>
      </c>
      <c r="F96" s="106" t="s">
        <v>853</v>
      </c>
      <c r="G96" s="107" t="s">
        <v>13</v>
      </c>
      <c r="H96" s="108"/>
      <c r="I96" s="109"/>
      <c r="J96" s="110">
        <f t="shared" si="2"/>
        <v>0</v>
      </c>
      <c r="N96">
        <f t="shared" si="4"/>
        <v>2</v>
      </c>
      <c r="O96">
        <v>2</v>
      </c>
    </row>
    <row r="97" spans="1:15">
      <c r="A97" s="84"/>
      <c r="B97" s="85"/>
      <c r="C97" s="104" t="s">
        <v>854</v>
      </c>
      <c r="D97" s="104" t="s">
        <v>294</v>
      </c>
      <c r="E97" s="105" t="s">
        <v>855</v>
      </c>
      <c r="F97" s="106" t="s">
        <v>856</v>
      </c>
      <c r="G97" s="107" t="s">
        <v>13</v>
      </c>
      <c r="H97" s="108"/>
      <c r="I97" s="109"/>
      <c r="J97" s="110">
        <f t="shared" si="2"/>
        <v>0</v>
      </c>
      <c r="N97">
        <f t="shared" si="4"/>
        <v>0</v>
      </c>
    </row>
    <row r="98" spans="1:15">
      <c r="A98" s="84"/>
      <c r="B98" s="85"/>
      <c r="C98" s="104" t="s">
        <v>857</v>
      </c>
      <c r="D98" s="104" t="s">
        <v>294</v>
      </c>
      <c r="E98" s="105" t="s">
        <v>449</v>
      </c>
      <c r="F98" s="106" t="s">
        <v>858</v>
      </c>
      <c r="G98" s="107" t="s">
        <v>13</v>
      </c>
      <c r="H98" s="108"/>
      <c r="I98" s="109"/>
      <c r="J98" s="110">
        <f t="shared" si="2"/>
        <v>0</v>
      </c>
      <c r="N98">
        <f t="shared" si="4"/>
        <v>0</v>
      </c>
    </row>
    <row r="99" spans="1:15">
      <c r="A99" s="84"/>
      <c r="B99" s="85"/>
      <c r="C99" s="104" t="s">
        <v>859</v>
      </c>
      <c r="D99" s="104" t="s">
        <v>294</v>
      </c>
      <c r="E99" s="105" t="s">
        <v>860</v>
      </c>
      <c r="F99" s="106" t="s">
        <v>861</v>
      </c>
      <c r="G99" s="107" t="s">
        <v>13</v>
      </c>
      <c r="H99" s="108"/>
      <c r="I99" s="109"/>
      <c r="J99" s="110">
        <f t="shared" si="2"/>
        <v>0</v>
      </c>
      <c r="N99">
        <f t="shared" si="4"/>
        <v>50</v>
      </c>
      <c r="O99">
        <v>50</v>
      </c>
    </row>
    <row r="100" spans="1:15">
      <c r="A100" s="84"/>
      <c r="B100" s="85"/>
      <c r="C100" s="104" t="s">
        <v>862</v>
      </c>
      <c r="D100" s="104" t="s">
        <v>294</v>
      </c>
      <c r="E100" s="105" t="s">
        <v>863</v>
      </c>
      <c r="F100" s="106" t="s">
        <v>864</v>
      </c>
      <c r="G100" s="107" t="s">
        <v>13</v>
      </c>
      <c r="H100" s="108"/>
      <c r="I100" s="109"/>
      <c r="J100" s="110">
        <f t="shared" si="2"/>
        <v>0</v>
      </c>
      <c r="N100">
        <f t="shared" si="4"/>
        <v>0</v>
      </c>
    </row>
    <row r="101" spans="1:15">
      <c r="A101" s="84"/>
      <c r="B101" s="85"/>
      <c r="C101" s="104" t="s">
        <v>865</v>
      </c>
      <c r="D101" s="104" t="s">
        <v>294</v>
      </c>
      <c r="E101" s="105" t="s">
        <v>866</v>
      </c>
      <c r="F101" s="106" t="s">
        <v>867</v>
      </c>
      <c r="G101" s="107" t="s">
        <v>15</v>
      </c>
      <c r="H101" s="108"/>
      <c r="I101" s="109"/>
      <c r="J101" s="110">
        <f t="shared" si="2"/>
        <v>0</v>
      </c>
      <c r="N101">
        <f t="shared" si="4"/>
        <v>0</v>
      </c>
    </row>
    <row r="102" spans="1:15">
      <c r="A102" s="84"/>
      <c r="B102" s="87"/>
      <c r="C102" s="88"/>
      <c r="D102" s="88"/>
      <c r="E102" s="88"/>
      <c r="F102" s="88" t="s">
        <v>1353</v>
      </c>
      <c r="G102" s="88"/>
      <c r="H102" s="88"/>
      <c r="I102" s="88"/>
      <c r="J102" s="88"/>
    </row>
    <row r="103" spans="1:15">
      <c r="F103" s="155" t="s">
        <v>870</v>
      </c>
      <c r="G103" s="46" t="s">
        <v>13</v>
      </c>
      <c r="H103" s="46"/>
      <c r="I103" s="46"/>
      <c r="J103" s="46"/>
      <c r="K103" s="46"/>
      <c r="L103" s="46"/>
      <c r="M103" s="46"/>
      <c r="N103" s="46">
        <v>32</v>
      </c>
    </row>
    <row r="104" spans="1:15">
      <c r="F104" s="155" t="s">
        <v>871</v>
      </c>
      <c r="G104" s="46" t="s">
        <v>13</v>
      </c>
      <c r="H104" s="46"/>
      <c r="I104" s="46"/>
      <c r="J104" s="46"/>
      <c r="K104" s="46"/>
      <c r="L104" s="46"/>
      <c r="M104" s="46"/>
      <c r="N104" s="46">
        <v>64</v>
      </c>
    </row>
    <row r="105" spans="1:15">
      <c r="F105" s="155" t="s">
        <v>872</v>
      </c>
      <c r="G105" s="46" t="s">
        <v>13</v>
      </c>
      <c r="H105" s="46"/>
      <c r="I105" s="46"/>
      <c r="J105" s="46"/>
      <c r="K105" s="46"/>
      <c r="L105" s="46"/>
      <c r="M105" s="46"/>
      <c r="N105" s="46">
        <v>1</v>
      </c>
    </row>
    <row r="106" spans="1:15">
      <c r="F106" s="155" t="s">
        <v>873</v>
      </c>
      <c r="G106" s="46" t="s">
        <v>13</v>
      </c>
      <c r="H106" s="46"/>
      <c r="I106" s="46"/>
      <c r="J106" s="46"/>
      <c r="K106" s="46"/>
      <c r="L106" s="46"/>
      <c r="M106" s="46"/>
      <c r="N106" s="46">
        <v>2</v>
      </c>
    </row>
    <row r="107" spans="1:15">
      <c r="F107" s="155" t="s">
        <v>1354</v>
      </c>
      <c r="G107" s="46" t="s">
        <v>13</v>
      </c>
      <c r="H107" s="46"/>
      <c r="I107" s="46"/>
      <c r="J107" s="46"/>
      <c r="K107" s="46"/>
      <c r="L107" s="46"/>
      <c r="M107" s="46"/>
      <c r="N107" s="46">
        <v>2</v>
      </c>
    </row>
    <row r="108" spans="1:15">
      <c r="F108" s="155" t="s">
        <v>874</v>
      </c>
      <c r="G108" s="46" t="s">
        <v>15</v>
      </c>
      <c r="H108" s="46"/>
      <c r="I108" s="46"/>
      <c r="J108" s="46"/>
      <c r="K108" s="46"/>
      <c r="L108" s="46"/>
      <c r="M108" s="46"/>
      <c r="N108" s="46">
        <v>80</v>
      </c>
    </row>
    <row r="109" spans="1:15">
      <c r="F109" s="155" t="s">
        <v>875</v>
      </c>
      <c r="G109" s="46" t="s">
        <v>277</v>
      </c>
      <c r="H109" s="46"/>
      <c r="I109" s="46"/>
      <c r="J109" s="46"/>
      <c r="K109" s="46"/>
      <c r="L109" s="46"/>
      <c r="M109" s="46"/>
      <c r="N109" s="46">
        <v>3</v>
      </c>
    </row>
    <row r="110" spans="1:15">
      <c r="F110" s="155" t="s">
        <v>16</v>
      </c>
      <c r="G110" s="46" t="s">
        <v>277</v>
      </c>
      <c r="H110" s="46"/>
      <c r="I110" s="46"/>
      <c r="J110" s="46"/>
      <c r="K110" s="46"/>
      <c r="L110" s="46"/>
      <c r="M110" s="46"/>
      <c r="N110" s="46">
        <v>20</v>
      </c>
    </row>
    <row r="111" spans="1:15">
      <c r="F111" s="46"/>
      <c r="G111" s="46"/>
      <c r="H111" s="46"/>
      <c r="I111" s="46"/>
      <c r="J111" s="46"/>
      <c r="K111" s="46"/>
      <c r="L111" s="46"/>
      <c r="M111" s="46"/>
      <c r="N111" s="46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9599-8D97-4E81-A76C-7EADA550FD17}">
  <dimension ref="A2:O379"/>
  <sheetViews>
    <sheetView topLeftCell="A187" zoomScale="101" workbookViewId="0">
      <selection activeCell="K209" sqref="K209"/>
    </sheetView>
  </sheetViews>
  <sheetFormatPr defaultRowHeight="13.2"/>
  <cols>
    <col min="1" max="1" width="4.21875" customWidth="1"/>
    <col min="2" max="2" width="6.109375" customWidth="1"/>
    <col min="3" max="3" width="4.77734375" customWidth="1"/>
    <col min="4" max="4" width="6" customWidth="1"/>
    <col min="5" max="5" width="12" customWidth="1"/>
    <col min="6" max="6" width="69.21875" customWidth="1"/>
  </cols>
  <sheetData>
    <row r="2" spans="1:15">
      <c r="C2" t="s">
        <v>282</v>
      </c>
      <c r="D2" t="s">
        <v>283</v>
      </c>
      <c r="E2" t="s">
        <v>284</v>
      </c>
      <c r="F2" t="s">
        <v>285</v>
      </c>
      <c r="G2" t="s">
        <v>11</v>
      </c>
      <c r="H2" t="s">
        <v>1209</v>
      </c>
      <c r="K2" t="s">
        <v>918</v>
      </c>
      <c r="L2" t="s">
        <v>919</v>
      </c>
      <c r="M2" t="s">
        <v>920</v>
      </c>
      <c r="N2" t="s">
        <v>921</v>
      </c>
    </row>
    <row r="4" spans="1:15">
      <c r="D4" t="s">
        <v>288</v>
      </c>
      <c r="E4" t="s">
        <v>922</v>
      </c>
      <c r="F4" t="s">
        <v>923</v>
      </c>
    </row>
    <row r="5" spans="1:15">
      <c r="D5" t="s">
        <v>288</v>
      </c>
      <c r="E5" t="s">
        <v>664</v>
      </c>
      <c r="F5" s="132" t="s">
        <v>924</v>
      </c>
    </row>
    <row r="6" spans="1:15">
      <c r="C6">
        <v>1</v>
      </c>
      <c r="D6" t="s">
        <v>294</v>
      </c>
      <c r="E6" t="s">
        <v>925</v>
      </c>
      <c r="F6" t="s">
        <v>926</v>
      </c>
      <c r="G6" t="s">
        <v>14</v>
      </c>
      <c r="H6">
        <f>K6+L6+M6+N6</f>
        <v>1</v>
      </c>
      <c r="K6">
        <v>1</v>
      </c>
      <c r="O6" t="s">
        <v>1210</v>
      </c>
    </row>
    <row r="7" spans="1:15">
      <c r="D7" t="s">
        <v>707</v>
      </c>
      <c r="F7" t="s">
        <v>927</v>
      </c>
    </row>
    <row r="8" spans="1:15">
      <c r="A8" t="s">
        <v>928</v>
      </c>
    </row>
    <row r="9" spans="1:15">
      <c r="A9" t="s">
        <v>929</v>
      </c>
    </row>
    <row r="10" spans="1:15">
      <c r="A10" t="s">
        <v>930</v>
      </c>
    </row>
    <row r="11" spans="1:15">
      <c r="A11" t="s">
        <v>931</v>
      </c>
    </row>
    <row r="12" spans="1:15">
      <c r="A12" t="s">
        <v>932</v>
      </c>
    </row>
    <row r="13" spans="1:15">
      <c r="A13" t="s">
        <v>933</v>
      </c>
    </row>
    <row r="14" spans="1:15">
      <c r="A14" t="s">
        <v>934</v>
      </c>
    </row>
    <row r="15" spans="1:15">
      <c r="D15" t="s">
        <v>288</v>
      </c>
      <c r="E15" t="s">
        <v>108</v>
      </c>
      <c r="F15" s="132" t="s">
        <v>935</v>
      </c>
    </row>
    <row r="16" spans="1:15">
      <c r="C16">
        <v>2</v>
      </c>
      <c r="D16" t="s">
        <v>294</v>
      </c>
      <c r="E16" t="s">
        <v>936</v>
      </c>
      <c r="F16" t="s">
        <v>937</v>
      </c>
      <c r="G16" t="s">
        <v>13</v>
      </c>
      <c r="H16">
        <f t="shared" ref="H16:H68" si="0">K16+L16+M16+N16</f>
        <v>1</v>
      </c>
      <c r="K16">
        <v>1</v>
      </c>
    </row>
    <row r="17" spans="1:11">
      <c r="C17">
        <v>3</v>
      </c>
      <c r="D17" t="s">
        <v>294</v>
      </c>
      <c r="E17" t="s">
        <v>938</v>
      </c>
      <c r="F17" t="s">
        <v>939</v>
      </c>
      <c r="G17" t="s">
        <v>13</v>
      </c>
      <c r="H17">
        <f t="shared" si="0"/>
        <v>2</v>
      </c>
      <c r="K17">
        <v>2</v>
      </c>
    </row>
    <row r="18" spans="1:11">
      <c r="C18">
        <v>4</v>
      </c>
      <c r="D18" t="s">
        <v>294</v>
      </c>
      <c r="E18" t="s">
        <v>940</v>
      </c>
      <c r="F18" t="s">
        <v>941</v>
      </c>
      <c r="G18" t="s">
        <v>13</v>
      </c>
      <c r="H18">
        <f t="shared" si="0"/>
        <v>1</v>
      </c>
      <c r="K18">
        <v>1</v>
      </c>
    </row>
    <row r="19" spans="1:11">
      <c r="C19">
        <v>5</v>
      </c>
      <c r="D19" t="s">
        <v>294</v>
      </c>
      <c r="E19" t="s">
        <v>942</v>
      </c>
      <c r="F19" t="s">
        <v>943</v>
      </c>
      <c r="G19" t="s">
        <v>13</v>
      </c>
      <c r="H19">
        <f t="shared" si="0"/>
        <v>1</v>
      </c>
      <c r="K19">
        <v>1</v>
      </c>
    </row>
    <row r="20" spans="1:11">
      <c r="C20">
        <v>6</v>
      </c>
      <c r="D20" t="s">
        <v>294</v>
      </c>
      <c r="E20" t="s">
        <v>944</v>
      </c>
      <c r="F20" t="s">
        <v>945</v>
      </c>
      <c r="G20" t="s">
        <v>13</v>
      </c>
      <c r="H20">
        <f t="shared" si="0"/>
        <v>1</v>
      </c>
      <c r="K20">
        <v>1</v>
      </c>
    </row>
    <row r="21" spans="1:11">
      <c r="C21">
        <v>7</v>
      </c>
      <c r="D21" t="s">
        <v>294</v>
      </c>
      <c r="E21" t="s">
        <v>946</v>
      </c>
      <c r="F21" t="s">
        <v>947</v>
      </c>
      <c r="G21" t="s">
        <v>13</v>
      </c>
      <c r="H21">
        <f t="shared" si="0"/>
        <v>1</v>
      </c>
      <c r="K21">
        <v>1</v>
      </c>
    </row>
    <row r="22" spans="1:11">
      <c r="C22">
        <v>8</v>
      </c>
      <c r="D22" t="s">
        <v>294</v>
      </c>
      <c r="E22" t="s">
        <v>948</v>
      </c>
      <c r="F22" t="s">
        <v>949</v>
      </c>
      <c r="G22" t="s">
        <v>13</v>
      </c>
      <c r="H22">
        <f t="shared" si="0"/>
        <v>1</v>
      </c>
      <c r="K22">
        <v>1</v>
      </c>
    </row>
    <row r="23" spans="1:11">
      <c r="C23">
        <v>9</v>
      </c>
      <c r="D23" t="s">
        <v>294</v>
      </c>
      <c r="E23" t="s">
        <v>950</v>
      </c>
      <c r="F23" t="s">
        <v>951</v>
      </c>
      <c r="G23" t="s">
        <v>14</v>
      </c>
      <c r="H23">
        <f t="shared" si="0"/>
        <v>1</v>
      </c>
      <c r="K23">
        <v>1</v>
      </c>
    </row>
    <row r="24" spans="1:11">
      <c r="D24" t="s">
        <v>707</v>
      </c>
      <c r="F24" t="s">
        <v>927</v>
      </c>
    </row>
    <row r="25" spans="1:11">
      <c r="A25" t="s">
        <v>952</v>
      </c>
    </row>
    <row r="26" spans="1:11">
      <c r="C26">
        <v>10</v>
      </c>
      <c r="D26" t="s">
        <v>294</v>
      </c>
      <c r="E26" t="s">
        <v>953</v>
      </c>
      <c r="F26" t="s">
        <v>954</v>
      </c>
      <c r="G26" t="s">
        <v>14</v>
      </c>
      <c r="H26">
        <f t="shared" si="0"/>
        <v>1</v>
      </c>
      <c r="K26">
        <v>1</v>
      </c>
    </row>
    <row r="27" spans="1:11">
      <c r="D27" t="s">
        <v>707</v>
      </c>
      <c r="F27" t="s">
        <v>927</v>
      </c>
    </row>
    <row r="28" spans="1:11">
      <c r="A28" t="s">
        <v>955</v>
      </c>
    </row>
    <row r="29" spans="1:11">
      <c r="A29" t="s">
        <v>956</v>
      </c>
    </row>
    <row r="30" spans="1:11">
      <c r="A30" t="s">
        <v>957</v>
      </c>
    </row>
    <row r="31" spans="1:11">
      <c r="A31" t="s">
        <v>958</v>
      </c>
    </row>
    <row r="32" spans="1:11">
      <c r="D32" t="s">
        <v>288</v>
      </c>
      <c r="E32" t="s">
        <v>90</v>
      </c>
      <c r="F32" s="132" t="s">
        <v>959</v>
      </c>
    </row>
    <row r="33" spans="3:11">
      <c r="C33">
        <v>11</v>
      </c>
      <c r="D33" t="s">
        <v>294</v>
      </c>
      <c r="E33" t="s">
        <v>960</v>
      </c>
      <c r="F33" t="s">
        <v>961</v>
      </c>
      <c r="G33" t="s">
        <v>13</v>
      </c>
      <c r="H33">
        <f t="shared" si="0"/>
        <v>1</v>
      </c>
      <c r="K33">
        <v>1</v>
      </c>
    </row>
    <row r="34" spans="3:11">
      <c r="C34">
        <v>12</v>
      </c>
      <c r="D34" t="s">
        <v>294</v>
      </c>
      <c r="E34" t="s">
        <v>962</v>
      </c>
      <c r="F34" t="s">
        <v>963</v>
      </c>
      <c r="G34" t="s">
        <v>13</v>
      </c>
      <c r="H34">
        <f t="shared" si="0"/>
        <v>1</v>
      </c>
      <c r="K34">
        <v>1</v>
      </c>
    </row>
    <row r="35" spans="3:11">
      <c r="C35">
        <v>13</v>
      </c>
      <c r="D35" t="s">
        <v>294</v>
      </c>
      <c r="E35" t="s">
        <v>964</v>
      </c>
      <c r="F35" t="s">
        <v>965</v>
      </c>
      <c r="G35" t="s">
        <v>13</v>
      </c>
      <c r="H35">
        <f t="shared" si="0"/>
        <v>2</v>
      </c>
      <c r="K35">
        <v>2</v>
      </c>
    </row>
    <row r="36" spans="3:11">
      <c r="C36">
        <v>14</v>
      </c>
      <c r="D36" t="s">
        <v>294</v>
      </c>
      <c r="E36" t="s">
        <v>966</v>
      </c>
      <c r="F36" t="s">
        <v>967</v>
      </c>
      <c r="G36" t="s">
        <v>13</v>
      </c>
      <c r="H36">
        <f t="shared" si="0"/>
        <v>1</v>
      </c>
      <c r="K36">
        <v>1</v>
      </c>
    </row>
    <row r="37" spans="3:11">
      <c r="C37">
        <v>15</v>
      </c>
      <c r="D37" t="s">
        <v>294</v>
      </c>
      <c r="E37" t="s">
        <v>968</v>
      </c>
      <c r="F37" t="s">
        <v>969</v>
      </c>
      <c r="G37" t="s">
        <v>13</v>
      </c>
      <c r="K37" s="46"/>
    </row>
    <row r="38" spans="3:11">
      <c r="D38" t="s">
        <v>288</v>
      </c>
      <c r="E38" t="s">
        <v>93</v>
      </c>
      <c r="F38" s="132" t="s">
        <v>970</v>
      </c>
    </row>
    <row r="39" spans="3:11">
      <c r="C39">
        <v>16</v>
      </c>
      <c r="D39" t="s">
        <v>294</v>
      </c>
      <c r="E39" t="s">
        <v>971</v>
      </c>
      <c r="F39" t="s">
        <v>972</v>
      </c>
      <c r="G39" t="s">
        <v>13</v>
      </c>
      <c r="H39">
        <f t="shared" si="0"/>
        <v>1</v>
      </c>
      <c r="K39">
        <v>1</v>
      </c>
    </row>
    <row r="40" spans="3:11">
      <c r="C40">
        <v>17</v>
      </c>
      <c r="D40" t="s">
        <v>294</v>
      </c>
      <c r="E40" t="s">
        <v>973</v>
      </c>
      <c r="F40" t="s">
        <v>974</v>
      </c>
      <c r="G40" t="s">
        <v>13</v>
      </c>
      <c r="H40">
        <f t="shared" si="0"/>
        <v>1</v>
      </c>
      <c r="K40">
        <v>1</v>
      </c>
    </row>
    <row r="41" spans="3:11">
      <c r="D41" t="s">
        <v>288</v>
      </c>
      <c r="E41" t="s">
        <v>101</v>
      </c>
      <c r="F41" s="132" t="s">
        <v>975</v>
      </c>
    </row>
    <row r="42" spans="3:11">
      <c r="C42">
        <v>18</v>
      </c>
      <c r="D42" t="s">
        <v>294</v>
      </c>
      <c r="E42" t="s">
        <v>976</v>
      </c>
      <c r="F42" t="s">
        <v>977</v>
      </c>
      <c r="G42" t="s">
        <v>13</v>
      </c>
      <c r="H42">
        <f t="shared" si="0"/>
        <v>1</v>
      </c>
      <c r="K42">
        <v>1</v>
      </c>
    </row>
    <row r="43" spans="3:11">
      <c r="D43" t="s">
        <v>288</v>
      </c>
      <c r="E43" t="s">
        <v>106</v>
      </c>
      <c r="F43" s="132" t="s">
        <v>978</v>
      </c>
    </row>
    <row r="44" spans="3:11">
      <c r="C44">
        <v>19</v>
      </c>
      <c r="D44" t="s">
        <v>294</v>
      </c>
      <c r="E44" t="s">
        <v>979</v>
      </c>
      <c r="F44" t="s">
        <v>980</v>
      </c>
      <c r="G44" t="s">
        <v>13</v>
      </c>
      <c r="H44">
        <f t="shared" si="0"/>
        <v>1</v>
      </c>
      <c r="K44">
        <v>1</v>
      </c>
    </row>
    <row r="45" spans="3:11">
      <c r="C45">
        <v>20</v>
      </c>
      <c r="D45" t="s">
        <v>294</v>
      </c>
      <c r="E45" t="s">
        <v>981</v>
      </c>
      <c r="F45" t="s">
        <v>982</v>
      </c>
      <c r="G45" t="s">
        <v>13</v>
      </c>
      <c r="H45">
        <f t="shared" si="0"/>
        <v>1</v>
      </c>
      <c r="K45">
        <v>1</v>
      </c>
    </row>
    <row r="46" spans="3:11">
      <c r="C46">
        <v>21</v>
      </c>
      <c r="D46" t="s">
        <v>294</v>
      </c>
      <c r="E46" t="s">
        <v>983</v>
      </c>
      <c r="F46" t="s">
        <v>984</v>
      </c>
      <c r="G46" t="s">
        <v>13</v>
      </c>
      <c r="H46">
        <f t="shared" si="0"/>
        <v>4</v>
      </c>
      <c r="K46">
        <v>4</v>
      </c>
    </row>
    <row r="47" spans="3:11">
      <c r="C47">
        <v>22</v>
      </c>
      <c r="D47" t="s">
        <v>294</v>
      </c>
      <c r="E47" t="s">
        <v>985</v>
      </c>
      <c r="F47" t="s">
        <v>986</v>
      </c>
      <c r="G47" t="s">
        <v>13</v>
      </c>
      <c r="H47">
        <f t="shared" si="0"/>
        <v>3</v>
      </c>
      <c r="K47">
        <v>3</v>
      </c>
    </row>
    <row r="48" spans="3:11">
      <c r="C48">
        <v>23</v>
      </c>
      <c r="D48" t="s">
        <v>294</v>
      </c>
      <c r="E48" t="s">
        <v>987</v>
      </c>
      <c r="F48" t="s">
        <v>988</v>
      </c>
      <c r="G48" t="s">
        <v>13</v>
      </c>
      <c r="H48">
        <f t="shared" si="0"/>
        <v>3</v>
      </c>
      <c r="K48">
        <v>3</v>
      </c>
    </row>
    <row r="49" spans="3:11">
      <c r="C49">
        <v>24</v>
      </c>
      <c r="D49" t="s">
        <v>294</v>
      </c>
      <c r="E49" t="s">
        <v>989</v>
      </c>
      <c r="F49" t="s">
        <v>990</v>
      </c>
      <c r="G49" t="s">
        <v>13</v>
      </c>
      <c r="H49">
        <f t="shared" si="0"/>
        <v>1</v>
      </c>
      <c r="K49">
        <v>1</v>
      </c>
    </row>
    <row r="50" spans="3:11">
      <c r="C50">
        <v>25</v>
      </c>
      <c r="D50" t="s">
        <v>294</v>
      </c>
      <c r="E50" t="s">
        <v>991</v>
      </c>
      <c r="F50" t="s">
        <v>992</v>
      </c>
      <c r="G50" t="s">
        <v>13</v>
      </c>
      <c r="H50">
        <f t="shared" si="0"/>
        <v>1</v>
      </c>
      <c r="K50">
        <v>1</v>
      </c>
    </row>
    <row r="51" spans="3:11">
      <c r="C51">
        <v>26</v>
      </c>
      <c r="D51" t="s">
        <v>294</v>
      </c>
      <c r="E51" t="s">
        <v>993</v>
      </c>
      <c r="F51" t="s">
        <v>994</v>
      </c>
      <c r="G51" t="s">
        <v>13</v>
      </c>
      <c r="H51">
        <f t="shared" si="0"/>
        <v>1</v>
      </c>
      <c r="K51">
        <v>1</v>
      </c>
    </row>
    <row r="52" spans="3:11">
      <c r="C52">
        <v>27</v>
      </c>
      <c r="D52" t="s">
        <v>294</v>
      </c>
      <c r="E52" t="s">
        <v>995</v>
      </c>
      <c r="F52" t="s">
        <v>996</v>
      </c>
      <c r="G52" t="s">
        <v>13</v>
      </c>
      <c r="H52">
        <f t="shared" si="0"/>
        <v>1</v>
      </c>
      <c r="K52">
        <v>1</v>
      </c>
    </row>
    <row r="53" spans="3:11">
      <c r="C53">
        <v>28</v>
      </c>
      <c r="D53" t="s">
        <v>294</v>
      </c>
      <c r="E53" t="s">
        <v>997</v>
      </c>
      <c r="F53" t="s">
        <v>998</v>
      </c>
      <c r="G53" t="s">
        <v>13</v>
      </c>
      <c r="H53">
        <f t="shared" si="0"/>
        <v>1</v>
      </c>
      <c r="K53">
        <v>1</v>
      </c>
    </row>
    <row r="54" spans="3:11">
      <c r="C54">
        <v>29</v>
      </c>
      <c r="D54" t="s">
        <v>294</v>
      </c>
      <c r="E54" t="s">
        <v>999</v>
      </c>
      <c r="F54" t="s">
        <v>1000</v>
      </c>
      <c r="G54" t="s">
        <v>13</v>
      </c>
      <c r="H54">
        <f t="shared" si="0"/>
        <v>1</v>
      </c>
      <c r="K54">
        <v>1</v>
      </c>
    </row>
    <row r="55" spans="3:11">
      <c r="C55">
        <v>30</v>
      </c>
      <c r="D55" t="s">
        <v>294</v>
      </c>
      <c r="E55" t="s">
        <v>1001</v>
      </c>
      <c r="F55" t="s">
        <v>1002</v>
      </c>
      <c r="G55" t="s">
        <v>13</v>
      </c>
      <c r="H55">
        <f t="shared" si="0"/>
        <v>4</v>
      </c>
      <c r="K55">
        <v>4</v>
      </c>
    </row>
    <row r="56" spans="3:11">
      <c r="C56">
        <v>31</v>
      </c>
      <c r="D56" t="s">
        <v>294</v>
      </c>
      <c r="E56" t="s">
        <v>1003</v>
      </c>
      <c r="F56" t="s">
        <v>1004</v>
      </c>
      <c r="G56" t="s">
        <v>13</v>
      </c>
      <c r="H56">
        <f t="shared" si="0"/>
        <v>2</v>
      </c>
      <c r="K56">
        <v>2</v>
      </c>
    </row>
    <row r="57" spans="3:11">
      <c r="D57" t="s">
        <v>288</v>
      </c>
      <c r="E57" t="s">
        <v>120</v>
      </c>
      <c r="F57" s="132" t="s">
        <v>1005</v>
      </c>
    </row>
    <row r="58" spans="3:11">
      <c r="C58">
        <v>32</v>
      </c>
      <c r="D58" t="s">
        <v>294</v>
      </c>
      <c r="E58" t="s">
        <v>983</v>
      </c>
      <c r="F58" t="s">
        <v>984</v>
      </c>
      <c r="G58" t="s">
        <v>13</v>
      </c>
      <c r="H58">
        <f t="shared" si="0"/>
        <v>8</v>
      </c>
      <c r="K58">
        <v>8</v>
      </c>
    </row>
    <row r="59" spans="3:11">
      <c r="C59">
        <v>33</v>
      </c>
      <c r="D59" t="s">
        <v>294</v>
      </c>
      <c r="E59" t="s">
        <v>1001</v>
      </c>
      <c r="F59" t="s">
        <v>1002</v>
      </c>
      <c r="G59" t="s">
        <v>13</v>
      </c>
      <c r="H59">
        <f t="shared" si="0"/>
        <v>8</v>
      </c>
      <c r="K59">
        <v>8</v>
      </c>
    </row>
    <row r="60" spans="3:11">
      <c r="C60">
        <v>34</v>
      </c>
      <c r="D60" t="s">
        <v>294</v>
      </c>
      <c r="E60" t="s">
        <v>1003</v>
      </c>
      <c r="F60" t="s">
        <v>1004</v>
      </c>
      <c r="G60" t="s">
        <v>13</v>
      </c>
      <c r="H60">
        <f t="shared" si="0"/>
        <v>8</v>
      </c>
      <c r="K60">
        <v>8</v>
      </c>
    </row>
    <row r="61" spans="3:11">
      <c r="D61" t="s">
        <v>288</v>
      </c>
      <c r="E61" t="s">
        <v>146</v>
      </c>
      <c r="F61" s="132" t="s">
        <v>1006</v>
      </c>
    </row>
    <row r="62" spans="3:11">
      <c r="D62" t="s">
        <v>288</v>
      </c>
      <c r="E62" t="s">
        <v>154</v>
      </c>
      <c r="F62" t="s">
        <v>1007</v>
      </c>
      <c r="H62">
        <f t="shared" si="0"/>
        <v>0</v>
      </c>
    </row>
    <row r="63" spans="3:11">
      <c r="C63">
        <v>35</v>
      </c>
      <c r="D63" t="s">
        <v>294</v>
      </c>
      <c r="E63" t="s">
        <v>1008</v>
      </c>
      <c r="F63" t="s">
        <v>1009</v>
      </c>
      <c r="G63" t="s">
        <v>14</v>
      </c>
      <c r="H63">
        <f t="shared" si="0"/>
        <v>0</v>
      </c>
    </row>
    <row r="64" spans="3:11">
      <c r="D64" t="s">
        <v>707</v>
      </c>
      <c r="F64" t="s">
        <v>927</v>
      </c>
      <c r="H64">
        <f t="shared" si="0"/>
        <v>0</v>
      </c>
    </row>
    <row r="65" spans="1:14">
      <c r="A65" t="s">
        <v>1010</v>
      </c>
    </row>
    <row r="66" spans="1:14">
      <c r="A66" t="s">
        <v>1011</v>
      </c>
    </row>
    <row r="67" spans="1:14">
      <c r="C67">
        <v>36</v>
      </c>
      <c r="D67" t="s">
        <v>294</v>
      </c>
      <c r="E67" t="s">
        <v>1012</v>
      </c>
      <c r="F67" t="s">
        <v>1013</v>
      </c>
      <c r="G67" t="s">
        <v>14</v>
      </c>
      <c r="H67">
        <f t="shared" si="0"/>
        <v>0</v>
      </c>
    </row>
    <row r="68" spans="1:14">
      <c r="D68" t="s">
        <v>707</v>
      </c>
      <c r="F68" t="s">
        <v>927</v>
      </c>
      <c r="H68">
        <f t="shared" si="0"/>
        <v>0</v>
      </c>
    </row>
    <row r="69" spans="1:14">
      <c r="A69" t="s">
        <v>1010</v>
      </c>
    </row>
    <row r="70" spans="1:14">
      <c r="A70" t="s">
        <v>1011</v>
      </c>
    </row>
    <row r="71" spans="1:14">
      <c r="C71">
        <v>37</v>
      </c>
      <c r="D71" t="s">
        <v>294</v>
      </c>
      <c r="E71" t="s">
        <v>1014</v>
      </c>
      <c r="F71" t="s">
        <v>1015</v>
      </c>
      <c r="G71" t="s">
        <v>14</v>
      </c>
      <c r="H71">
        <f t="shared" ref="H71:H134" si="1">K71+L71+M71+N71</f>
        <v>3</v>
      </c>
      <c r="N71">
        <v>3</v>
      </c>
    </row>
    <row r="72" spans="1:14">
      <c r="D72" t="s">
        <v>707</v>
      </c>
      <c r="F72" t="s">
        <v>927</v>
      </c>
    </row>
    <row r="73" spans="1:14">
      <c r="A73" t="s">
        <v>1010</v>
      </c>
    </row>
    <row r="74" spans="1:14">
      <c r="A74" t="s">
        <v>1011</v>
      </c>
    </row>
    <row r="75" spans="1:14">
      <c r="D75" t="s">
        <v>288</v>
      </c>
      <c r="E75" t="s">
        <v>160</v>
      </c>
      <c r="F75" t="s">
        <v>1016</v>
      </c>
      <c r="H75">
        <f t="shared" si="1"/>
        <v>8</v>
      </c>
      <c r="L75">
        <v>4</v>
      </c>
      <c r="M75">
        <v>4</v>
      </c>
    </row>
    <row r="76" spans="1:14">
      <c r="C76">
        <v>38</v>
      </c>
      <c r="D76" t="s">
        <v>294</v>
      </c>
      <c r="E76" t="s">
        <v>1012</v>
      </c>
      <c r="F76" t="s">
        <v>1013</v>
      </c>
      <c r="G76" t="s">
        <v>14</v>
      </c>
      <c r="H76">
        <f t="shared" si="1"/>
        <v>0</v>
      </c>
    </row>
    <row r="77" spans="1:14">
      <c r="D77" t="s">
        <v>707</v>
      </c>
      <c r="F77" t="s">
        <v>927</v>
      </c>
    </row>
    <row r="78" spans="1:14">
      <c r="A78" t="s">
        <v>1010</v>
      </c>
    </row>
    <row r="79" spans="1:14">
      <c r="A79" t="s">
        <v>1011</v>
      </c>
    </row>
    <row r="80" spans="1:14">
      <c r="C80">
        <v>39</v>
      </c>
      <c r="D80" t="s">
        <v>294</v>
      </c>
      <c r="E80" t="s">
        <v>1014</v>
      </c>
      <c r="F80" t="s">
        <v>1015</v>
      </c>
      <c r="G80" t="s">
        <v>14</v>
      </c>
      <c r="H80">
        <f t="shared" si="1"/>
        <v>0</v>
      </c>
    </row>
    <row r="81" spans="1:14">
      <c r="D81" t="s">
        <v>707</v>
      </c>
      <c r="F81" t="s">
        <v>927</v>
      </c>
    </row>
    <row r="82" spans="1:14">
      <c r="A82" t="s">
        <v>1010</v>
      </c>
    </row>
    <row r="83" spans="1:14">
      <c r="A83" t="s">
        <v>1011</v>
      </c>
    </row>
    <row r="84" spans="1:14">
      <c r="C84">
        <v>40</v>
      </c>
      <c r="D84" t="s">
        <v>294</v>
      </c>
      <c r="E84" t="s">
        <v>1017</v>
      </c>
      <c r="F84" t="s">
        <v>1018</v>
      </c>
      <c r="G84" t="s">
        <v>14</v>
      </c>
      <c r="H84">
        <f t="shared" si="1"/>
        <v>11</v>
      </c>
      <c r="L84">
        <v>4</v>
      </c>
      <c r="M84">
        <v>4</v>
      </c>
      <c r="N84">
        <v>3</v>
      </c>
    </row>
    <row r="85" spans="1:14">
      <c r="D85" t="s">
        <v>707</v>
      </c>
      <c r="F85" t="s">
        <v>927</v>
      </c>
    </row>
    <row r="86" spans="1:14">
      <c r="A86" t="s">
        <v>1019</v>
      </c>
    </row>
    <row r="87" spans="1:14">
      <c r="A87" t="s">
        <v>1020</v>
      </c>
    </row>
    <row r="88" spans="1:14">
      <c r="A88" t="s">
        <v>1021</v>
      </c>
    </row>
    <row r="89" spans="1:14">
      <c r="D89" t="s">
        <v>288</v>
      </c>
      <c r="E89" t="s">
        <v>1022</v>
      </c>
      <c r="F89" s="132" t="s">
        <v>1023</v>
      </c>
    </row>
    <row r="90" spans="1:14">
      <c r="D90" t="s">
        <v>288</v>
      </c>
      <c r="E90" t="s">
        <v>190</v>
      </c>
      <c r="F90" s="132" t="s">
        <v>1024</v>
      </c>
    </row>
    <row r="91" spans="1:14">
      <c r="C91">
        <v>41</v>
      </c>
      <c r="D91" t="s">
        <v>294</v>
      </c>
      <c r="E91" t="s">
        <v>981</v>
      </c>
      <c r="F91" t="s">
        <v>982</v>
      </c>
      <c r="G91" t="s">
        <v>13</v>
      </c>
      <c r="H91">
        <f t="shared" si="1"/>
        <v>3</v>
      </c>
      <c r="L91">
        <v>1</v>
      </c>
      <c r="M91">
        <v>1</v>
      </c>
      <c r="N91">
        <v>1</v>
      </c>
    </row>
    <row r="92" spans="1:14">
      <c r="C92">
        <v>42</v>
      </c>
      <c r="D92" t="s">
        <v>294</v>
      </c>
      <c r="E92" t="s">
        <v>1025</v>
      </c>
      <c r="F92" t="s">
        <v>1026</v>
      </c>
      <c r="G92" t="s">
        <v>13</v>
      </c>
      <c r="H92">
        <f t="shared" si="1"/>
        <v>3</v>
      </c>
      <c r="L92">
        <v>1</v>
      </c>
      <c r="M92">
        <v>1</v>
      </c>
      <c r="N92">
        <v>1</v>
      </c>
    </row>
    <row r="93" spans="1:14">
      <c r="C93">
        <v>43</v>
      </c>
      <c r="D93" t="s">
        <v>294</v>
      </c>
      <c r="E93" t="s">
        <v>1027</v>
      </c>
      <c r="F93" t="s">
        <v>1028</v>
      </c>
      <c r="G93" t="s">
        <v>13</v>
      </c>
      <c r="H93">
        <f t="shared" si="1"/>
        <v>3</v>
      </c>
      <c r="L93">
        <v>1</v>
      </c>
      <c r="M93">
        <v>1</v>
      </c>
      <c r="N93">
        <v>1</v>
      </c>
    </row>
    <row r="94" spans="1:14">
      <c r="C94">
        <v>44</v>
      </c>
      <c r="D94" t="s">
        <v>294</v>
      </c>
      <c r="E94" t="s">
        <v>1001</v>
      </c>
      <c r="F94" t="s">
        <v>1002</v>
      </c>
      <c r="G94" t="s">
        <v>13</v>
      </c>
      <c r="H94">
        <f t="shared" si="1"/>
        <v>6</v>
      </c>
      <c r="L94">
        <v>2</v>
      </c>
      <c r="M94">
        <v>2</v>
      </c>
      <c r="N94">
        <v>2</v>
      </c>
    </row>
    <row r="95" spans="1:14">
      <c r="D95" t="s">
        <v>288</v>
      </c>
      <c r="E95" t="s">
        <v>198</v>
      </c>
      <c r="F95" s="132" t="s">
        <v>1029</v>
      </c>
    </row>
    <row r="96" spans="1:14">
      <c r="C96">
        <v>45</v>
      </c>
      <c r="D96" t="s">
        <v>294</v>
      </c>
      <c r="E96" t="s">
        <v>1030</v>
      </c>
      <c r="F96" t="s">
        <v>1031</v>
      </c>
      <c r="G96" t="s">
        <v>13</v>
      </c>
      <c r="H96">
        <f t="shared" si="1"/>
        <v>1</v>
      </c>
      <c r="K96">
        <v>1</v>
      </c>
    </row>
    <row r="97" spans="3:15">
      <c r="C97">
        <v>46</v>
      </c>
      <c r="D97" t="s">
        <v>294</v>
      </c>
      <c r="E97" t="s">
        <v>1032</v>
      </c>
      <c r="F97" t="s">
        <v>1033</v>
      </c>
      <c r="G97" t="s">
        <v>13</v>
      </c>
      <c r="H97">
        <f t="shared" si="1"/>
        <v>5</v>
      </c>
      <c r="K97">
        <v>5</v>
      </c>
    </row>
    <row r="98" spans="3:15">
      <c r="D98" t="s">
        <v>288</v>
      </c>
      <c r="E98" t="s">
        <v>208</v>
      </c>
      <c r="F98" s="132" t="s">
        <v>1034</v>
      </c>
      <c r="H98">
        <f t="shared" si="1"/>
        <v>0</v>
      </c>
    </row>
    <row r="99" spans="3:15">
      <c r="C99">
        <v>47</v>
      </c>
      <c r="D99" t="s">
        <v>294</v>
      </c>
      <c r="E99" t="s">
        <v>1035</v>
      </c>
      <c r="F99" t="s">
        <v>1036</v>
      </c>
      <c r="G99" t="s">
        <v>13</v>
      </c>
      <c r="H99">
        <f t="shared" si="1"/>
        <v>1</v>
      </c>
      <c r="K99">
        <v>1</v>
      </c>
    </row>
    <row r="100" spans="3:15">
      <c r="C100">
        <v>48</v>
      </c>
      <c r="D100" t="s">
        <v>294</v>
      </c>
      <c r="E100" t="s">
        <v>1037</v>
      </c>
      <c r="F100" t="s">
        <v>1038</v>
      </c>
      <c r="G100" t="s">
        <v>13</v>
      </c>
      <c r="H100">
        <f t="shared" si="1"/>
        <v>0</v>
      </c>
    </row>
    <row r="101" spans="3:15">
      <c r="D101" t="s">
        <v>288</v>
      </c>
      <c r="E101" t="s">
        <v>238</v>
      </c>
      <c r="F101" s="132" t="s">
        <v>1039</v>
      </c>
      <c r="H101">
        <f t="shared" si="1"/>
        <v>0</v>
      </c>
    </row>
    <row r="102" spans="3:15">
      <c r="C102">
        <v>49</v>
      </c>
      <c r="D102" t="s">
        <v>294</v>
      </c>
      <c r="E102" t="s">
        <v>1040</v>
      </c>
      <c r="F102" t="s">
        <v>1041</v>
      </c>
      <c r="G102" t="s">
        <v>13</v>
      </c>
      <c r="H102">
        <f t="shared" si="1"/>
        <v>8</v>
      </c>
      <c r="L102">
        <v>2</v>
      </c>
      <c r="M102">
        <v>6</v>
      </c>
      <c r="O102" t="s">
        <v>1042</v>
      </c>
    </row>
    <row r="103" spans="3:15">
      <c r="C103">
        <v>50</v>
      </c>
      <c r="D103" t="s">
        <v>294</v>
      </c>
      <c r="E103" t="s">
        <v>1043</v>
      </c>
      <c r="F103" t="s">
        <v>1044</v>
      </c>
      <c r="G103" t="s">
        <v>13</v>
      </c>
      <c r="H103">
        <f t="shared" si="1"/>
        <v>8</v>
      </c>
      <c r="L103">
        <v>3</v>
      </c>
      <c r="M103">
        <v>2</v>
      </c>
      <c r="N103">
        <v>3</v>
      </c>
      <c r="O103" t="s">
        <v>1045</v>
      </c>
    </row>
    <row r="104" spans="3:15">
      <c r="C104">
        <v>51</v>
      </c>
      <c r="D104" t="s">
        <v>294</v>
      </c>
      <c r="E104" t="s">
        <v>1046</v>
      </c>
      <c r="F104" t="s">
        <v>1047</v>
      </c>
      <c r="G104" t="s">
        <v>13</v>
      </c>
      <c r="H104">
        <f t="shared" si="1"/>
        <v>5</v>
      </c>
      <c r="L104">
        <v>2</v>
      </c>
      <c r="N104">
        <v>3</v>
      </c>
      <c r="O104" t="s">
        <v>1048</v>
      </c>
    </row>
    <row r="105" spans="3:15">
      <c r="C105">
        <v>52</v>
      </c>
      <c r="D105" t="s">
        <v>294</v>
      </c>
      <c r="E105" t="s">
        <v>1049</v>
      </c>
      <c r="F105" t="s">
        <v>1050</v>
      </c>
      <c r="G105" t="s">
        <v>13</v>
      </c>
      <c r="H105">
        <f t="shared" si="1"/>
        <v>0</v>
      </c>
    </row>
    <row r="106" spans="3:15">
      <c r="C106">
        <v>53</v>
      </c>
      <c r="D106" t="s">
        <v>294</v>
      </c>
      <c r="E106" t="s">
        <v>1051</v>
      </c>
      <c r="F106" t="s">
        <v>1052</v>
      </c>
      <c r="G106" t="s">
        <v>13</v>
      </c>
      <c r="H106">
        <f t="shared" si="1"/>
        <v>0</v>
      </c>
    </row>
    <row r="107" spans="3:15">
      <c r="C107">
        <v>54</v>
      </c>
      <c r="D107" t="s">
        <v>294</v>
      </c>
      <c r="E107" t="s">
        <v>1053</v>
      </c>
      <c r="F107" t="s">
        <v>1054</v>
      </c>
      <c r="G107" t="s">
        <v>13</v>
      </c>
      <c r="H107">
        <f t="shared" si="1"/>
        <v>0</v>
      </c>
    </row>
    <row r="108" spans="3:15">
      <c r="C108">
        <v>55</v>
      </c>
      <c r="D108" t="s">
        <v>294</v>
      </c>
      <c r="E108" t="s">
        <v>1055</v>
      </c>
      <c r="F108" t="s">
        <v>1056</v>
      </c>
      <c r="G108" t="s">
        <v>13</v>
      </c>
      <c r="H108">
        <f t="shared" si="1"/>
        <v>0</v>
      </c>
    </row>
    <row r="109" spans="3:15">
      <c r="C109">
        <v>56</v>
      </c>
      <c r="D109" t="s">
        <v>294</v>
      </c>
      <c r="E109" t="s">
        <v>1057</v>
      </c>
      <c r="F109" t="s">
        <v>1058</v>
      </c>
      <c r="G109" t="s">
        <v>13</v>
      </c>
      <c r="H109">
        <f t="shared" si="1"/>
        <v>0</v>
      </c>
    </row>
    <row r="110" spans="3:15">
      <c r="C110">
        <v>57</v>
      </c>
      <c r="D110" t="s">
        <v>294</v>
      </c>
      <c r="E110" t="s">
        <v>1059</v>
      </c>
      <c r="F110" t="s">
        <v>1060</v>
      </c>
      <c r="G110" t="s">
        <v>13</v>
      </c>
      <c r="H110">
        <f t="shared" si="1"/>
        <v>0</v>
      </c>
    </row>
    <row r="111" spans="3:15">
      <c r="C111">
        <v>58</v>
      </c>
      <c r="D111" t="s">
        <v>294</v>
      </c>
      <c r="E111" t="s">
        <v>1061</v>
      </c>
      <c r="F111" t="s">
        <v>1062</v>
      </c>
      <c r="G111" t="s">
        <v>13</v>
      </c>
      <c r="H111">
        <f t="shared" si="1"/>
        <v>0</v>
      </c>
    </row>
    <row r="112" spans="3:15">
      <c r="C112">
        <v>59</v>
      </c>
      <c r="D112" t="s">
        <v>294</v>
      </c>
      <c r="E112" t="s">
        <v>1063</v>
      </c>
      <c r="F112" t="s">
        <v>1064</v>
      </c>
      <c r="G112" t="s">
        <v>13</v>
      </c>
      <c r="H112">
        <f t="shared" si="1"/>
        <v>0</v>
      </c>
    </row>
    <row r="113" spans="1:15">
      <c r="C113">
        <v>60</v>
      </c>
      <c r="D113" t="s">
        <v>294</v>
      </c>
      <c r="E113" t="s">
        <v>1065</v>
      </c>
      <c r="F113" t="s">
        <v>1066</v>
      </c>
      <c r="G113" t="s">
        <v>13</v>
      </c>
      <c r="H113">
        <f t="shared" si="1"/>
        <v>0</v>
      </c>
    </row>
    <row r="114" spans="1:15">
      <c r="C114">
        <v>61</v>
      </c>
      <c r="D114" t="s">
        <v>294</v>
      </c>
      <c r="E114" t="s">
        <v>1067</v>
      </c>
      <c r="F114" t="s">
        <v>1068</v>
      </c>
      <c r="G114" t="s">
        <v>13</v>
      </c>
      <c r="H114">
        <f t="shared" si="1"/>
        <v>0</v>
      </c>
    </row>
    <row r="115" spans="1:15">
      <c r="C115">
        <v>62</v>
      </c>
      <c r="D115" t="s">
        <v>294</v>
      </c>
      <c r="E115" t="s">
        <v>1069</v>
      </c>
      <c r="F115" t="s">
        <v>1070</v>
      </c>
      <c r="G115" t="s">
        <v>13</v>
      </c>
      <c r="H115">
        <f t="shared" si="1"/>
        <v>0</v>
      </c>
    </row>
    <row r="116" spans="1:15">
      <c r="C116">
        <v>63</v>
      </c>
      <c r="D116" t="s">
        <v>294</v>
      </c>
      <c r="E116" t="s">
        <v>1071</v>
      </c>
      <c r="F116" t="s">
        <v>1072</v>
      </c>
      <c r="G116" t="s">
        <v>13</v>
      </c>
      <c r="H116">
        <f t="shared" si="1"/>
        <v>2</v>
      </c>
      <c r="N116">
        <v>2</v>
      </c>
    </row>
    <row r="117" spans="1:15">
      <c r="D117" t="s">
        <v>288</v>
      </c>
      <c r="E117" t="s">
        <v>240</v>
      </c>
      <c r="F117" s="132" t="s">
        <v>1073</v>
      </c>
    </row>
    <row r="118" spans="1:15">
      <c r="C118">
        <v>64</v>
      </c>
      <c r="D118" t="s">
        <v>294</v>
      </c>
      <c r="E118" t="s">
        <v>1074</v>
      </c>
      <c r="F118" t="s">
        <v>1075</v>
      </c>
      <c r="G118" t="s">
        <v>13</v>
      </c>
      <c r="H118">
        <f t="shared" si="1"/>
        <v>0</v>
      </c>
    </row>
    <row r="119" spans="1:15">
      <c r="C119">
        <v>65</v>
      </c>
      <c r="D119" t="s">
        <v>294</v>
      </c>
      <c r="E119" t="s">
        <v>1076</v>
      </c>
      <c r="F119" t="s">
        <v>1077</v>
      </c>
      <c r="G119" t="s">
        <v>13</v>
      </c>
      <c r="H119">
        <f t="shared" si="1"/>
        <v>0</v>
      </c>
    </row>
    <row r="120" spans="1:15">
      <c r="C120">
        <v>66</v>
      </c>
      <c r="D120" t="s">
        <v>294</v>
      </c>
      <c r="E120" t="s">
        <v>1078</v>
      </c>
      <c r="F120" t="s">
        <v>1079</v>
      </c>
      <c r="G120" t="s">
        <v>13</v>
      </c>
      <c r="H120">
        <f t="shared" si="1"/>
        <v>3</v>
      </c>
      <c r="N120">
        <v>3</v>
      </c>
    </row>
    <row r="121" spans="1:15">
      <c r="C121">
        <v>67</v>
      </c>
      <c r="D121" t="s">
        <v>294</v>
      </c>
      <c r="E121" t="s">
        <v>1080</v>
      </c>
      <c r="F121" t="s">
        <v>1081</v>
      </c>
      <c r="G121" t="s">
        <v>13</v>
      </c>
      <c r="H121">
        <f t="shared" si="1"/>
        <v>0</v>
      </c>
    </row>
    <row r="122" spans="1:15">
      <c r="C122">
        <v>68</v>
      </c>
      <c r="D122" t="s">
        <v>294</v>
      </c>
      <c r="E122" t="s">
        <v>1082</v>
      </c>
      <c r="F122" t="s">
        <v>1083</v>
      </c>
      <c r="G122" t="s">
        <v>13</v>
      </c>
      <c r="H122">
        <f t="shared" si="1"/>
        <v>10</v>
      </c>
      <c r="L122">
        <v>6</v>
      </c>
      <c r="M122">
        <v>4</v>
      </c>
      <c r="O122" t="s">
        <v>1084</v>
      </c>
    </row>
    <row r="123" spans="1:15">
      <c r="C123">
        <v>69</v>
      </c>
      <c r="D123" t="s">
        <v>294</v>
      </c>
      <c r="E123" t="s">
        <v>1085</v>
      </c>
      <c r="F123" t="s">
        <v>1086</v>
      </c>
      <c r="G123" t="s">
        <v>13</v>
      </c>
      <c r="H123">
        <f t="shared" si="1"/>
        <v>0</v>
      </c>
    </row>
    <row r="124" spans="1:15">
      <c r="C124">
        <v>70</v>
      </c>
      <c r="D124" t="s">
        <v>294</v>
      </c>
      <c r="E124" t="s">
        <v>1087</v>
      </c>
      <c r="F124" t="s">
        <v>1088</v>
      </c>
      <c r="G124" t="s">
        <v>13</v>
      </c>
      <c r="H124">
        <f t="shared" si="1"/>
        <v>0</v>
      </c>
    </row>
    <row r="125" spans="1:15">
      <c r="D125" t="s">
        <v>707</v>
      </c>
      <c r="F125" t="s">
        <v>927</v>
      </c>
      <c r="H125">
        <f t="shared" si="1"/>
        <v>0</v>
      </c>
    </row>
    <row r="126" spans="1:15">
      <c r="A126" t="s">
        <v>1089</v>
      </c>
    </row>
    <row r="127" spans="1:15">
      <c r="D127" t="s">
        <v>288</v>
      </c>
      <c r="E127" t="s">
        <v>245</v>
      </c>
      <c r="F127" s="132" t="s">
        <v>1090</v>
      </c>
    </row>
    <row r="128" spans="1:15">
      <c r="C128">
        <v>71</v>
      </c>
      <c r="D128" t="s">
        <v>294</v>
      </c>
      <c r="E128" t="s">
        <v>1091</v>
      </c>
      <c r="F128" t="s">
        <v>1092</v>
      </c>
      <c r="G128" t="s">
        <v>13</v>
      </c>
      <c r="H128">
        <f t="shared" si="1"/>
        <v>0</v>
      </c>
    </row>
    <row r="129" spans="3:14">
      <c r="C129">
        <v>72</v>
      </c>
      <c r="D129" t="s">
        <v>294</v>
      </c>
      <c r="E129" t="s">
        <v>1093</v>
      </c>
      <c r="F129" t="s">
        <v>1094</v>
      </c>
      <c r="G129" t="s">
        <v>13</v>
      </c>
      <c r="H129">
        <f t="shared" si="1"/>
        <v>11</v>
      </c>
      <c r="L129">
        <v>4</v>
      </c>
      <c r="M129">
        <v>4</v>
      </c>
      <c r="N129">
        <v>3</v>
      </c>
    </row>
    <row r="130" spans="3:14">
      <c r="D130" t="s">
        <v>288</v>
      </c>
      <c r="E130" t="s">
        <v>247</v>
      </c>
      <c r="F130" s="132" t="s">
        <v>1095</v>
      </c>
    </row>
    <row r="131" spans="3:14">
      <c r="C131">
        <v>73</v>
      </c>
      <c r="D131" t="s">
        <v>294</v>
      </c>
      <c r="E131" t="s">
        <v>1096</v>
      </c>
      <c r="F131" t="s">
        <v>1097</v>
      </c>
      <c r="G131" t="s">
        <v>13</v>
      </c>
      <c r="H131">
        <f t="shared" si="1"/>
        <v>1</v>
      </c>
      <c r="K131">
        <v>1</v>
      </c>
    </row>
    <row r="132" spans="3:14">
      <c r="C132">
        <v>74</v>
      </c>
      <c r="D132" t="s">
        <v>294</v>
      </c>
      <c r="E132" t="s">
        <v>1098</v>
      </c>
      <c r="F132" t="s">
        <v>1099</v>
      </c>
      <c r="G132" t="s">
        <v>13</v>
      </c>
      <c r="H132">
        <f t="shared" si="1"/>
        <v>11</v>
      </c>
      <c r="L132">
        <v>4</v>
      </c>
      <c r="M132">
        <v>4</v>
      </c>
      <c r="N132">
        <v>3</v>
      </c>
    </row>
    <row r="133" spans="3:14">
      <c r="C133">
        <v>75</v>
      </c>
      <c r="D133" t="s">
        <v>294</v>
      </c>
      <c r="E133" t="s">
        <v>1100</v>
      </c>
      <c r="F133" t="s">
        <v>1101</v>
      </c>
      <c r="G133" t="s">
        <v>13</v>
      </c>
      <c r="H133">
        <f t="shared" si="1"/>
        <v>23</v>
      </c>
      <c r="L133">
        <v>7</v>
      </c>
      <c r="M133">
        <v>8</v>
      </c>
      <c r="N133">
        <v>8</v>
      </c>
    </row>
    <row r="134" spans="3:14">
      <c r="C134">
        <v>76</v>
      </c>
      <c r="D134" t="s">
        <v>294</v>
      </c>
      <c r="E134" t="s">
        <v>1102</v>
      </c>
      <c r="F134" t="s">
        <v>1103</v>
      </c>
      <c r="G134" t="s">
        <v>13</v>
      </c>
      <c r="H134">
        <f t="shared" si="1"/>
        <v>1</v>
      </c>
      <c r="K134">
        <v>1</v>
      </c>
    </row>
    <row r="135" spans="3:14">
      <c r="C135">
        <v>77</v>
      </c>
      <c r="D135" t="s">
        <v>294</v>
      </c>
      <c r="E135" t="s">
        <v>1104</v>
      </c>
      <c r="F135" t="s">
        <v>1105</v>
      </c>
      <c r="G135" t="s">
        <v>13</v>
      </c>
      <c r="H135">
        <f t="shared" ref="H135:H183" si="2">K135+L135+M135+N135</f>
        <v>23</v>
      </c>
      <c r="L135">
        <v>7</v>
      </c>
      <c r="M135">
        <v>8</v>
      </c>
      <c r="N135">
        <v>8</v>
      </c>
    </row>
    <row r="136" spans="3:14">
      <c r="C136">
        <v>78</v>
      </c>
      <c r="D136" t="s">
        <v>294</v>
      </c>
      <c r="E136" t="s">
        <v>1106</v>
      </c>
      <c r="F136" t="s">
        <v>1107</v>
      </c>
      <c r="G136" t="s">
        <v>13</v>
      </c>
      <c r="H136">
        <f t="shared" si="2"/>
        <v>1</v>
      </c>
      <c r="K136">
        <v>1</v>
      </c>
    </row>
    <row r="137" spans="3:14">
      <c r="C137">
        <v>79</v>
      </c>
      <c r="D137" t="s">
        <v>294</v>
      </c>
      <c r="E137" t="s">
        <v>1108</v>
      </c>
      <c r="F137" t="s">
        <v>1109</v>
      </c>
      <c r="G137" t="s">
        <v>13</v>
      </c>
      <c r="H137">
        <f t="shared" si="2"/>
        <v>0</v>
      </c>
    </row>
    <row r="138" spans="3:14">
      <c r="C138">
        <v>80</v>
      </c>
      <c r="D138" t="s">
        <v>294</v>
      </c>
      <c r="E138" t="s">
        <v>1110</v>
      </c>
      <c r="F138" t="s">
        <v>1111</v>
      </c>
      <c r="G138" t="s">
        <v>13</v>
      </c>
      <c r="H138">
        <f t="shared" si="2"/>
        <v>11</v>
      </c>
      <c r="L138">
        <v>4</v>
      </c>
      <c r="M138">
        <v>4</v>
      </c>
      <c r="N138">
        <v>3</v>
      </c>
    </row>
    <row r="139" spans="3:14">
      <c r="C139">
        <v>81</v>
      </c>
      <c r="D139" t="s">
        <v>294</v>
      </c>
      <c r="E139" t="s">
        <v>1112</v>
      </c>
      <c r="F139" t="s">
        <v>1113</v>
      </c>
      <c r="G139" t="s">
        <v>13</v>
      </c>
      <c r="H139">
        <f t="shared" si="2"/>
        <v>11</v>
      </c>
      <c r="L139">
        <v>4</v>
      </c>
      <c r="M139">
        <v>4</v>
      </c>
      <c r="N139">
        <v>3</v>
      </c>
    </row>
    <row r="140" spans="3:14">
      <c r="D140" t="s">
        <v>288</v>
      </c>
      <c r="E140" t="s">
        <v>1114</v>
      </c>
      <c r="F140" s="132" t="s">
        <v>1115</v>
      </c>
    </row>
    <row r="141" spans="3:14">
      <c r="C141">
        <v>82</v>
      </c>
      <c r="D141" t="s">
        <v>294</v>
      </c>
      <c r="E141" t="s">
        <v>1116</v>
      </c>
      <c r="F141" t="s">
        <v>1117</v>
      </c>
      <c r="G141" t="s">
        <v>13</v>
      </c>
      <c r="H141">
        <f t="shared" si="2"/>
        <v>13</v>
      </c>
      <c r="L141">
        <v>6</v>
      </c>
      <c r="M141">
        <v>4</v>
      </c>
      <c r="N141">
        <v>3</v>
      </c>
    </row>
    <row r="142" spans="3:14">
      <c r="C142">
        <v>83</v>
      </c>
      <c r="D142" t="s">
        <v>294</v>
      </c>
      <c r="E142" t="s">
        <v>1118</v>
      </c>
      <c r="F142" t="s">
        <v>1119</v>
      </c>
      <c r="G142" t="s">
        <v>13</v>
      </c>
      <c r="H142">
        <f t="shared" si="2"/>
        <v>13</v>
      </c>
      <c r="L142">
        <v>6</v>
      </c>
      <c r="M142">
        <v>4</v>
      </c>
      <c r="N142">
        <v>3</v>
      </c>
    </row>
    <row r="143" spans="3:14">
      <c r="C143">
        <v>84</v>
      </c>
      <c r="D143" t="s">
        <v>294</v>
      </c>
      <c r="E143" t="s">
        <v>1120</v>
      </c>
      <c r="F143" t="s">
        <v>1121</v>
      </c>
      <c r="G143" t="s">
        <v>13</v>
      </c>
      <c r="H143">
        <f t="shared" si="2"/>
        <v>26</v>
      </c>
      <c r="L143">
        <v>12</v>
      </c>
      <c r="M143">
        <v>8</v>
      </c>
      <c r="N143">
        <v>6</v>
      </c>
    </row>
    <row r="144" spans="3:14">
      <c r="D144" t="s">
        <v>288</v>
      </c>
      <c r="E144" t="s">
        <v>1122</v>
      </c>
      <c r="F144" t="s">
        <v>1123</v>
      </c>
      <c r="H144">
        <f t="shared" si="2"/>
        <v>0</v>
      </c>
    </row>
    <row r="145" spans="1:14">
      <c r="C145">
        <v>85</v>
      </c>
      <c r="D145" t="s">
        <v>294</v>
      </c>
      <c r="E145" t="s">
        <v>1124</v>
      </c>
      <c r="F145" t="s">
        <v>1125</v>
      </c>
      <c r="G145" t="s">
        <v>13</v>
      </c>
      <c r="H145">
        <f t="shared" si="2"/>
        <v>12</v>
      </c>
      <c r="L145">
        <v>6</v>
      </c>
      <c r="M145">
        <v>4</v>
      </c>
      <c r="N145">
        <v>2</v>
      </c>
    </row>
    <row r="146" spans="1:14">
      <c r="C146">
        <v>86</v>
      </c>
      <c r="D146" t="s">
        <v>294</v>
      </c>
      <c r="E146" t="s">
        <v>1126</v>
      </c>
      <c r="F146" t="s">
        <v>1127</v>
      </c>
      <c r="G146" t="s">
        <v>13</v>
      </c>
      <c r="H146">
        <f t="shared" si="2"/>
        <v>1</v>
      </c>
      <c r="N146">
        <v>1</v>
      </c>
    </row>
    <row r="147" spans="1:14">
      <c r="C147">
        <v>87</v>
      </c>
      <c r="D147" t="s">
        <v>294</v>
      </c>
      <c r="E147" t="s">
        <v>1128</v>
      </c>
      <c r="F147" t="s">
        <v>1129</v>
      </c>
      <c r="G147" t="s">
        <v>13</v>
      </c>
    </row>
    <row r="148" spans="1:14">
      <c r="D148" t="s">
        <v>288</v>
      </c>
      <c r="E148" t="s">
        <v>1130</v>
      </c>
      <c r="F148" s="132" t="s">
        <v>1131</v>
      </c>
    </row>
    <row r="149" spans="1:14">
      <c r="D149" t="s">
        <v>288</v>
      </c>
      <c r="E149" t="s">
        <v>1132</v>
      </c>
      <c r="F149" s="132" t="s">
        <v>1133</v>
      </c>
    </row>
    <row r="150" spans="1:14">
      <c r="C150">
        <v>88</v>
      </c>
      <c r="D150" t="s">
        <v>294</v>
      </c>
      <c r="E150" t="s">
        <v>1134</v>
      </c>
      <c r="F150" t="s">
        <v>1135</v>
      </c>
      <c r="G150" t="s">
        <v>15</v>
      </c>
      <c r="H150">
        <f t="shared" si="2"/>
        <v>0</v>
      </c>
      <c r="I150" s="46"/>
    </row>
    <row r="151" spans="1:14">
      <c r="C151">
        <v>89</v>
      </c>
      <c r="D151" t="s">
        <v>294</v>
      </c>
      <c r="E151" t="s">
        <v>1136</v>
      </c>
      <c r="F151" t="s">
        <v>1137</v>
      </c>
      <c r="G151" t="s">
        <v>15</v>
      </c>
      <c r="H151">
        <f t="shared" si="2"/>
        <v>0</v>
      </c>
      <c r="I151" s="46"/>
    </row>
    <row r="152" spans="1:14">
      <c r="C152">
        <v>90</v>
      </c>
      <c r="D152" t="s">
        <v>294</v>
      </c>
      <c r="E152" t="s">
        <v>1138</v>
      </c>
      <c r="F152" t="s">
        <v>1139</v>
      </c>
      <c r="G152" t="s">
        <v>15</v>
      </c>
      <c r="H152">
        <f t="shared" si="2"/>
        <v>0</v>
      </c>
      <c r="I152" s="46"/>
    </row>
    <row r="153" spans="1:14">
      <c r="C153">
        <v>91</v>
      </c>
      <c r="D153" t="s">
        <v>294</v>
      </c>
      <c r="E153" t="s">
        <v>1140</v>
      </c>
      <c r="F153" t="s">
        <v>1141</v>
      </c>
      <c r="G153" t="s">
        <v>15</v>
      </c>
      <c r="H153">
        <f t="shared" si="2"/>
        <v>0</v>
      </c>
      <c r="I153" s="46"/>
    </row>
    <row r="154" spans="1:14">
      <c r="C154">
        <v>92</v>
      </c>
      <c r="D154" t="s">
        <v>294</v>
      </c>
      <c r="E154" t="s">
        <v>1142</v>
      </c>
      <c r="F154" t="s">
        <v>1143</v>
      </c>
      <c r="G154" t="s">
        <v>15</v>
      </c>
      <c r="H154">
        <f t="shared" si="2"/>
        <v>0</v>
      </c>
      <c r="I154" s="46"/>
    </row>
    <row r="155" spans="1:14">
      <c r="D155" t="s">
        <v>707</v>
      </c>
      <c r="F155" t="s">
        <v>927</v>
      </c>
    </row>
    <row r="156" spans="1:14">
      <c r="A156" t="s">
        <v>1144</v>
      </c>
    </row>
    <row r="157" spans="1:14">
      <c r="A157" t="s">
        <v>1145</v>
      </c>
    </row>
    <row r="158" spans="1:14">
      <c r="D158" t="s">
        <v>288</v>
      </c>
      <c r="E158" t="s">
        <v>1146</v>
      </c>
      <c r="F158" s="132" t="s">
        <v>1147</v>
      </c>
    </row>
    <row r="159" spans="1:14">
      <c r="C159">
        <v>93</v>
      </c>
      <c r="D159" t="s">
        <v>294</v>
      </c>
      <c r="E159" t="s">
        <v>1148</v>
      </c>
      <c r="F159" t="s">
        <v>1149</v>
      </c>
      <c r="G159" t="s">
        <v>15</v>
      </c>
      <c r="H159">
        <f t="shared" si="2"/>
        <v>470</v>
      </c>
      <c r="L159">
        <v>100</v>
      </c>
      <c r="M159">
        <v>220</v>
      </c>
      <c r="N159">
        <v>150</v>
      </c>
    </row>
    <row r="160" spans="1:14">
      <c r="C160">
        <v>94</v>
      </c>
      <c r="D160" t="s">
        <v>294</v>
      </c>
      <c r="E160" t="s">
        <v>1150</v>
      </c>
      <c r="F160" t="s">
        <v>1151</v>
      </c>
      <c r="G160" t="s">
        <v>15</v>
      </c>
      <c r="H160">
        <f t="shared" si="2"/>
        <v>50</v>
      </c>
      <c r="L160">
        <v>20</v>
      </c>
      <c r="N160">
        <v>30</v>
      </c>
    </row>
    <row r="161" spans="1:14">
      <c r="C161">
        <v>95</v>
      </c>
      <c r="D161" t="s">
        <v>294</v>
      </c>
      <c r="E161" t="s">
        <v>624</v>
      </c>
      <c r="F161" t="s">
        <v>1152</v>
      </c>
      <c r="G161" t="s">
        <v>15</v>
      </c>
      <c r="H161">
        <f t="shared" si="2"/>
        <v>0</v>
      </c>
      <c r="I161" s="46"/>
    </row>
    <row r="162" spans="1:14">
      <c r="C162">
        <v>96</v>
      </c>
      <c r="D162" t="s">
        <v>294</v>
      </c>
      <c r="E162" t="s">
        <v>1153</v>
      </c>
      <c r="F162" t="s">
        <v>1154</v>
      </c>
      <c r="G162" t="s">
        <v>14</v>
      </c>
      <c r="H162">
        <v>1</v>
      </c>
    </row>
    <row r="163" spans="1:14">
      <c r="D163" t="s">
        <v>707</v>
      </c>
      <c r="F163" t="s">
        <v>927</v>
      </c>
    </row>
    <row r="164" spans="1:14">
      <c r="A164" t="s">
        <v>1145</v>
      </c>
    </row>
    <row r="165" spans="1:14">
      <c r="D165" t="s">
        <v>288</v>
      </c>
      <c r="E165" t="s">
        <v>1155</v>
      </c>
      <c r="F165" s="132" t="s">
        <v>1156</v>
      </c>
    </row>
    <row r="166" spans="1:14">
      <c r="C166">
        <v>97</v>
      </c>
      <c r="D166" t="s">
        <v>294</v>
      </c>
      <c r="E166" t="s">
        <v>1157</v>
      </c>
      <c r="F166" t="s">
        <v>1158</v>
      </c>
      <c r="G166" t="s">
        <v>15</v>
      </c>
      <c r="H166">
        <f t="shared" si="2"/>
        <v>0</v>
      </c>
    </row>
    <row r="167" spans="1:14">
      <c r="C167">
        <v>98</v>
      </c>
      <c r="D167" t="s">
        <v>294</v>
      </c>
      <c r="E167" t="s">
        <v>1159</v>
      </c>
      <c r="F167" t="s">
        <v>1160</v>
      </c>
      <c r="G167" t="s">
        <v>14</v>
      </c>
      <c r="H167">
        <f t="shared" si="2"/>
        <v>0</v>
      </c>
    </row>
    <row r="168" spans="1:14">
      <c r="D168" t="s">
        <v>288</v>
      </c>
      <c r="E168" t="s">
        <v>1161</v>
      </c>
      <c r="F168" s="132" t="s">
        <v>1162</v>
      </c>
    </row>
    <row r="169" spans="1:14">
      <c r="C169">
        <v>99</v>
      </c>
      <c r="D169" t="s">
        <v>294</v>
      </c>
      <c r="E169" t="s">
        <v>1163</v>
      </c>
      <c r="F169" t="s">
        <v>1164</v>
      </c>
      <c r="G169" t="s">
        <v>15</v>
      </c>
      <c r="H169">
        <f t="shared" si="2"/>
        <v>470</v>
      </c>
      <c r="L169">
        <v>100</v>
      </c>
      <c r="M169">
        <v>220</v>
      </c>
      <c r="N169">
        <v>150</v>
      </c>
    </row>
    <row r="170" spans="1:14">
      <c r="C170">
        <v>100</v>
      </c>
      <c r="D170" t="s">
        <v>294</v>
      </c>
      <c r="E170" t="s">
        <v>1165</v>
      </c>
      <c r="F170" t="s">
        <v>1166</v>
      </c>
      <c r="G170" t="s">
        <v>15</v>
      </c>
      <c r="H170">
        <f t="shared" si="2"/>
        <v>50</v>
      </c>
      <c r="L170">
        <v>20</v>
      </c>
      <c r="N170">
        <v>30</v>
      </c>
    </row>
    <row r="171" spans="1:14">
      <c r="C171">
        <v>101</v>
      </c>
      <c r="D171" t="s">
        <v>294</v>
      </c>
      <c r="E171" t="s">
        <v>1167</v>
      </c>
      <c r="F171" t="s">
        <v>1168</v>
      </c>
      <c r="G171" t="s">
        <v>15</v>
      </c>
      <c r="H171">
        <f t="shared" si="2"/>
        <v>0</v>
      </c>
    </row>
    <row r="172" spans="1:14">
      <c r="C172">
        <v>102</v>
      </c>
      <c r="D172" t="s">
        <v>294</v>
      </c>
      <c r="E172" t="s">
        <v>1169</v>
      </c>
      <c r="F172" t="s">
        <v>1170</v>
      </c>
      <c r="G172" t="s">
        <v>15</v>
      </c>
      <c r="H172">
        <f t="shared" si="2"/>
        <v>60</v>
      </c>
      <c r="L172">
        <v>60</v>
      </c>
    </row>
    <row r="173" spans="1:14">
      <c r="C173">
        <v>103</v>
      </c>
      <c r="D173" t="s">
        <v>294</v>
      </c>
      <c r="E173" t="s">
        <v>1171</v>
      </c>
      <c r="F173" t="s">
        <v>1172</v>
      </c>
      <c r="G173" t="s">
        <v>15</v>
      </c>
      <c r="H173">
        <f t="shared" si="2"/>
        <v>0</v>
      </c>
    </row>
    <row r="174" spans="1:14">
      <c r="C174">
        <v>104</v>
      </c>
      <c r="D174" t="s">
        <v>294</v>
      </c>
      <c r="E174" t="s">
        <v>1173</v>
      </c>
      <c r="F174" t="s">
        <v>1174</v>
      </c>
      <c r="G174" t="s">
        <v>15</v>
      </c>
      <c r="H174">
        <f t="shared" si="2"/>
        <v>0</v>
      </c>
    </row>
    <row r="175" spans="1:14">
      <c r="C175">
        <v>105</v>
      </c>
      <c r="D175" t="s">
        <v>294</v>
      </c>
      <c r="E175" t="s">
        <v>1175</v>
      </c>
      <c r="F175" t="s">
        <v>1176</v>
      </c>
      <c r="G175" t="s">
        <v>15</v>
      </c>
      <c r="H175">
        <f t="shared" si="2"/>
        <v>8</v>
      </c>
      <c r="K175">
        <v>8</v>
      </c>
    </row>
    <row r="176" spans="1:14">
      <c r="C176">
        <v>106</v>
      </c>
      <c r="D176" t="s">
        <v>294</v>
      </c>
      <c r="E176" t="s">
        <v>1177</v>
      </c>
      <c r="F176" t="s">
        <v>1178</v>
      </c>
      <c r="G176" t="s">
        <v>15</v>
      </c>
      <c r="H176">
        <f t="shared" si="2"/>
        <v>18</v>
      </c>
      <c r="K176">
        <v>18</v>
      </c>
    </row>
    <row r="177" spans="1:9">
      <c r="D177" t="s">
        <v>288</v>
      </c>
      <c r="E177" t="s">
        <v>1179</v>
      </c>
      <c r="F177" s="132" t="s">
        <v>1180</v>
      </c>
    </row>
    <row r="178" spans="1:9">
      <c r="C178">
        <v>107</v>
      </c>
      <c r="D178" t="s">
        <v>294</v>
      </c>
      <c r="E178" t="s">
        <v>1181</v>
      </c>
      <c r="F178" t="s">
        <v>1182</v>
      </c>
      <c r="G178" t="s">
        <v>15</v>
      </c>
      <c r="H178">
        <f t="shared" si="2"/>
        <v>0</v>
      </c>
      <c r="I178" s="46"/>
    </row>
    <row r="179" spans="1:9">
      <c r="C179">
        <v>108</v>
      </c>
      <c r="D179" t="s">
        <v>294</v>
      </c>
      <c r="E179" t="s">
        <v>1183</v>
      </c>
      <c r="F179" t="s">
        <v>1184</v>
      </c>
      <c r="G179" t="s">
        <v>15</v>
      </c>
      <c r="H179">
        <f t="shared" si="2"/>
        <v>0</v>
      </c>
      <c r="I179" s="46"/>
    </row>
    <row r="180" spans="1:9">
      <c r="C180">
        <v>109</v>
      </c>
      <c r="D180" t="s">
        <v>294</v>
      </c>
      <c r="E180" t="s">
        <v>1185</v>
      </c>
      <c r="F180" t="s">
        <v>1186</v>
      </c>
      <c r="G180" t="s">
        <v>15</v>
      </c>
      <c r="H180">
        <f t="shared" si="2"/>
        <v>0</v>
      </c>
      <c r="I180" s="46"/>
    </row>
    <row r="181" spans="1:9">
      <c r="C181">
        <v>110</v>
      </c>
      <c r="D181" t="s">
        <v>294</v>
      </c>
      <c r="E181" t="s">
        <v>1187</v>
      </c>
      <c r="F181" t="s">
        <v>1188</v>
      </c>
      <c r="G181" t="s">
        <v>15</v>
      </c>
      <c r="H181">
        <f t="shared" si="2"/>
        <v>0</v>
      </c>
      <c r="I181" s="46"/>
    </row>
    <row r="182" spans="1:9">
      <c r="C182">
        <v>111</v>
      </c>
      <c r="D182" t="s">
        <v>294</v>
      </c>
      <c r="E182" t="s">
        <v>1189</v>
      </c>
      <c r="F182" t="s">
        <v>1190</v>
      </c>
      <c r="G182" t="s">
        <v>15</v>
      </c>
      <c r="H182">
        <f t="shared" si="2"/>
        <v>0</v>
      </c>
      <c r="I182" s="46"/>
    </row>
    <row r="183" spans="1:9">
      <c r="D183" t="s">
        <v>288</v>
      </c>
      <c r="E183" t="s">
        <v>1191</v>
      </c>
      <c r="F183" s="132" t="s">
        <v>1192</v>
      </c>
      <c r="H183">
        <f t="shared" si="2"/>
        <v>0</v>
      </c>
    </row>
    <row r="184" spans="1:9">
      <c r="C184">
        <v>112</v>
      </c>
      <c r="D184" t="s">
        <v>294</v>
      </c>
      <c r="E184" t="s">
        <v>1193</v>
      </c>
      <c r="F184" t="s">
        <v>1194</v>
      </c>
      <c r="G184" t="s">
        <v>14</v>
      </c>
      <c r="H184">
        <v>1</v>
      </c>
    </row>
    <row r="185" spans="1:9">
      <c r="D185" t="s">
        <v>707</v>
      </c>
      <c r="F185" t="s">
        <v>927</v>
      </c>
    </row>
    <row r="186" spans="1:9">
      <c r="A186" t="s">
        <v>1195</v>
      </c>
    </row>
    <row r="187" spans="1:9">
      <c r="A187" t="s">
        <v>1196</v>
      </c>
    </row>
    <row r="188" spans="1:9">
      <c r="A188" t="s">
        <v>1197</v>
      </c>
    </row>
    <row r="189" spans="1:9">
      <c r="D189" t="s">
        <v>288</v>
      </c>
      <c r="E189" t="s">
        <v>1198</v>
      </c>
      <c r="F189" s="132" t="s">
        <v>1199</v>
      </c>
    </row>
    <row r="190" spans="1:9">
      <c r="C190">
        <v>113</v>
      </c>
      <c r="D190" t="s">
        <v>294</v>
      </c>
      <c r="E190" t="s">
        <v>1200</v>
      </c>
      <c r="F190" t="s">
        <v>1201</v>
      </c>
      <c r="G190" t="s">
        <v>14</v>
      </c>
      <c r="H190">
        <v>1</v>
      </c>
    </row>
    <row r="191" spans="1:9">
      <c r="D191" t="s">
        <v>707</v>
      </c>
      <c r="F191" t="s">
        <v>927</v>
      </c>
    </row>
    <row r="192" spans="1:9">
      <c r="A192" t="s">
        <v>1202</v>
      </c>
    </row>
    <row r="193" spans="1:8">
      <c r="A193" t="s">
        <v>1203</v>
      </c>
    </row>
    <row r="194" spans="1:8">
      <c r="D194" t="s">
        <v>288</v>
      </c>
      <c r="E194" t="s">
        <v>1204</v>
      </c>
      <c r="F194" s="132" t="s">
        <v>1205</v>
      </c>
    </row>
    <row r="195" spans="1:8">
      <c r="C195">
        <v>114</v>
      </c>
      <c r="D195" t="s">
        <v>294</v>
      </c>
      <c r="E195" t="s">
        <v>1206</v>
      </c>
      <c r="F195" t="s">
        <v>1207</v>
      </c>
      <c r="G195" t="s">
        <v>14</v>
      </c>
      <c r="H195">
        <v>1</v>
      </c>
    </row>
    <row r="196" spans="1:8">
      <c r="D196" t="s">
        <v>707</v>
      </c>
      <c r="F196" t="s">
        <v>927</v>
      </c>
    </row>
    <row r="197" spans="1:8">
      <c r="A197" t="s">
        <v>1208</v>
      </c>
    </row>
    <row r="211" spans="8:8">
      <c r="H211">
        <f t="shared" ref="H211:H262" si="3">K211+L211+M211+N211</f>
        <v>0</v>
      </c>
    </row>
    <row r="212" spans="8:8">
      <c r="H212">
        <f t="shared" si="3"/>
        <v>0</v>
      </c>
    </row>
    <row r="213" spans="8:8">
      <c r="H213">
        <f t="shared" si="3"/>
        <v>0</v>
      </c>
    </row>
    <row r="214" spans="8:8">
      <c r="H214">
        <f t="shared" si="3"/>
        <v>0</v>
      </c>
    </row>
    <row r="215" spans="8:8">
      <c r="H215">
        <f t="shared" si="3"/>
        <v>0</v>
      </c>
    </row>
    <row r="216" spans="8:8">
      <c r="H216">
        <f t="shared" si="3"/>
        <v>0</v>
      </c>
    </row>
    <row r="217" spans="8:8">
      <c r="H217">
        <f t="shared" si="3"/>
        <v>0</v>
      </c>
    </row>
    <row r="218" spans="8:8">
      <c r="H218">
        <f t="shared" si="3"/>
        <v>0</v>
      </c>
    </row>
    <row r="219" spans="8:8">
      <c r="H219">
        <f t="shared" si="3"/>
        <v>0</v>
      </c>
    </row>
    <row r="220" spans="8:8">
      <c r="H220">
        <f t="shared" si="3"/>
        <v>0</v>
      </c>
    </row>
    <row r="221" spans="8:8">
      <c r="H221">
        <f t="shared" si="3"/>
        <v>0</v>
      </c>
    </row>
    <row r="222" spans="8:8">
      <c r="H222">
        <f t="shared" si="3"/>
        <v>0</v>
      </c>
    </row>
    <row r="223" spans="8:8">
      <c r="H223">
        <f t="shared" si="3"/>
        <v>0</v>
      </c>
    </row>
    <row r="224" spans="8:8">
      <c r="H224">
        <f t="shared" si="3"/>
        <v>0</v>
      </c>
    </row>
    <row r="225" spans="8:8">
      <c r="H225">
        <f t="shared" si="3"/>
        <v>0</v>
      </c>
    </row>
    <row r="226" spans="8:8">
      <c r="H226">
        <f t="shared" si="3"/>
        <v>0</v>
      </c>
    </row>
    <row r="227" spans="8:8">
      <c r="H227">
        <f t="shared" si="3"/>
        <v>0</v>
      </c>
    </row>
    <row r="228" spans="8:8">
      <c r="H228">
        <f t="shared" si="3"/>
        <v>0</v>
      </c>
    </row>
    <row r="229" spans="8:8">
      <c r="H229">
        <f t="shared" si="3"/>
        <v>0</v>
      </c>
    </row>
    <row r="230" spans="8:8">
      <c r="H230">
        <f t="shared" si="3"/>
        <v>0</v>
      </c>
    </row>
    <row r="231" spans="8:8">
      <c r="H231">
        <f t="shared" si="3"/>
        <v>0</v>
      </c>
    </row>
    <row r="232" spans="8:8">
      <c r="H232">
        <f t="shared" si="3"/>
        <v>0</v>
      </c>
    </row>
    <row r="233" spans="8:8">
      <c r="H233">
        <f t="shared" si="3"/>
        <v>0</v>
      </c>
    </row>
    <row r="234" spans="8:8">
      <c r="H234">
        <f t="shared" si="3"/>
        <v>0</v>
      </c>
    </row>
    <row r="235" spans="8:8">
      <c r="H235">
        <f t="shared" si="3"/>
        <v>0</v>
      </c>
    </row>
    <row r="236" spans="8:8">
      <c r="H236">
        <f t="shared" si="3"/>
        <v>0</v>
      </c>
    </row>
    <row r="237" spans="8:8">
      <c r="H237">
        <f t="shared" si="3"/>
        <v>0</v>
      </c>
    </row>
    <row r="238" spans="8:8">
      <c r="H238">
        <f t="shared" si="3"/>
        <v>0</v>
      </c>
    </row>
    <row r="239" spans="8:8">
      <c r="H239">
        <f t="shared" si="3"/>
        <v>0</v>
      </c>
    </row>
    <row r="240" spans="8:8">
      <c r="H240">
        <f t="shared" si="3"/>
        <v>0</v>
      </c>
    </row>
    <row r="241" spans="8:8">
      <c r="H241">
        <f t="shared" si="3"/>
        <v>0</v>
      </c>
    </row>
    <row r="242" spans="8:8">
      <c r="H242">
        <f t="shared" si="3"/>
        <v>0</v>
      </c>
    </row>
    <row r="243" spans="8:8">
      <c r="H243">
        <f t="shared" si="3"/>
        <v>0</v>
      </c>
    </row>
    <row r="244" spans="8:8">
      <c r="H244">
        <f t="shared" si="3"/>
        <v>0</v>
      </c>
    </row>
    <row r="245" spans="8:8">
      <c r="H245">
        <f t="shared" si="3"/>
        <v>0</v>
      </c>
    </row>
    <row r="246" spans="8:8">
      <c r="H246">
        <f t="shared" si="3"/>
        <v>0</v>
      </c>
    </row>
    <row r="247" spans="8:8">
      <c r="H247">
        <f t="shared" si="3"/>
        <v>0</v>
      </c>
    </row>
    <row r="248" spans="8:8">
      <c r="H248">
        <f t="shared" si="3"/>
        <v>0</v>
      </c>
    </row>
    <row r="249" spans="8:8">
      <c r="H249">
        <f t="shared" si="3"/>
        <v>0</v>
      </c>
    </row>
    <row r="250" spans="8:8">
      <c r="H250">
        <f t="shared" si="3"/>
        <v>0</v>
      </c>
    </row>
    <row r="251" spans="8:8">
      <c r="H251">
        <f t="shared" si="3"/>
        <v>0</v>
      </c>
    </row>
    <row r="252" spans="8:8">
      <c r="H252">
        <f t="shared" si="3"/>
        <v>0</v>
      </c>
    </row>
    <row r="253" spans="8:8">
      <c r="H253">
        <f t="shared" si="3"/>
        <v>0</v>
      </c>
    </row>
    <row r="254" spans="8:8">
      <c r="H254">
        <f t="shared" si="3"/>
        <v>0</v>
      </c>
    </row>
    <row r="255" spans="8:8">
      <c r="H255">
        <f t="shared" si="3"/>
        <v>0</v>
      </c>
    </row>
    <row r="256" spans="8:8">
      <c r="H256">
        <f t="shared" si="3"/>
        <v>0</v>
      </c>
    </row>
    <row r="257" spans="8:8">
      <c r="H257">
        <f t="shared" si="3"/>
        <v>0</v>
      </c>
    </row>
    <row r="258" spans="8:8">
      <c r="H258">
        <f t="shared" si="3"/>
        <v>0</v>
      </c>
    </row>
    <row r="259" spans="8:8">
      <c r="H259">
        <f t="shared" si="3"/>
        <v>0</v>
      </c>
    </row>
    <row r="260" spans="8:8">
      <c r="H260">
        <f t="shared" si="3"/>
        <v>0</v>
      </c>
    </row>
    <row r="261" spans="8:8">
      <c r="H261">
        <f t="shared" si="3"/>
        <v>0</v>
      </c>
    </row>
    <row r="262" spans="8:8">
      <c r="H262">
        <f t="shared" si="3"/>
        <v>0</v>
      </c>
    </row>
    <row r="263" spans="8:8">
      <c r="H263">
        <f t="shared" ref="H263:H326" si="4">K263+L263+M263+N263</f>
        <v>0</v>
      </c>
    </row>
    <row r="264" spans="8:8">
      <c r="H264">
        <f t="shared" si="4"/>
        <v>0</v>
      </c>
    </row>
    <row r="265" spans="8:8">
      <c r="H265">
        <f t="shared" si="4"/>
        <v>0</v>
      </c>
    </row>
    <row r="266" spans="8:8">
      <c r="H266">
        <f t="shared" si="4"/>
        <v>0</v>
      </c>
    </row>
    <row r="267" spans="8:8">
      <c r="H267">
        <f t="shared" si="4"/>
        <v>0</v>
      </c>
    </row>
    <row r="268" spans="8:8">
      <c r="H268">
        <f t="shared" si="4"/>
        <v>0</v>
      </c>
    </row>
    <row r="269" spans="8:8">
      <c r="H269">
        <f t="shared" si="4"/>
        <v>0</v>
      </c>
    </row>
    <row r="270" spans="8:8">
      <c r="H270">
        <f t="shared" si="4"/>
        <v>0</v>
      </c>
    </row>
    <row r="271" spans="8:8">
      <c r="H271">
        <f t="shared" si="4"/>
        <v>0</v>
      </c>
    </row>
    <row r="272" spans="8:8">
      <c r="H272">
        <f t="shared" si="4"/>
        <v>0</v>
      </c>
    </row>
    <row r="273" spans="8:8">
      <c r="H273">
        <f t="shared" si="4"/>
        <v>0</v>
      </c>
    </row>
    <row r="274" spans="8:8">
      <c r="H274">
        <f t="shared" si="4"/>
        <v>0</v>
      </c>
    </row>
    <row r="275" spans="8:8">
      <c r="H275">
        <f t="shared" si="4"/>
        <v>0</v>
      </c>
    </row>
    <row r="276" spans="8:8">
      <c r="H276">
        <f t="shared" si="4"/>
        <v>0</v>
      </c>
    </row>
    <row r="277" spans="8:8">
      <c r="H277">
        <f t="shared" si="4"/>
        <v>0</v>
      </c>
    </row>
    <row r="278" spans="8:8">
      <c r="H278">
        <f t="shared" si="4"/>
        <v>0</v>
      </c>
    </row>
    <row r="279" spans="8:8">
      <c r="H279">
        <f t="shared" si="4"/>
        <v>0</v>
      </c>
    </row>
    <row r="280" spans="8:8">
      <c r="H280">
        <f t="shared" si="4"/>
        <v>0</v>
      </c>
    </row>
    <row r="281" spans="8:8">
      <c r="H281">
        <f t="shared" si="4"/>
        <v>0</v>
      </c>
    </row>
    <row r="282" spans="8:8">
      <c r="H282">
        <f t="shared" si="4"/>
        <v>0</v>
      </c>
    </row>
    <row r="283" spans="8:8">
      <c r="H283">
        <f t="shared" si="4"/>
        <v>0</v>
      </c>
    </row>
    <row r="284" spans="8:8">
      <c r="H284">
        <f t="shared" si="4"/>
        <v>0</v>
      </c>
    </row>
    <row r="285" spans="8:8">
      <c r="H285">
        <f t="shared" si="4"/>
        <v>0</v>
      </c>
    </row>
    <row r="286" spans="8:8">
      <c r="H286">
        <f t="shared" si="4"/>
        <v>0</v>
      </c>
    </row>
    <row r="287" spans="8:8">
      <c r="H287">
        <f t="shared" si="4"/>
        <v>0</v>
      </c>
    </row>
    <row r="288" spans="8:8">
      <c r="H288">
        <f t="shared" si="4"/>
        <v>0</v>
      </c>
    </row>
    <row r="289" spans="8:8">
      <c r="H289">
        <f t="shared" si="4"/>
        <v>0</v>
      </c>
    </row>
    <row r="290" spans="8:8">
      <c r="H290">
        <f t="shared" si="4"/>
        <v>0</v>
      </c>
    </row>
    <row r="291" spans="8:8">
      <c r="H291">
        <f t="shared" si="4"/>
        <v>0</v>
      </c>
    </row>
    <row r="292" spans="8:8">
      <c r="H292">
        <f t="shared" si="4"/>
        <v>0</v>
      </c>
    </row>
    <row r="293" spans="8:8">
      <c r="H293">
        <f t="shared" si="4"/>
        <v>0</v>
      </c>
    </row>
    <row r="294" spans="8:8">
      <c r="H294">
        <f t="shared" si="4"/>
        <v>0</v>
      </c>
    </row>
    <row r="295" spans="8:8">
      <c r="H295">
        <f t="shared" si="4"/>
        <v>0</v>
      </c>
    </row>
    <row r="296" spans="8:8">
      <c r="H296">
        <f t="shared" si="4"/>
        <v>0</v>
      </c>
    </row>
    <row r="297" spans="8:8">
      <c r="H297">
        <f t="shared" si="4"/>
        <v>0</v>
      </c>
    </row>
    <row r="298" spans="8:8">
      <c r="H298">
        <f t="shared" si="4"/>
        <v>0</v>
      </c>
    </row>
    <row r="299" spans="8:8">
      <c r="H299">
        <f t="shared" si="4"/>
        <v>0</v>
      </c>
    </row>
    <row r="300" spans="8:8">
      <c r="H300">
        <f t="shared" si="4"/>
        <v>0</v>
      </c>
    </row>
    <row r="301" spans="8:8">
      <c r="H301">
        <f t="shared" si="4"/>
        <v>0</v>
      </c>
    </row>
    <row r="302" spans="8:8">
      <c r="H302">
        <f t="shared" si="4"/>
        <v>0</v>
      </c>
    </row>
    <row r="303" spans="8:8">
      <c r="H303">
        <f t="shared" si="4"/>
        <v>0</v>
      </c>
    </row>
    <row r="304" spans="8:8">
      <c r="H304">
        <f t="shared" si="4"/>
        <v>0</v>
      </c>
    </row>
    <row r="305" spans="8:8">
      <c r="H305">
        <f t="shared" si="4"/>
        <v>0</v>
      </c>
    </row>
    <row r="306" spans="8:8">
      <c r="H306">
        <f t="shared" si="4"/>
        <v>0</v>
      </c>
    </row>
    <row r="307" spans="8:8">
      <c r="H307">
        <f t="shared" si="4"/>
        <v>0</v>
      </c>
    </row>
    <row r="308" spans="8:8">
      <c r="H308">
        <f t="shared" si="4"/>
        <v>0</v>
      </c>
    </row>
    <row r="309" spans="8:8">
      <c r="H309">
        <f t="shared" si="4"/>
        <v>0</v>
      </c>
    </row>
    <row r="310" spans="8:8">
      <c r="H310">
        <f t="shared" si="4"/>
        <v>0</v>
      </c>
    </row>
    <row r="311" spans="8:8">
      <c r="H311">
        <f t="shared" si="4"/>
        <v>0</v>
      </c>
    </row>
    <row r="312" spans="8:8">
      <c r="H312">
        <f t="shared" si="4"/>
        <v>0</v>
      </c>
    </row>
    <row r="313" spans="8:8">
      <c r="H313">
        <f t="shared" si="4"/>
        <v>0</v>
      </c>
    </row>
    <row r="314" spans="8:8">
      <c r="H314">
        <f t="shared" si="4"/>
        <v>0</v>
      </c>
    </row>
    <row r="315" spans="8:8">
      <c r="H315">
        <f t="shared" si="4"/>
        <v>0</v>
      </c>
    </row>
    <row r="316" spans="8:8">
      <c r="H316">
        <f t="shared" si="4"/>
        <v>0</v>
      </c>
    </row>
    <row r="317" spans="8:8">
      <c r="H317">
        <f t="shared" si="4"/>
        <v>0</v>
      </c>
    </row>
    <row r="318" spans="8:8">
      <c r="H318">
        <f t="shared" si="4"/>
        <v>0</v>
      </c>
    </row>
    <row r="319" spans="8:8">
      <c r="H319">
        <f t="shared" si="4"/>
        <v>0</v>
      </c>
    </row>
    <row r="320" spans="8:8">
      <c r="H320">
        <f t="shared" si="4"/>
        <v>0</v>
      </c>
    </row>
    <row r="321" spans="8:8">
      <c r="H321">
        <f t="shared" si="4"/>
        <v>0</v>
      </c>
    </row>
    <row r="322" spans="8:8">
      <c r="H322">
        <f t="shared" si="4"/>
        <v>0</v>
      </c>
    </row>
    <row r="323" spans="8:8">
      <c r="H323">
        <f t="shared" si="4"/>
        <v>0</v>
      </c>
    </row>
    <row r="324" spans="8:8">
      <c r="H324">
        <f t="shared" si="4"/>
        <v>0</v>
      </c>
    </row>
    <row r="325" spans="8:8">
      <c r="H325">
        <f t="shared" si="4"/>
        <v>0</v>
      </c>
    </row>
    <row r="326" spans="8:8">
      <c r="H326">
        <f t="shared" si="4"/>
        <v>0</v>
      </c>
    </row>
    <row r="327" spans="8:8">
      <c r="H327">
        <f t="shared" ref="H327:H379" si="5">K327+L327+M327+N327</f>
        <v>0</v>
      </c>
    </row>
    <row r="328" spans="8:8">
      <c r="H328">
        <f t="shared" si="5"/>
        <v>0</v>
      </c>
    </row>
    <row r="329" spans="8:8">
      <c r="H329">
        <f t="shared" si="5"/>
        <v>0</v>
      </c>
    </row>
    <row r="330" spans="8:8">
      <c r="H330">
        <f t="shared" si="5"/>
        <v>0</v>
      </c>
    </row>
    <row r="331" spans="8:8">
      <c r="H331">
        <f t="shared" si="5"/>
        <v>0</v>
      </c>
    </row>
    <row r="332" spans="8:8">
      <c r="H332">
        <f t="shared" si="5"/>
        <v>0</v>
      </c>
    </row>
    <row r="333" spans="8:8">
      <c r="H333">
        <f t="shared" si="5"/>
        <v>0</v>
      </c>
    </row>
    <row r="334" spans="8:8">
      <c r="H334">
        <f t="shared" si="5"/>
        <v>0</v>
      </c>
    </row>
    <row r="335" spans="8:8">
      <c r="H335">
        <f t="shared" si="5"/>
        <v>0</v>
      </c>
    </row>
    <row r="336" spans="8:8">
      <c r="H336">
        <f t="shared" si="5"/>
        <v>0</v>
      </c>
    </row>
    <row r="337" spans="8:8">
      <c r="H337">
        <f t="shared" si="5"/>
        <v>0</v>
      </c>
    </row>
    <row r="338" spans="8:8">
      <c r="H338">
        <f t="shared" si="5"/>
        <v>0</v>
      </c>
    </row>
    <row r="339" spans="8:8">
      <c r="H339">
        <f t="shared" si="5"/>
        <v>0</v>
      </c>
    </row>
    <row r="340" spans="8:8">
      <c r="H340">
        <f t="shared" si="5"/>
        <v>0</v>
      </c>
    </row>
    <row r="341" spans="8:8">
      <c r="H341">
        <f t="shared" si="5"/>
        <v>0</v>
      </c>
    </row>
    <row r="342" spans="8:8">
      <c r="H342">
        <f t="shared" si="5"/>
        <v>0</v>
      </c>
    </row>
    <row r="343" spans="8:8">
      <c r="H343">
        <f t="shared" si="5"/>
        <v>0</v>
      </c>
    </row>
    <row r="344" spans="8:8">
      <c r="H344">
        <f t="shared" si="5"/>
        <v>0</v>
      </c>
    </row>
    <row r="345" spans="8:8">
      <c r="H345">
        <f t="shared" si="5"/>
        <v>0</v>
      </c>
    </row>
    <row r="346" spans="8:8">
      <c r="H346">
        <f t="shared" si="5"/>
        <v>0</v>
      </c>
    </row>
    <row r="347" spans="8:8">
      <c r="H347">
        <f t="shared" si="5"/>
        <v>0</v>
      </c>
    </row>
    <row r="348" spans="8:8">
      <c r="H348">
        <f t="shared" si="5"/>
        <v>0</v>
      </c>
    </row>
    <row r="349" spans="8:8">
      <c r="H349">
        <f t="shared" si="5"/>
        <v>0</v>
      </c>
    </row>
    <row r="350" spans="8:8">
      <c r="H350">
        <f t="shared" si="5"/>
        <v>0</v>
      </c>
    </row>
    <row r="351" spans="8:8">
      <c r="H351">
        <f t="shared" si="5"/>
        <v>0</v>
      </c>
    </row>
    <row r="352" spans="8:8">
      <c r="H352">
        <f t="shared" si="5"/>
        <v>0</v>
      </c>
    </row>
    <row r="353" spans="8:8">
      <c r="H353">
        <f t="shared" si="5"/>
        <v>0</v>
      </c>
    </row>
    <row r="354" spans="8:8">
      <c r="H354">
        <f t="shared" si="5"/>
        <v>0</v>
      </c>
    </row>
    <row r="355" spans="8:8">
      <c r="H355">
        <f t="shared" si="5"/>
        <v>0</v>
      </c>
    </row>
    <row r="356" spans="8:8">
      <c r="H356">
        <f t="shared" si="5"/>
        <v>0</v>
      </c>
    </row>
    <row r="357" spans="8:8">
      <c r="H357">
        <f t="shared" si="5"/>
        <v>0</v>
      </c>
    </row>
    <row r="358" spans="8:8">
      <c r="H358">
        <f t="shared" si="5"/>
        <v>0</v>
      </c>
    </row>
    <row r="359" spans="8:8">
      <c r="H359">
        <f t="shared" si="5"/>
        <v>0</v>
      </c>
    </row>
    <row r="360" spans="8:8">
      <c r="H360">
        <f t="shared" si="5"/>
        <v>0</v>
      </c>
    </row>
    <row r="361" spans="8:8">
      <c r="H361">
        <f t="shared" si="5"/>
        <v>0</v>
      </c>
    </row>
    <row r="362" spans="8:8">
      <c r="H362">
        <f t="shared" si="5"/>
        <v>0</v>
      </c>
    </row>
    <row r="363" spans="8:8">
      <c r="H363">
        <f t="shared" si="5"/>
        <v>0</v>
      </c>
    </row>
    <row r="364" spans="8:8">
      <c r="H364">
        <f t="shared" si="5"/>
        <v>0</v>
      </c>
    </row>
    <row r="365" spans="8:8">
      <c r="H365">
        <f t="shared" si="5"/>
        <v>0</v>
      </c>
    </row>
    <row r="366" spans="8:8">
      <c r="H366">
        <f t="shared" si="5"/>
        <v>0</v>
      </c>
    </row>
    <row r="367" spans="8:8">
      <c r="H367">
        <f t="shared" si="5"/>
        <v>0</v>
      </c>
    </row>
    <row r="368" spans="8:8">
      <c r="H368">
        <f t="shared" si="5"/>
        <v>0</v>
      </c>
    </row>
    <row r="369" spans="8:8">
      <c r="H369">
        <f t="shared" si="5"/>
        <v>0</v>
      </c>
    </row>
    <row r="370" spans="8:8">
      <c r="H370">
        <f t="shared" si="5"/>
        <v>0</v>
      </c>
    </row>
    <row r="371" spans="8:8">
      <c r="H371">
        <f t="shared" si="5"/>
        <v>0</v>
      </c>
    </row>
    <row r="372" spans="8:8">
      <c r="H372">
        <f t="shared" si="5"/>
        <v>0</v>
      </c>
    </row>
    <row r="373" spans="8:8">
      <c r="H373">
        <f t="shared" si="5"/>
        <v>0</v>
      </c>
    </row>
    <row r="374" spans="8:8">
      <c r="H374">
        <f t="shared" si="5"/>
        <v>0</v>
      </c>
    </row>
    <row r="375" spans="8:8">
      <c r="H375">
        <f t="shared" si="5"/>
        <v>0</v>
      </c>
    </row>
    <row r="376" spans="8:8">
      <c r="H376">
        <f t="shared" si="5"/>
        <v>0</v>
      </c>
    </row>
    <row r="377" spans="8:8">
      <c r="H377">
        <f t="shared" si="5"/>
        <v>0</v>
      </c>
    </row>
    <row r="378" spans="8:8">
      <c r="H378">
        <f t="shared" si="5"/>
        <v>0</v>
      </c>
    </row>
    <row r="379" spans="8:8">
      <c r="H379">
        <f t="shared" si="5"/>
        <v>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35BE5-1FB7-4E07-8887-7E1B4F7A4C7A}">
  <dimension ref="A1:P566"/>
  <sheetViews>
    <sheetView topLeftCell="B1" workbookViewId="0">
      <selection activeCell="F33" sqref="F33"/>
    </sheetView>
  </sheetViews>
  <sheetFormatPr defaultRowHeight="13.2"/>
  <cols>
    <col min="1" max="1" width="0.44140625" customWidth="1"/>
    <col min="4" max="4" width="58.21875" customWidth="1"/>
    <col min="7" max="7" width="14.109375" customWidth="1"/>
    <col min="8" max="8" width="24" customWidth="1"/>
  </cols>
  <sheetData>
    <row r="1" spans="1:16">
      <c r="A1" s="30"/>
    </row>
    <row r="2" spans="1:16">
      <c r="A2" s="31"/>
    </row>
    <row r="3" spans="1:16" ht="13.8" thickBot="1">
      <c r="A3" s="32"/>
    </row>
    <row r="4" spans="1:16" ht="16.2" thickBot="1">
      <c r="A4" s="32"/>
      <c r="D4" s="129" t="s">
        <v>876</v>
      </c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</row>
    <row r="5" spans="1:16" ht="16.2" thickBot="1">
      <c r="A5" s="32"/>
      <c r="D5" s="131" t="s">
        <v>877</v>
      </c>
      <c r="E5" s="130"/>
      <c r="F5" s="130"/>
      <c r="G5" s="130"/>
      <c r="H5" s="79" t="s">
        <v>10</v>
      </c>
      <c r="I5" t="s">
        <v>268</v>
      </c>
      <c r="J5" t="s">
        <v>269</v>
      </c>
      <c r="K5" t="s">
        <v>270</v>
      </c>
      <c r="L5" t="s">
        <v>271</v>
      </c>
      <c r="M5" t="s">
        <v>276</v>
      </c>
      <c r="N5" s="130"/>
      <c r="O5" s="130"/>
      <c r="P5" s="130"/>
    </row>
    <row r="6" spans="1:16" ht="31.2" thickBot="1">
      <c r="A6" s="32"/>
      <c r="D6" s="129" t="s">
        <v>878</v>
      </c>
      <c r="E6" s="130" t="s">
        <v>13</v>
      </c>
      <c r="F6" s="130">
        <v>1</v>
      </c>
      <c r="G6" s="130"/>
      <c r="H6" s="130">
        <f>I6+J6+K6+L6+M6</f>
        <v>1</v>
      </c>
      <c r="I6" s="130">
        <v>1</v>
      </c>
      <c r="J6" s="130"/>
      <c r="K6" s="130"/>
      <c r="L6" s="130"/>
      <c r="M6" s="130"/>
      <c r="N6" s="130"/>
      <c r="O6" s="130"/>
      <c r="P6" s="130"/>
    </row>
    <row r="7" spans="1:16" ht="16.2" thickBot="1">
      <c r="A7" s="32"/>
      <c r="D7" s="129" t="s">
        <v>879</v>
      </c>
      <c r="E7" s="130" t="s">
        <v>13</v>
      </c>
      <c r="F7" s="130">
        <v>1</v>
      </c>
      <c r="G7" s="130"/>
      <c r="H7" s="130">
        <v>1</v>
      </c>
      <c r="I7" s="130">
        <v>1</v>
      </c>
      <c r="J7" s="130"/>
      <c r="K7" s="130"/>
      <c r="L7" s="130"/>
      <c r="M7" s="130"/>
      <c r="N7" s="130"/>
      <c r="O7" s="130"/>
      <c r="P7" s="130"/>
    </row>
    <row r="8" spans="1:16" ht="16.2" thickBot="1">
      <c r="A8" s="32"/>
      <c r="D8" s="131" t="s">
        <v>880</v>
      </c>
      <c r="E8" s="130"/>
      <c r="F8" s="130"/>
      <c r="G8" s="130"/>
      <c r="H8" s="130">
        <f t="shared" ref="H8:H53" si="0">I8+J8+K8+L8+M8</f>
        <v>0</v>
      </c>
      <c r="I8" s="130"/>
      <c r="J8" s="130"/>
      <c r="K8" s="130"/>
      <c r="L8" s="130"/>
      <c r="M8" s="130"/>
      <c r="N8" s="130"/>
      <c r="O8" s="130"/>
      <c r="P8" s="130"/>
    </row>
    <row r="9" spans="1:16" ht="33.6" customHeight="1" thickBot="1">
      <c r="A9" s="32"/>
      <c r="D9" s="129" t="s">
        <v>881</v>
      </c>
      <c r="E9" s="130" t="s">
        <v>13</v>
      </c>
      <c r="F9" s="130">
        <v>11</v>
      </c>
      <c r="G9" s="130"/>
      <c r="H9" s="130">
        <f t="shared" si="0"/>
        <v>12</v>
      </c>
      <c r="I9" s="130"/>
      <c r="J9" s="130">
        <v>4</v>
      </c>
      <c r="K9" s="130">
        <v>4</v>
      </c>
      <c r="L9" s="130">
        <v>4</v>
      </c>
      <c r="M9" s="130"/>
      <c r="N9" s="130" t="s">
        <v>916</v>
      </c>
      <c r="O9" s="130"/>
      <c r="P9" s="130"/>
    </row>
    <row r="10" spans="1:16" ht="16.2" thickBot="1">
      <c r="A10" s="32"/>
      <c r="D10" s="129" t="s">
        <v>882</v>
      </c>
      <c r="E10" s="130" t="s">
        <v>13</v>
      </c>
      <c r="F10" s="130">
        <v>11</v>
      </c>
      <c r="G10" s="130"/>
      <c r="H10" s="130">
        <v>12</v>
      </c>
      <c r="I10" s="130"/>
      <c r="J10" s="130">
        <v>4</v>
      </c>
      <c r="K10" s="130">
        <v>4</v>
      </c>
      <c r="L10" s="130">
        <v>4</v>
      </c>
      <c r="M10" s="130"/>
      <c r="N10" s="130"/>
      <c r="O10" s="130"/>
      <c r="P10" s="130"/>
    </row>
    <row r="11" spans="1:16" ht="41.4" customHeight="1" thickBot="1">
      <c r="A11" s="32"/>
      <c r="D11" s="129" t="s">
        <v>883</v>
      </c>
      <c r="E11" s="130" t="s">
        <v>13</v>
      </c>
      <c r="F11" s="130">
        <v>16</v>
      </c>
      <c r="G11" s="130"/>
      <c r="H11" s="130">
        <f t="shared" si="0"/>
        <v>15</v>
      </c>
      <c r="I11" s="130"/>
      <c r="J11" s="130">
        <v>5</v>
      </c>
      <c r="K11" s="130">
        <v>6</v>
      </c>
      <c r="L11" s="130">
        <v>4</v>
      </c>
      <c r="M11" s="130"/>
      <c r="N11" s="130" t="s">
        <v>917</v>
      </c>
      <c r="O11" s="130"/>
      <c r="P11" s="130"/>
    </row>
    <row r="12" spans="1:16" ht="16.2" thickBot="1">
      <c r="A12" s="32"/>
      <c r="D12" s="129" t="s">
        <v>884</v>
      </c>
      <c r="E12" s="130" t="s">
        <v>13</v>
      </c>
      <c r="F12" s="130">
        <v>16</v>
      </c>
      <c r="G12" s="130"/>
      <c r="H12" s="130">
        <v>15</v>
      </c>
      <c r="I12" s="130"/>
      <c r="J12" s="130">
        <v>5</v>
      </c>
      <c r="K12" s="130">
        <v>6</v>
      </c>
      <c r="L12" s="130">
        <v>4</v>
      </c>
      <c r="M12" s="130"/>
      <c r="N12" s="130"/>
      <c r="O12" s="130"/>
      <c r="P12" s="130"/>
    </row>
    <row r="13" spans="1:16" ht="31.2" thickBot="1">
      <c r="A13" s="32"/>
      <c r="D13" s="129" t="s">
        <v>885</v>
      </c>
      <c r="E13" s="130" t="s">
        <v>13</v>
      </c>
      <c r="F13" s="130">
        <v>5</v>
      </c>
      <c r="G13" s="130"/>
      <c r="H13" s="130">
        <f t="shared" si="0"/>
        <v>5</v>
      </c>
      <c r="I13" s="130"/>
      <c r="J13" s="130">
        <v>1</v>
      </c>
      <c r="K13" s="130">
        <v>2</v>
      </c>
      <c r="L13" s="130">
        <v>2</v>
      </c>
      <c r="M13" s="130"/>
      <c r="N13" s="130"/>
      <c r="O13" s="130"/>
      <c r="P13" s="130"/>
    </row>
    <row r="14" spans="1:16" ht="16.2" thickBot="1">
      <c r="A14" s="32"/>
      <c r="D14" s="129" t="s">
        <v>886</v>
      </c>
      <c r="E14" s="130" t="s">
        <v>13</v>
      </c>
      <c r="F14" s="130">
        <v>5</v>
      </c>
      <c r="G14" s="130"/>
      <c r="H14" s="130">
        <v>5</v>
      </c>
      <c r="I14" s="130"/>
      <c r="J14" s="130">
        <v>1</v>
      </c>
      <c r="K14" s="130">
        <v>2</v>
      </c>
      <c r="L14" s="130">
        <v>2</v>
      </c>
      <c r="M14" s="130"/>
      <c r="N14" s="130"/>
      <c r="O14" s="130"/>
      <c r="P14" s="130"/>
    </row>
    <row r="15" spans="1:16" ht="31.2" thickBot="1">
      <c r="A15" s="32"/>
      <c r="D15" s="129" t="s">
        <v>887</v>
      </c>
      <c r="E15" s="130" t="s">
        <v>13</v>
      </c>
      <c r="F15" s="130">
        <v>6</v>
      </c>
      <c r="G15" s="130"/>
      <c r="H15" s="130">
        <f t="shared" si="0"/>
        <v>6</v>
      </c>
      <c r="I15" s="130"/>
      <c r="J15" s="130">
        <v>3</v>
      </c>
      <c r="K15" s="130">
        <v>2</v>
      </c>
      <c r="L15" s="130">
        <v>1</v>
      </c>
      <c r="M15" s="130"/>
      <c r="N15" s="130"/>
      <c r="O15" s="130"/>
      <c r="P15" s="130"/>
    </row>
    <row r="16" spans="1:16" ht="16.2" thickBot="1">
      <c r="A16" s="32"/>
      <c r="D16" s="129" t="s">
        <v>888</v>
      </c>
      <c r="E16" s="130" t="s">
        <v>13</v>
      </c>
      <c r="F16" s="130">
        <v>6</v>
      </c>
      <c r="G16" s="130"/>
      <c r="H16" s="130">
        <v>6</v>
      </c>
      <c r="I16" s="130"/>
      <c r="J16" s="130">
        <v>3</v>
      </c>
      <c r="K16" s="130">
        <v>2</v>
      </c>
      <c r="L16" s="130">
        <v>1</v>
      </c>
      <c r="M16" s="130"/>
      <c r="N16" s="130"/>
      <c r="O16" s="130"/>
      <c r="P16" s="130"/>
    </row>
    <row r="17" spans="1:16" ht="31.2" thickBot="1">
      <c r="A17" s="32"/>
      <c r="D17" s="129" t="s">
        <v>889</v>
      </c>
      <c r="E17" s="130" t="s">
        <v>13</v>
      </c>
      <c r="F17" s="130">
        <v>6</v>
      </c>
      <c r="G17" s="130"/>
      <c r="H17" s="130">
        <f t="shared" si="0"/>
        <v>6</v>
      </c>
      <c r="I17" s="130"/>
      <c r="J17" s="130">
        <v>2</v>
      </c>
      <c r="K17" s="130">
        <v>2</v>
      </c>
      <c r="L17" s="130">
        <v>2</v>
      </c>
      <c r="M17" s="130"/>
      <c r="N17" s="130"/>
      <c r="O17" s="130"/>
      <c r="P17" s="130"/>
    </row>
    <row r="18" spans="1:16" ht="16.2" thickBot="1">
      <c r="A18" s="32"/>
      <c r="D18" s="129" t="s">
        <v>890</v>
      </c>
      <c r="E18" s="130" t="s">
        <v>13</v>
      </c>
      <c r="F18" s="130">
        <v>6</v>
      </c>
      <c r="G18" s="130"/>
      <c r="H18" s="130">
        <v>6</v>
      </c>
      <c r="I18" s="130"/>
      <c r="J18" s="130">
        <v>2</v>
      </c>
      <c r="K18" s="130">
        <v>2</v>
      </c>
      <c r="L18" s="130">
        <v>2</v>
      </c>
      <c r="M18" s="130"/>
      <c r="N18" s="130"/>
      <c r="O18" s="130"/>
      <c r="P18" s="130"/>
    </row>
    <row r="19" spans="1:16" ht="31.2" thickBot="1">
      <c r="A19" s="32"/>
      <c r="D19" s="129" t="s">
        <v>891</v>
      </c>
      <c r="E19" s="130" t="s">
        <v>13</v>
      </c>
      <c r="F19" s="130">
        <v>2</v>
      </c>
      <c r="G19" s="130"/>
      <c r="H19" s="130">
        <f t="shared" si="0"/>
        <v>12</v>
      </c>
      <c r="I19" s="130"/>
      <c r="J19" s="130">
        <v>2</v>
      </c>
      <c r="K19" s="130">
        <v>6</v>
      </c>
      <c r="L19" s="130">
        <v>4</v>
      </c>
      <c r="M19" s="130"/>
      <c r="N19" s="130"/>
      <c r="O19" s="130"/>
      <c r="P19" s="130"/>
    </row>
    <row r="20" spans="1:16" ht="16.2" thickBot="1">
      <c r="A20" s="32"/>
      <c r="D20" s="129" t="s">
        <v>892</v>
      </c>
      <c r="E20" s="130" t="s">
        <v>13</v>
      </c>
      <c r="F20" s="130">
        <v>2</v>
      </c>
      <c r="G20" s="130"/>
      <c r="H20" s="130">
        <v>12</v>
      </c>
      <c r="I20" s="130"/>
      <c r="J20" s="130">
        <v>2</v>
      </c>
      <c r="K20" s="130">
        <v>6</v>
      </c>
      <c r="L20" s="130">
        <v>4</v>
      </c>
      <c r="M20" s="130"/>
      <c r="N20" s="130"/>
      <c r="O20" s="130"/>
      <c r="P20" s="130"/>
    </row>
    <row r="21" spans="1:16" ht="31.2" thickBot="1">
      <c r="A21" s="32"/>
      <c r="D21" s="129" t="s">
        <v>893</v>
      </c>
      <c r="E21" s="130" t="s">
        <v>13</v>
      </c>
      <c r="F21" s="130">
        <v>2</v>
      </c>
      <c r="G21" s="130"/>
      <c r="H21" s="130">
        <f t="shared" si="0"/>
        <v>2</v>
      </c>
      <c r="I21" s="130"/>
      <c r="J21" s="130">
        <v>2</v>
      </c>
      <c r="K21" s="130"/>
      <c r="L21" s="130"/>
      <c r="M21" s="130"/>
      <c r="N21" s="130"/>
      <c r="O21" s="130"/>
      <c r="P21" s="130"/>
    </row>
    <row r="22" spans="1:16" ht="16.2" thickBot="1">
      <c r="A22" s="32"/>
      <c r="D22" s="129" t="s">
        <v>894</v>
      </c>
      <c r="E22" s="130" t="s">
        <v>13</v>
      </c>
      <c r="F22" s="130">
        <v>2</v>
      </c>
      <c r="G22" s="130"/>
      <c r="H22" s="130">
        <v>2</v>
      </c>
      <c r="I22" s="130"/>
      <c r="J22" s="130">
        <v>2</v>
      </c>
      <c r="K22" s="130"/>
      <c r="L22" s="130"/>
      <c r="M22" s="130"/>
      <c r="N22" s="130"/>
      <c r="O22" s="130"/>
      <c r="P22" s="130"/>
    </row>
    <row r="23" spans="1:16" ht="31.8" thickBot="1">
      <c r="A23" s="32"/>
      <c r="D23" s="131" t="s">
        <v>895</v>
      </c>
      <c r="E23" s="130"/>
      <c r="F23" s="130"/>
      <c r="G23" s="130"/>
      <c r="H23" s="130">
        <f t="shared" si="0"/>
        <v>0</v>
      </c>
      <c r="I23" s="130"/>
      <c r="J23" s="130"/>
      <c r="K23" s="130"/>
      <c r="L23" s="130"/>
      <c r="M23" s="130"/>
      <c r="N23" s="130"/>
      <c r="O23" s="130"/>
      <c r="P23" s="130"/>
    </row>
    <row r="24" spans="1:16" ht="16.2" thickBot="1">
      <c r="A24" s="32"/>
      <c r="D24" s="129" t="s">
        <v>896</v>
      </c>
      <c r="E24" s="130" t="s">
        <v>15</v>
      </c>
      <c r="F24" s="130">
        <v>165</v>
      </c>
      <c r="G24" s="130"/>
      <c r="H24" s="130">
        <f t="shared" si="0"/>
        <v>106</v>
      </c>
      <c r="I24" s="130"/>
      <c r="J24" s="130">
        <v>35</v>
      </c>
      <c r="K24" s="130">
        <v>40</v>
      </c>
      <c r="L24" s="130">
        <v>31</v>
      </c>
      <c r="M24" s="130"/>
      <c r="N24" s="130"/>
      <c r="O24" s="130"/>
      <c r="P24" s="130"/>
    </row>
    <row r="25" spans="1:16" ht="16.2" thickBot="1">
      <c r="A25" s="32"/>
      <c r="D25" s="129" t="s">
        <v>882</v>
      </c>
      <c r="E25" s="130" t="s">
        <v>15</v>
      </c>
      <c r="F25" s="130">
        <v>165</v>
      </c>
      <c r="G25" s="130"/>
      <c r="H25" s="130">
        <v>106</v>
      </c>
      <c r="I25" s="130"/>
      <c r="J25" s="130"/>
      <c r="K25" s="130"/>
      <c r="L25" s="130"/>
      <c r="M25" s="130"/>
      <c r="N25" s="130"/>
      <c r="O25" s="130"/>
      <c r="P25" s="130"/>
    </row>
    <row r="26" spans="1:16" ht="16.2" thickBot="1">
      <c r="A26" s="32"/>
      <c r="D26" s="129" t="s">
        <v>897</v>
      </c>
      <c r="E26" s="130" t="s">
        <v>15</v>
      </c>
      <c r="F26" s="130">
        <v>185</v>
      </c>
      <c r="G26" s="130"/>
      <c r="H26" s="130">
        <f t="shared" si="0"/>
        <v>115</v>
      </c>
      <c r="I26" s="130"/>
      <c r="J26" s="130">
        <v>31</v>
      </c>
      <c r="K26" s="130">
        <v>42</v>
      </c>
      <c r="L26" s="130">
        <v>42</v>
      </c>
      <c r="M26" s="130"/>
      <c r="N26" s="130"/>
      <c r="O26" s="130"/>
      <c r="P26" s="130"/>
    </row>
    <row r="27" spans="1:16" ht="16.2" thickBot="1">
      <c r="A27" s="32"/>
      <c r="D27" s="129" t="s">
        <v>884</v>
      </c>
      <c r="E27" s="130" t="s">
        <v>15</v>
      </c>
      <c r="F27" s="130">
        <v>185</v>
      </c>
      <c r="G27" s="130"/>
      <c r="H27" s="130">
        <v>115</v>
      </c>
      <c r="I27" s="130"/>
      <c r="J27" s="130"/>
      <c r="K27" s="130"/>
      <c r="L27" s="130"/>
      <c r="M27" s="130"/>
      <c r="N27" s="130"/>
      <c r="O27" s="130"/>
      <c r="P27" s="130"/>
    </row>
    <row r="28" spans="1:16" ht="16.2" thickBot="1">
      <c r="A28" s="32"/>
      <c r="D28" s="129" t="s">
        <v>898</v>
      </c>
      <c r="E28" s="130" t="s">
        <v>15</v>
      </c>
      <c r="F28" s="130">
        <v>73</v>
      </c>
      <c r="G28" s="130"/>
      <c r="H28" s="130">
        <f t="shared" si="0"/>
        <v>28</v>
      </c>
      <c r="I28" s="130"/>
      <c r="J28" s="130">
        <v>15</v>
      </c>
      <c r="K28" s="130">
        <v>12</v>
      </c>
      <c r="L28" s="130">
        <v>1</v>
      </c>
      <c r="M28" s="130"/>
      <c r="N28" s="130"/>
      <c r="O28" s="130"/>
      <c r="P28" s="130"/>
    </row>
    <row r="29" spans="1:16" ht="16.2" thickBot="1">
      <c r="A29" s="32"/>
      <c r="D29" s="129" t="s">
        <v>886</v>
      </c>
      <c r="E29" s="130" t="s">
        <v>15</v>
      </c>
      <c r="F29" s="130">
        <v>73</v>
      </c>
      <c r="G29" s="130"/>
      <c r="H29" s="130">
        <v>28</v>
      </c>
      <c r="I29" s="130"/>
      <c r="J29" s="130"/>
      <c r="K29" s="130"/>
      <c r="L29" s="130"/>
      <c r="M29" s="130"/>
      <c r="N29" s="130"/>
      <c r="O29" s="130"/>
      <c r="P29" s="130"/>
    </row>
    <row r="30" spans="1:16" ht="16.2" thickBot="1">
      <c r="A30" s="32"/>
      <c r="D30" s="129" t="s">
        <v>899</v>
      </c>
      <c r="E30" s="130" t="s">
        <v>15</v>
      </c>
      <c r="F30" s="130">
        <v>42</v>
      </c>
      <c r="G30" s="130"/>
      <c r="H30" s="130">
        <f t="shared" si="0"/>
        <v>14</v>
      </c>
      <c r="I30" s="130"/>
      <c r="J30" s="130">
        <v>1</v>
      </c>
      <c r="K30" s="130">
        <v>3</v>
      </c>
      <c r="L30" s="130">
        <v>10</v>
      </c>
      <c r="M30" s="130"/>
      <c r="N30" s="130"/>
      <c r="O30" s="130"/>
      <c r="P30" s="130"/>
    </row>
    <row r="31" spans="1:16" ht="16.2" thickBot="1">
      <c r="A31" s="32"/>
      <c r="D31" s="129" t="s">
        <v>888</v>
      </c>
      <c r="E31" s="130" t="s">
        <v>15</v>
      </c>
      <c r="F31" s="130">
        <v>42</v>
      </c>
      <c r="G31" s="130"/>
      <c r="H31" s="130">
        <v>14</v>
      </c>
      <c r="I31" s="130"/>
      <c r="J31" s="130"/>
      <c r="K31" s="130"/>
      <c r="L31" s="130"/>
      <c r="M31" s="130"/>
      <c r="N31" s="130"/>
      <c r="O31" s="130"/>
      <c r="P31" s="130"/>
    </row>
    <row r="32" spans="1:16" ht="16.2" thickBot="1">
      <c r="A32" s="32"/>
      <c r="D32" s="129" t="s">
        <v>900</v>
      </c>
      <c r="E32" s="130" t="s">
        <v>15</v>
      </c>
      <c r="F32" s="130">
        <v>47</v>
      </c>
      <c r="G32" s="130"/>
      <c r="H32" s="130">
        <f t="shared" si="0"/>
        <v>28</v>
      </c>
      <c r="I32" s="130"/>
      <c r="J32" s="130">
        <v>10</v>
      </c>
      <c r="K32" s="130">
        <v>10</v>
      </c>
      <c r="L32" s="130">
        <v>2</v>
      </c>
      <c r="M32" s="130">
        <v>6</v>
      </c>
      <c r="N32" s="130"/>
      <c r="O32" s="130"/>
      <c r="P32" s="130"/>
    </row>
    <row r="33" spans="1:16" ht="16.2" thickBot="1">
      <c r="A33" s="32"/>
      <c r="D33" s="129" t="s">
        <v>890</v>
      </c>
      <c r="E33" s="130" t="s">
        <v>15</v>
      </c>
      <c r="F33" s="130">
        <v>47</v>
      </c>
      <c r="G33" s="130"/>
      <c r="H33" s="130">
        <v>28</v>
      </c>
      <c r="I33" s="130"/>
      <c r="J33" s="130"/>
      <c r="K33" s="130"/>
      <c r="L33" s="130"/>
      <c r="M33" s="130"/>
      <c r="N33" s="130"/>
      <c r="O33" s="130"/>
      <c r="P33" s="130"/>
    </row>
    <row r="34" spans="1:16" ht="16.2" thickBot="1">
      <c r="A34" s="32"/>
      <c r="D34" s="129" t="s">
        <v>901</v>
      </c>
      <c r="E34" s="130" t="s">
        <v>15</v>
      </c>
      <c r="F34" s="130">
        <v>9</v>
      </c>
      <c r="G34" s="130"/>
      <c r="H34" s="130">
        <f t="shared" si="0"/>
        <v>6</v>
      </c>
      <c r="I34" s="130"/>
      <c r="J34" s="130">
        <v>1</v>
      </c>
      <c r="K34" s="130">
        <v>1</v>
      </c>
      <c r="L34" s="130">
        <v>4</v>
      </c>
      <c r="M34" s="130"/>
      <c r="N34" s="130"/>
      <c r="O34" s="130"/>
      <c r="P34" s="130"/>
    </row>
    <row r="35" spans="1:16" ht="16.2" thickBot="1">
      <c r="A35" s="32"/>
      <c r="D35" s="129" t="s">
        <v>892</v>
      </c>
      <c r="E35" s="130" t="s">
        <v>15</v>
      </c>
      <c r="F35" s="130">
        <v>9</v>
      </c>
      <c r="G35" s="130"/>
      <c r="H35" s="130">
        <v>6</v>
      </c>
      <c r="I35" s="130"/>
      <c r="J35" s="130"/>
      <c r="K35" s="130"/>
      <c r="L35" s="130"/>
      <c r="M35" s="130"/>
      <c r="N35" s="130"/>
      <c r="O35" s="130"/>
      <c r="P35" s="130"/>
    </row>
    <row r="36" spans="1:16" ht="16.2" thickBot="1">
      <c r="A36" s="32"/>
      <c r="D36" s="129" t="s">
        <v>902</v>
      </c>
      <c r="E36" s="130" t="s">
        <v>15</v>
      </c>
      <c r="F36" s="130">
        <v>8</v>
      </c>
      <c r="G36" s="130"/>
      <c r="H36" s="130">
        <f t="shared" si="0"/>
        <v>3</v>
      </c>
      <c r="I36" s="130"/>
      <c r="J36" s="130">
        <v>1.5</v>
      </c>
      <c r="K36" s="130">
        <v>1.5</v>
      </c>
      <c r="L36" s="130"/>
      <c r="M36" s="130"/>
      <c r="N36" s="130"/>
      <c r="O36" s="130"/>
      <c r="P36" s="130"/>
    </row>
    <row r="37" spans="1:16" ht="16.2" thickBot="1">
      <c r="A37" s="32"/>
      <c r="D37" s="129" t="s">
        <v>894</v>
      </c>
      <c r="E37" s="130" t="s">
        <v>15</v>
      </c>
      <c r="F37" s="130">
        <v>8</v>
      </c>
      <c r="G37" s="130"/>
      <c r="H37" s="130">
        <v>3</v>
      </c>
      <c r="I37" s="130"/>
      <c r="J37" s="130"/>
      <c r="K37" s="130"/>
      <c r="L37" s="130"/>
      <c r="M37" s="130"/>
      <c r="N37" s="130"/>
      <c r="O37" s="130"/>
      <c r="P37" s="130"/>
    </row>
    <row r="38" spans="1:16" ht="16.2" thickBot="1">
      <c r="A38" s="32"/>
      <c r="D38" s="129" t="s">
        <v>903</v>
      </c>
      <c r="E38" s="130" t="s">
        <v>15</v>
      </c>
      <c r="F38" s="130">
        <v>12</v>
      </c>
      <c r="G38" s="130"/>
      <c r="H38" s="130">
        <f t="shared" si="0"/>
        <v>10</v>
      </c>
      <c r="I38" s="130"/>
      <c r="J38" s="130"/>
      <c r="K38" s="130"/>
      <c r="L38" s="130">
        <v>4</v>
      </c>
      <c r="M38" s="130">
        <v>6</v>
      </c>
      <c r="N38" s="130"/>
      <c r="O38" s="130"/>
      <c r="P38" s="130"/>
    </row>
    <row r="39" spans="1:16" ht="16.2" thickBot="1">
      <c r="A39" s="32"/>
      <c r="D39" s="129" t="s">
        <v>904</v>
      </c>
      <c r="E39" s="130" t="s">
        <v>15</v>
      </c>
      <c r="F39" s="130">
        <v>12</v>
      </c>
      <c r="G39" s="130"/>
      <c r="H39" s="130">
        <v>10</v>
      </c>
      <c r="I39" s="130"/>
      <c r="J39" s="130"/>
      <c r="K39" s="130"/>
      <c r="L39" s="130"/>
      <c r="M39" s="130"/>
      <c r="N39" s="130"/>
      <c r="O39" s="130"/>
      <c r="P39" s="130"/>
    </row>
    <row r="40" spans="1:16" ht="16.2" thickBot="1">
      <c r="A40" s="32"/>
      <c r="D40" s="131" t="s">
        <v>905</v>
      </c>
      <c r="E40" s="130"/>
      <c r="F40" s="130"/>
      <c r="G40" s="130"/>
      <c r="H40" s="130">
        <f t="shared" si="0"/>
        <v>0</v>
      </c>
      <c r="I40" s="130"/>
      <c r="J40" s="130"/>
      <c r="K40" s="130"/>
      <c r="L40" s="130"/>
      <c r="M40" s="130"/>
      <c r="N40" s="130"/>
      <c r="O40" s="130"/>
      <c r="P40" s="130"/>
    </row>
    <row r="41" spans="1:16" ht="46.2" thickBot="1">
      <c r="A41" s="32"/>
      <c r="D41" s="129" t="s">
        <v>906</v>
      </c>
      <c r="E41" s="130" t="s">
        <v>14</v>
      </c>
      <c r="F41" s="130">
        <v>1</v>
      </c>
      <c r="G41" s="130"/>
      <c r="H41" s="130">
        <f t="shared" si="0"/>
        <v>1</v>
      </c>
      <c r="I41" s="130">
        <v>1</v>
      </c>
      <c r="J41" s="130"/>
      <c r="K41" s="130"/>
      <c r="L41" s="130"/>
      <c r="M41" s="130"/>
      <c r="N41" s="130"/>
      <c r="O41" s="130"/>
      <c r="P41" s="130"/>
    </row>
    <row r="42" spans="1:16" ht="16.2" thickBot="1">
      <c r="A42" s="32"/>
      <c r="D42" s="129" t="s">
        <v>907</v>
      </c>
      <c r="E42" s="130" t="s">
        <v>14</v>
      </c>
      <c r="F42" s="130">
        <v>1</v>
      </c>
      <c r="G42" s="130"/>
      <c r="H42" s="130">
        <f t="shared" si="0"/>
        <v>1</v>
      </c>
      <c r="I42" s="130">
        <v>1</v>
      </c>
      <c r="J42" s="130"/>
      <c r="K42" s="130"/>
      <c r="L42" s="130"/>
      <c r="M42" s="130"/>
      <c r="N42" s="130"/>
      <c r="O42" s="130"/>
      <c r="P42" s="130"/>
    </row>
    <row r="43" spans="1:16" ht="31.2" thickBot="1">
      <c r="A43" s="32"/>
      <c r="D43" s="129" t="s">
        <v>908</v>
      </c>
      <c r="E43" s="130" t="s">
        <v>301</v>
      </c>
      <c r="F43" s="130">
        <v>18.399999999999999</v>
      </c>
      <c r="G43" s="130"/>
      <c r="H43" s="130">
        <f t="shared" si="0"/>
        <v>0</v>
      </c>
      <c r="I43" s="130"/>
      <c r="J43" s="130"/>
      <c r="K43" s="130"/>
      <c r="L43" s="130"/>
      <c r="M43" s="130"/>
      <c r="N43" s="130"/>
      <c r="O43" s="130"/>
      <c r="P43" s="130"/>
    </row>
    <row r="44" spans="1:16" ht="16.2" thickBot="1">
      <c r="A44" s="32"/>
      <c r="D44" s="129" t="s">
        <v>909</v>
      </c>
      <c r="E44" s="130" t="s">
        <v>301</v>
      </c>
      <c r="F44" s="130">
        <v>18.399999999999999</v>
      </c>
      <c r="G44" s="130"/>
      <c r="H44" s="130">
        <f t="shared" si="0"/>
        <v>0</v>
      </c>
      <c r="I44" s="130"/>
      <c r="J44" s="130"/>
      <c r="K44" s="130"/>
      <c r="L44" s="130"/>
      <c r="M44" s="130"/>
      <c r="N44" s="130"/>
      <c r="O44" s="130"/>
      <c r="P44" s="130"/>
    </row>
    <row r="45" spans="1:16" ht="16.2" thickBot="1">
      <c r="A45" s="32"/>
      <c r="D45" s="129" t="s">
        <v>910</v>
      </c>
      <c r="E45" s="130"/>
      <c r="F45" s="130"/>
      <c r="G45" s="130"/>
      <c r="H45" s="130">
        <f t="shared" si="0"/>
        <v>0</v>
      </c>
      <c r="I45" s="130"/>
      <c r="J45" s="130"/>
      <c r="K45" s="130"/>
      <c r="L45" s="130"/>
      <c r="M45" s="130"/>
      <c r="N45" s="130"/>
      <c r="O45" s="130"/>
      <c r="P45" s="130"/>
    </row>
    <row r="46" spans="1:16" ht="46.2" thickBot="1">
      <c r="A46" s="32"/>
      <c r="D46" s="129" t="s">
        <v>911</v>
      </c>
      <c r="E46" s="130" t="s">
        <v>14</v>
      </c>
      <c r="F46" s="130">
        <v>1</v>
      </c>
      <c r="G46" s="130"/>
      <c r="H46" s="130">
        <f t="shared" si="0"/>
        <v>0</v>
      </c>
      <c r="I46" s="130"/>
      <c r="J46" s="130"/>
      <c r="K46" s="130"/>
      <c r="L46" s="130"/>
      <c r="M46" s="130"/>
      <c r="N46" s="130"/>
      <c r="O46" s="130"/>
      <c r="P46" s="130"/>
    </row>
    <row r="47" spans="1:16" ht="245.4" thickBot="1">
      <c r="A47" s="32"/>
      <c r="D47" s="129" t="s">
        <v>912</v>
      </c>
      <c r="E47" s="130" t="s">
        <v>14</v>
      </c>
      <c r="F47" s="130">
        <v>1</v>
      </c>
      <c r="G47" s="130"/>
      <c r="H47" s="130">
        <f t="shared" si="0"/>
        <v>0</v>
      </c>
      <c r="I47" s="130"/>
      <c r="J47" s="130"/>
      <c r="K47" s="130"/>
      <c r="L47" s="130"/>
      <c r="M47" s="130"/>
      <c r="N47" s="130"/>
      <c r="O47" s="130" t="s">
        <v>913</v>
      </c>
      <c r="P47" s="130"/>
    </row>
    <row r="48" spans="1:16" ht="16.2" thickBot="1">
      <c r="A48" s="32"/>
      <c r="D48" s="129" t="s">
        <v>914</v>
      </c>
      <c r="E48" s="130" t="s">
        <v>13</v>
      </c>
      <c r="F48" s="130">
        <v>1</v>
      </c>
      <c r="G48" s="130"/>
      <c r="H48" s="130">
        <f t="shared" si="0"/>
        <v>0</v>
      </c>
      <c r="I48" s="130"/>
      <c r="J48" s="130"/>
      <c r="K48" s="130"/>
      <c r="L48" s="130"/>
      <c r="M48" s="130"/>
      <c r="N48" s="130"/>
      <c r="O48" s="130"/>
      <c r="P48" s="130"/>
    </row>
    <row r="49" spans="1:16" ht="16.2" thickBot="1">
      <c r="A49" s="32"/>
      <c r="D49" s="129" t="s">
        <v>915</v>
      </c>
      <c r="E49" s="130" t="s">
        <v>13</v>
      </c>
      <c r="F49" s="130">
        <v>1</v>
      </c>
      <c r="G49" s="130"/>
      <c r="H49" s="130">
        <f t="shared" si="0"/>
        <v>0</v>
      </c>
      <c r="I49" s="130"/>
      <c r="J49" s="130"/>
      <c r="K49" s="130"/>
      <c r="L49" s="130"/>
      <c r="M49" s="130"/>
      <c r="N49" s="130"/>
      <c r="O49" s="130"/>
      <c r="P49" s="130"/>
    </row>
    <row r="50" spans="1:16" ht="16.2" thickBot="1">
      <c r="A50" s="32"/>
      <c r="D50" s="129" t="s">
        <v>16</v>
      </c>
      <c r="E50" s="130" t="s">
        <v>13</v>
      </c>
      <c r="F50" s="130">
        <v>1</v>
      </c>
      <c r="G50" s="130"/>
      <c r="H50" s="130">
        <f t="shared" si="0"/>
        <v>0</v>
      </c>
      <c r="I50" s="130"/>
      <c r="J50" s="130"/>
      <c r="K50" s="130"/>
      <c r="L50" s="130"/>
      <c r="M50" s="130"/>
      <c r="N50" s="130"/>
      <c r="O50" s="130"/>
      <c r="P50" s="130"/>
    </row>
    <row r="51" spans="1:16" ht="16.2" thickBot="1">
      <c r="A51" s="32"/>
      <c r="D51" s="129"/>
      <c r="E51" s="130"/>
      <c r="F51" s="130"/>
      <c r="G51" s="130"/>
      <c r="H51" s="130">
        <f t="shared" si="0"/>
        <v>0</v>
      </c>
      <c r="I51" s="130"/>
      <c r="J51" s="130"/>
      <c r="K51" s="130"/>
      <c r="L51" s="130"/>
      <c r="M51" s="130"/>
      <c r="N51" s="130"/>
      <c r="O51" s="130"/>
      <c r="P51" s="130"/>
    </row>
    <row r="52" spans="1:16" ht="16.2" thickBot="1">
      <c r="A52" s="32"/>
      <c r="D52" s="131" t="s">
        <v>1341</v>
      </c>
      <c r="E52" s="130"/>
      <c r="F52" s="130"/>
      <c r="G52" s="130"/>
      <c r="H52" s="130">
        <f t="shared" si="0"/>
        <v>1</v>
      </c>
      <c r="I52" s="130"/>
      <c r="J52" s="130"/>
      <c r="K52" s="130"/>
      <c r="L52" s="130"/>
      <c r="M52" s="130">
        <v>1</v>
      </c>
      <c r="N52" s="130"/>
      <c r="O52" s="130"/>
      <c r="P52" s="130"/>
    </row>
    <row r="53" spans="1:16" ht="16.2" thickBot="1">
      <c r="A53" s="32"/>
      <c r="D53" s="129"/>
      <c r="E53" s="130"/>
      <c r="F53" s="130"/>
      <c r="G53" s="130"/>
      <c r="H53" s="130">
        <f t="shared" si="0"/>
        <v>0</v>
      </c>
      <c r="I53" s="130"/>
      <c r="J53" s="130"/>
      <c r="K53" s="130"/>
      <c r="L53" s="130"/>
      <c r="M53" s="130"/>
      <c r="N53" s="130"/>
      <c r="O53" s="130"/>
      <c r="P53" s="130"/>
    </row>
    <row r="54" spans="1:16" ht="16.2" thickBot="1">
      <c r="A54" s="32"/>
      <c r="D54" s="129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</row>
    <row r="55" spans="1:16" ht="16.2" thickBot="1">
      <c r="A55" s="32"/>
      <c r="D55" s="129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</row>
    <row r="56" spans="1:16" ht="16.2" thickBot="1">
      <c r="A56" s="32"/>
      <c r="D56" s="129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</row>
    <row r="57" spans="1:16" ht="15" thickBot="1">
      <c r="A57" s="35"/>
      <c r="H57" s="130"/>
    </row>
    <row r="58" spans="1:16" ht="15" thickBot="1">
      <c r="A58" s="35"/>
      <c r="H58" s="130"/>
    </row>
    <row r="59" spans="1:16" ht="15" thickBot="1">
      <c r="A59" s="35"/>
      <c r="H59" s="130"/>
    </row>
    <row r="60" spans="1:16" ht="15" thickBot="1">
      <c r="A60" s="35"/>
      <c r="H60" s="130"/>
    </row>
    <row r="61" spans="1:16" ht="15" thickBot="1">
      <c r="A61" s="35"/>
      <c r="H61" s="130"/>
    </row>
    <row r="62" spans="1:16" ht="15" thickBot="1">
      <c r="A62" s="35"/>
      <c r="H62" s="130"/>
    </row>
    <row r="63" spans="1:16" ht="15" thickBot="1">
      <c r="A63" s="35"/>
      <c r="H63" s="130"/>
    </row>
    <row r="64" spans="1:16" ht="15" thickBot="1">
      <c r="A64" s="35"/>
      <c r="H64" s="130"/>
    </row>
    <row r="65" spans="1:8" ht="15" thickBot="1">
      <c r="A65" s="35"/>
      <c r="H65" s="130"/>
    </row>
    <row r="66" spans="1:8" ht="15" thickBot="1">
      <c r="A66" s="35"/>
      <c r="H66" s="130"/>
    </row>
    <row r="67" spans="1:8" ht="15" thickBot="1">
      <c r="A67" s="35"/>
      <c r="H67" s="130"/>
    </row>
    <row r="68" spans="1:8" ht="15" thickBot="1">
      <c r="A68" s="35"/>
      <c r="H68" s="130"/>
    </row>
    <row r="69" spans="1:8" ht="15" thickBot="1">
      <c r="A69" s="35"/>
      <c r="H69" s="130"/>
    </row>
    <row r="70" spans="1:8" ht="15" thickBot="1">
      <c r="A70" s="35"/>
      <c r="H70" s="130"/>
    </row>
    <row r="71" spans="1:8" ht="15" thickBot="1">
      <c r="A71" s="35"/>
      <c r="H71" s="130"/>
    </row>
    <row r="72" spans="1:8" ht="15" thickBot="1">
      <c r="A72" s="35"/>
      <c r="H72" s="130"/>
    </row>
    <row r="73" spans="1:8" ht="15" thickBot="1">
      <c r="A73" s="34"/>
      <c r="H73" s="130"/>
    </row>
    <row r="74" spans="1:8" ht="15" thickBot="1">
      <c r="A74" s="35"/>
      <c r="H74" s="130"/>
    </row>
    <row r="75" spans="1:8" ht="15" thickBot="1">
      <c r="A75" s="35"/>
      <c r="H75" s="130"/>
    </row>
    <row r="76" spans="1:8" ht="15" thickBot="1">
      <c r="A76" s="35"/>
      <c r="H76" s="130"/>
    </row>
    <row r="77" spans="1:8" ht="15" thickBot="1">
      <c r="A77" s="34"/>
      <c r="H77" s="130"/>
    </row>
    <row r="78" spans="1:8" ht="15" thickBot="1">
      <c r="A78" s="35"/>
      <c r="H78" s="130"/>
    </row>
    <row r="79" spans="1:8" ht="15" thickBot="1">
      <c r="A79" s="35"/>
      <c r="H79" s="130"/>
    </row>
    <row r="80" spans="1:8" ht="15" thickBot="1">
      <c r="A80" s="34"/>
      <c r="H80" s="130"/>
    </row>
    <row r="81" spans="1:8" ht="15" thickBot="1">
      <c r="A81" s="35"/>
      <c r="H81" s="130"/>
    </row>
    <row r="82" spans="1:8" ht="15" thickBot="1">
      <c r="A82" s="35"/>
      <c r="H82" s="130"/>
    </row>
    <row r="83" spans="1:8" ht="15" thickBot="1">
      <c r="A83" s="34"/>
      <c r="H83" s="130"/>
    </row>
    <row r="84" spans="1:8" ht="15" thickBot="1">
      <c r="A84" s="35"/>
      <c r="H84" s="130"/>
    </row>
    <row r="85" spans="1:8" ht="15" thickBot="1">
      <c r="A85" s="35"/>
      <c r="H85" s="130"/>
    </row>
    <row r="86" spans="1:8" ht="15" thickBot="1">
      <c r="A86" s="35"/>
      <c r="H86" s="130"/>
    </row>
    <row r="87" spans="1:8" ht="15" thickBot="1">
      <c r="A87" s="34"/>
      <c r="H87" s="130"/>
    </row>
    <row r="88" spans="1:8" ht="15" thickBot="1">
      <c r="A88" s="35"/>
      <c r="H88" s="130"/>
    </row>
    <row r="89" spans="1:8" ht="15" thickBot="1">
      <c r="A89" s="35"/>
      <c r="H89" s="130"/>
    </row>
    <row r="90" spans="1:8" ht="15" thickBot="1">
      <c r="A90" s="35"/>
      <c r="H90" s="130"/>
    </row>
    <row r="91" spans="1:8" ht="15" thickBot="1">
      <c r="A91" s="35"/>
      <c r="H91" s="130"/>
    </row>
    <row r="92" spans="1:8" ht="15" thickBot="1">
      <c r="A92" s="34"/>
      <c r="H92" s="130"/>
    </row>
    <row r="93" spans="1:8">
      <c r="A93" s="35"/>
    </row>
    <row r="94" spans="1:8">
      <c r="A94" s="35"/>
    </row>
    <row r="95" spans="1:8">
      <c r="A95" s="33"/>
    </row>
    <row r="96" spans="1:8">
      <c r="A96" s="34"/>
    </row>
    <row r="97" spans="1:1">
      <c r="A97" s="35"/>
    </row>
    <row r="98" spans="1:1">
      <c r="A98" s="35"/>
    </row>
    <row r="99" spans="1:1">
      <c r="A99" s="35"/>
    </row>
    <row r="100" spans="1:1">
      <c r="A100" s="35"/>
    </row>
    <row r="101" spans="1:1">
      <c r="A101" s="35"/>
    </row>
    <row r="102" spans="1:1">
      <c r="A102" s="35"/>
    </row>
    <row r="103" spans="1:1">
      <c r="A103" s="35"/>
    </row>
    <row r="104" spans="1:1">
      <c r="A104" s="35"/>
    </row>
    <row r="105" spans="1:1">
      <c r="A105" s="35"/>
    </row>
    <row r="106" spans="1:1">
      <c r="A106" s="35"/>
    </row>
    <row r="107" spans="1:1">
      <c r="A107" s="34"/>
    </row>
    <row r="108" spans="1:1">
      <c r="A108" s="35"/>
    </row>
    <row r="109" spans="1:1">
      <c r="A109" s="35"/>
    </row>
    <row r="110" spans="1:1">
      <c r="A110" s="35"/>
    </row>
    <row r="111" spans="1:1">
      <c r="A111" s="35"/>
    </row>
    <row r="112" spans="1:1">
      <c r="A112" s="35"/>
    </row>
    <row r="113" spans="1:1">
      <c r="A113" s="35"/>
    </row>
    <row r="114" spans="1:1">
      <c r="A114" s="35"/>
    </row>
    <row r="115" spans="1:1">
      <c r="A115" s="35"/>
    </row>
    <row r="116" spans="1:1">
      <c r="A116" s="35"/>
    </row>
    <row r="117" spans="1:1">
      <c r="A117" s="35"/>
    </row>
    <row r="118" spans="1:1">
      <c r="A118" s="35"/>
    </row>
    <row r="119" spans="1:1">
      <c r="A119" s="35"/>
    </row>
    <row r="120" spans="1:1">
      <c r="A120" s="35"/>
    </row>
    <row r="121" spans="1:1">
      <c r="A121" s="35"/>
    </row>
    <row r="122" spans="1:1">
      <c r="A122" s="35"/>
    </row>
    <row r="123" spans="1:1">
      <c r="A123" s="35"/>
    </row>
    <row r="124" spans="1:1">
      <c r="A124" s="35"/>
    </row>
    <row r="125" spans="1:1">
      <c r="A125" s="35"/>
    </row>
    <row r="126" spans="1:1">
      <c r="A126" s="35"/>
    </row>
    <row r="127" spans="1:1">
      <c r="A127" s="35"/>
    </row>
    <row r="128" spans="1:1">
      <c r="A128" s="34"/>
    </row>
    <row r="129" spans="1:1">
      <c r="A129" s="35"/>
    </row>
    <row r="130" spans="1:1">
      <c r="A130" s="35"/>
    </row>
    <row r="131" spans="1:1">
      <c r="A131" s="34"/>
    </row>
    <row r="132" spans="1:1">
      <c r="A132" s="35"/>
    </row>
    <row r="133" spans="1:1">
      <c r="A133" s="35"/>
    </row>
    <row r="134" spans="1:1">
      <c r="A134" s="34"/>
    </row>
    <row r="135" spans="1:1">
      <c r="A135" s="35"/>
    </row>
    <row r="136" spans="1:1">
      <c r="A136" s="35"/>
    </row>
    <row r="137" spans="1:1">
      <c r="A137" s="34"/>
    </row>
    <row r="138" spans="1:1">
      <c r="A138" s="35"/>
    </row>
    <row r="139" spans="1:1">
      <c r="A139" s="35"/>
    </row>
    <row r="140" spans="1:1">
      <c r="A140" s="35"/>
    </row>
    <row r="141" spans="1:1">
      <c r="A141" s="35"/>
    </row>
    <row r="142" spans="1:1">
      <c r="A142" s="35"/>
    </row>
    <row r="143" spans="1:1">
      <c r="A143" s="34"/>
    </row>
    <row r="144" spans="1:1">
      <c r="A144" s="35"/>
    </row>
    <row r="145" spans="1:1">
      <c r="A145" s="35"/>
    </row>
    <row r="146" spans="1:1">
      <c r="A146" s="35"/>
    </row>
    <row r="147" spans="1:1">
      <c r="A147" s="35"/>
    </row>
    <row r="148" spans="1:1">
      <c r="A148" s="34"/>
    </row>
    <row r="149" spans="1:1">
      <c r="A149" s="35"/>
    </row>
    <row r="150" spans="1:1">
      <c r="A150" s="35"/>
    </row>
    <row r="151" spans="1:1">
      <c r="A151" s="33"/>
    </row>
    <row r="152" spans="1:1">
      <c r="A152" s="33"/>
    </row>
    <row r="153" spans="1:1">
      <c r="A153" s="34"/>
    </row>
    <row r="154" spans="1:1">
      <c r="A154" s="35"/>
    </row>
    <row r="155" spans="1:1">
      <c r="A155" s="35"/>
    </row>
    <row r="156" spans="1:1">
      <c r="A156" s="35"/>
    </row>
    <row r="157" spans="1:1">
      <c r="A157" s="35"/>
    </row>
    <row r="158" spans="1:1">
      <c r="A158" s="35"/>
    </row>
    <row r="159" spans="1:1">
      <c r="A159" s="35"/>
    </row>
    <row r="160" spans="1:1">
      <c r="A160" s="35"/>
    </row>
    <row r="161" spans="1:1">
      <c r="A161" s="35"/>
    </row>
    <row r="162" spans="1:1">
      <c r="A162" s="35"/>
    </row>
    <row r="163" spans="1:1">
      <c r="A163" s="35"/>
    </row>
    <row r="164" spans="1:1">
      <c r="A164" s="34"/>
    </row>
    <row r="165" spans="1:1">
      <c r="A165" s="35"/>
    </row>
    <row r="166" spans="1:1">
      <c r="A166" s="35"/>
    </row>
    <row r="167" spans="1:1">
      <c r="A167" s="35"/>
    </row>
    <row r="168" spans="1:1">
      <c r="A168" s="35"/>
    </row>
    <row r="169" spans="1:1">
      <c r="A169" s="35"/>
    </row>
    <row r="170" spans="1:1">
      <c r="A170" s="35"/>
    </row>
    <row r="171" spans="1:1">
      <c r="A171" s="35"/>
    </row>
    <row r="172" spans="1:1">
      <c r="A172" s="35"/>
    </row>
    <row r="173" spans="1:1">
      <c r="A173" s="35"/>
    </row>
    <row r="174" spans="1:1">
      <c r="A174" s="35"/>
    </row>
    <row r="175" spans="1:1">
      <c r="A175" s="35"/>
    </row>
    <row r="176" spans="1:1">
      <c r="A176" s="35"/>
    </row>
    <row r="177" spans="1:1">
      <c r="A177" s="35"/>
    </row>
    <row r="178" spans="1:1">
      <c r="A178" s="35"/>
    </row>
    <row r="179" spans="1:1">
      <c r="A179" s="35"/>
    </row>
    <row r="180" spans="1:1">
      <c r="A180" s="35"/>
    </row>
    <row r="181" spans="1:1">
      <c r="A181" s="34"/>
    </row>
    <row r="182" spans="1:1">
      <c r="A182" s="35"/>
    </row>
    <row r="183" spans="1:1">
      <c r="A183" s="34"/>
    </row>
    <row r="184" spans="1:1">
      <c r="A184" s="35"/>
    </row>
    <row r="185" spans="1:1">
      <c r="A185" s="35"/>
    </row>
    <row r="186" spans="1:1">
      <c r="A186" s="34"/>
    </row>
    <row r="187" spans="1:1">
      <c r="A187" s="35"/>
    </row>
    <row r="188" spans="1:1">
      <c r="A188" s="35"/>
    </row>
    <row r="189" spans="1:1">
      <c r="A189" s="34"/>
    </row>
    <row r="190" spans="1:1">
      <c r="A190" s="35"/>
    </row>
    <row r="191" spans="1:1">
      <c r="A191" s="34"/>
    </row>
    <row r="192" spans="1:1">
      <c r="A192" s="35"/>
    </row>
    <row r="193" spans="1:1">
      <c r="A193" s="35"/>
    </row>
    <row r="194" spans="1:1">
      <c r="A194" s="34"/>
    </row>
    <row r="195" spans="1:1">
      <c r="A195" s="35"/>
    </row>
    <row r="196" spans="1:1">
      <c r="A196" s="35"/>
    </row>
    <row r="197" spans="1:1">
      <c r="A197" s="33"/>
    </row>
    <row r="198" spans="1:1">
      <c r="A198" s="33"/>
    </row>
    <row r="199" spans="1:1">
      <c r="A199" s="34"/>
    </row>
    <row r="200" spans="1:1">
      <c r="A200" s="35"/>
    </row>
    <row r="201" spans="1:1">
      <c r="A201" s="35"/>
    </row>
    <row r="202" spans="1:1">
      <c r="A202" s="35"/>
    </row>
    <row r="203" spans="1:1">
      <c r="A203" s="35"/>
    </row>
    <row r="204" spans="1:1">
      <c r="A204" s="35"/>
    </row>
    <row r="205" spans="1:1">
      <c r="A205" s="35"/>
    </row>
    <row r="206" spans="1:1">
      <c r="A206" s="35"/>
    </row>
    <row r="207" spans="1:1">
      <c r="A207" s="35"/>
    </row>
    <row r="208" spans="1:1">
      <c r="A208" s="35"/>
    </row>
    <row r="209" spans="1:1">
      <c r="A209" s="35"/>
    </row>
    <row r="210" spans="1:1">
      <c r="A210" s="34"/>
    </row>
    <row r="211" spans="1:1">
      <c r="A211" s="35"/>
    </row>
    <row r="212" spans="1:1">
      <c r="A212" s="35"/>
    </row>
    <row r="213" spans="1:1">
      <c r="A213" s="35"/>
    </row>
    <row r="214" spans="1:1">
      <c r="A214" s="35"/>
    </row>
    <row r="215" spans="1:1">
      <c r="A215" s="35"/>
    </row>
    <row r="216" spans="1:1">
      <c r="A216" s="35"/>
    </row>
    <row r="217" spans="1:1">
      <c r="A217" s="35"/>
    </row>
    <row r="218" spans="1:1">
      <c r="A218" s="35"/>
    </row>
    <row r="219" spans="1:1">
      <c r="A219" s="35"/>
    </row>
    <row r="220" spans="1:1">
      <c r="A220" s="35"/>
    </row>
    <row r="221" spans="1:1">
      <c r="A221" s="35"/>
    </row>
    <row r="222" spans="1:1">
      <c r="A222" s="35"/>
    </row>
    <row r="223" spans="1:1">
      <c r="A223" s="35"/>
    </row>
    <row r="224" spans="1:1">
      <c r="A224" s="35"/>
    </row>
    <row r="225" spans="1:1">
      <c r="A225" s="35"/>
    </row>
    <row r="226" spans="1:1">
      <c r="A226" s="35"/>
    </row>
    <row r="227" spans="1:1">
      <c r="A227" s="34"/>
    </row>
    <row r="228" spans="1:1">
      <c r="A228" s="35"/>
    </row>
    <row r="229" spans="1:1">
      <c r="A229" s="34"/>
    </row>
    <row r="230" spans="1:1">
      <c r="A230" s="35"/>
    </row>
    <row r="231" spans="1:1">
      <c r="A231" s="35"/>
    </row>
    <row r="232" spans="1:1">
      <c r="A232" s="34"/>
    </row>
    <row r="233" spans="1:1">
      <c r="A233" s="35"/>
    </row>
    <row r="234" spans="1:1">
      <c r="A234" s="35"/>
    </row>
    <row r="235" spans="1:1">
      <c r="A235" s="34"/>
    </row>
    <row r="236" spans="1:1">
      <c r="A236" s="35"/>
    </row>
    <row r="237" spans="1:1">
      <c r="A237" s="34"/>
    </row>
    <row r="238" spans="1:1">
      <c r="A238" s="35"/>
    </row>
    <row r="239" spans="1:1">
      <c r="A239" s="35"/>
    </row>
    <row r="240" spans="1:1">
      <c r="A240" s="35"/>
    </row>
    <row r="241" spans="1:1">
      <c r="A241" s="34"/>
    </row>
    <row r="242" spans="1:1">
      <c r="A242" s="35"/>
    </row>
    <row r="243" spans="1:1">
      <c r="A243" s="35"/>
    </row>
    <row r="244" spans="1:1">
      <c r="A244" s="33"/>
    </row>
    <row r="245" spans="1:1">
      <c r="A245" s="33"/>
    </row>
    <row r="246" spans="1:1">
      <c r="A246" s="34"/>
    </row>
    <row r="247" spans="1:1">
      <c r="A247" s="35"/>
    </row>
    <row r="248" spans="1:1">
      <c r="A248" s="35"/>
    </row>
    <row r="249" spans="1:1">
      <c r="A249" s="35"/>
    </row>
    <row r="250" spans="1:1">
      <c r="A250" s="35"/>
    </row>
    <row r="251" spans="1:1">
      <c r="A251" s="35"/>
    </row>
    <row r="252" spans="1:1">
      <c r="A252" s="35"/>
    </row>
    <row r="253" spans="1:1">
      <c r="A253" s="35"/>
    </row>
    <row r="254" spans="1:1">
      <c r="A254" s="35"/>
    </row>
    <row r="255" spans="1:1">
      <c r="A255" s="35"/>
    </row>
    <row r="256" spans="1:1">
      <c r="A256" s="35"/>
    </row>
    <row r="257" spans="1:1">
      <c r="A257" s="34"/>
    </row>
    <row r="258" spans="1:1">
      <c r="A258" s="35"/>
    </row>
    <row r="259" spans="1:1">
      <c r="A259" s="35"/>
    </row>
    <row r="260" spans="1:1">
      <c r="A260" s="35"/>
    </row>
    <row r="261" spans="1:1">
      <c r="A261" s="35"/>
    </row>
    <row r="262" spans="1:1">
      <c r="A262" s="35"/>
    </row>
    <row r="263" spans="1:1">
      <c r="A263" s="35"/>
    </row>
    <row r="264" spans="1:1">
      <c r="A264" s="35"/>
    </row>
    <row r="265" spans="1:1">
      <c r="A265" s="35"/>
    </row>
    <row r="266" spans="1:1">
      <c r="A266" s="35"/>
    </row>
    <row r="267" spans="1:1">
      <c r="A267" s="35"/>
    </row>
    <row r="268" spans="1:1">
      <c r="A268" s="35"/>
    </row>
    <row r="269" spans="1:1">
      <c r="A269" s="35"/>
    </row>
    <row r="270" spans="1:1">
      <c r="A270" s="35"/>
    </row>
    <row r="271" spans="1:1">
      <c r="A271" s="35"/>
    </row>
    <row r="272" spans="1:1">
      <c r="A272" s="35"/>
    </row>
    <row r="273" spans="1:1">
      <c r="A273" s="35"/>
    </row>
    <row r="274" spans="1:1">
      <c r="A274" s="35"/>
    </row>
    <row r="275" spans="1:1">
      <c r="A275" s="35"/>
    </row>
    <row r="276" spans="1:1">
      <c r="A276" s="35"/>
    </row>
    <row r="277" spans="1:1">
      <c r="A277" s="35"/>
    </row>
    <row r="278" spans="1:1">
      <c r="A278" s="34"/>
    </row>
    <row r="279" spans="1:1">
      <c r="A279" s="35"/>
    </row>
    <row r="280" spans="1:1">
      <c r="A280" s="35"/>
    </row>
    <row r="281" spans="1:1">
      <c r="A281" s="34"/>
    </row>
    <row r="282" spans="1:1">
      <c r="A282" s="35"/>
    </row>
    <row r="283" spans="1:1">
      <c r="A283" s="35"/>
    </row>
    <row r="284" spans="1:1">
      <c r="A284" s="34"/>
    </row>
    <row r="285" spans="1:1">
      <c r="A285" s="35"/>
    </row>
    <row r="286" spans="1:1">
      <c r="A286" s="35"/>
    </row>
    <row r="287" spans="1:1">
      <c r="A287" s="34"/>
    </row>
    <row r="288" spans="1:1">
      <c r="A288" s="35"/>
    </row>
    <row r="289" spans="1:1">
      <c r="A289" s="35"/>
    </row>
    <row r="290" spans="1:1">
      <c r="A290" s="35"/>
    </row>
    <row r="291" spans="1:1">
      <c r="A291" s="35"/>
    </row>
    <row r="292" spans="1:1">
      <c r="A292" s="35"/>
    </row>
    <row r="293" spans="1:1">
      <c r="A293" s="34"/>
    </row>
    <row r="294" spans="1:1">
      <c r="A294" s="35"/>
    </row>
    <row r="295" spans="1:1">
      <c r="A295" s="35"/>
    </row>
    <row r="296" spans="1:1">
      <c r="A296" s="35"/>
    </row>
    <row r="297" spans="1:1">
      <c r="A297" s="35"/>
    </row>
    <row r="298" spans="1:1">
      <c r="A298" s="34"/>
    </row>
    <row r="299" spans="1:1">
      <c r="A299" s="35"/>
    </row>
    <row r="300" spans="1:1">
      <c r="A300" s="35"/>
    </row>
    <row r="301" spans="1:1">
      <c r="A301" s="33"/>
    </row>
    <row r="302" spans="1:1">
      <c r="A302" s="33"/>
    </row>
    <row r="303" spans="1:1">
      <c r="A303" s="34"/>
    </row>
    <row r="304" spans="1:1">
      <c r="A304" s="35"/>
    </row>
    <row r="305" spans="1:1">
      <c r="A305" s="35"/>
    </row>
    <row r="306" spans="1:1">
      <c r="A306" s="35"/>
    </row>
    <row r="307" spans="1:1">
      <c r="A307" s="35"/>
    </row>
    <row r="308" spans="1:1">
      <c r="A308" s="35"/>
    </row>
    <row r="309" spans="1:1">
      <c r="A309" s="35"/>
    </row>
    <row r="310" spans="1:1">
      <c r="A310" s="35"/>
    </row>
    <row r="311" spans="1:1">
      <c r="A311" s="35"/>
    </row>
    <row r="312" spans="1:1">
      <c r="A312" s="35"/>
    </row>
    <row r="313" spans="1:1">
      <c r="A313" s="35"/>
    </row>
    <row r="314" spans="1:1">
      <c r="A314" s="34"/>
    </row>
    <row r="315" spans="1:1">
      <c r="A315" s="35"/>
    </row>
    <row r="316" spans="1:1">
      <c r="A316" s="35"/>
    </row>
    <row r="317" spans="1:1">
      <c r="A317" s="35"/>
    </row>
    <row r="318" spans="1:1">
      <c r="A318" s="35"/>
    </row>
    <row r="319" spans="1:1">
      <c r="A319" s="35"/>
    </row>
    <row r="320" spans="1:1">
      <c r="A320" s="35"/>
    </row>
    <row r="321" spans="1:1">
      <c r="A321" s="35"/>
    </row>
    <row r="322" spans="1:1">
      <c r="A322" s="35"/>
    </row>
    <row r="323" spans="1:1">
      <c r="A323" s="35"/>
    </row>
    <row r="324" spans="1:1">
      <c r="A324" s="35"/>
    </row>
    <row r="325" spans="1:1">
      <c r="A325" s="35"/>
    </row>
    <row r="326" spans="1:1">
      <c r="A326" s="35"/>
    </row>
    <row r="327" spans="1:1">
      <c r="A327" s="35"/>
    </row>
    <row r="328" spans="1:1">
      <c r="A328" s="35"/>
    </row>
    <row r="329" spans="1:1">
      <c r="A329" s="35"/>
    </row>
    <row r="330" spans="1:1">
      <c r="A330" s="35"/>
    </row>
    <row r="331" spans="1:1">
      <c r="A331" s="35"/>
    </row>
    <row r="332" spans="1:1">
      <c r="A332" s="35"/>
    </row>
    <row r="333" spans="1:1">
      <c r="A333" s="35"/>
    </row>
    <row r="334" spans="1:1">
      <c r="A334" s="34"/>
    </row>
    <row r="335" spans="1:1">
      <c r="A335" s="35"/>
    </row>
    <row r="336" spans="1:1">
      <c r="A336" s="35"/>
    </row>
    <row r="337" spans="1:1">
      <c r="A337" s="35"/>
    </row>
    <row r="338" spans="1:1">
      <c r="A338" s="34"/>
    </row>
    <row r="339" spans="1:1">
      <c r="A339" s="35"/>
    </row>
    <row r="340" spans="1:1">
      <c r="A340" s="35"/>
    </row>
    <row r="341" spans="1:1">
      <c r="A341" s="34"/>
    </row>
    <row r="342" spans="1:1">
      <c r="A342" s="35"/>
    </row>
    <row r="343" spans="1:1">
      <c r="A343" s="35"/>
    </row>
    <row r="344" spans="1:1">
      <c r="A344" s="34"/>
    </row>
    <row r="345" spans="1:1">
      <c r="A345" s="35"/>
    </row>
    <row r="346" spans="1:1">
      <c r="A346" s="35"/>
    </row>
    <row r="347" spans="1:1">
      <c r="A347" s="35"/>
    </row>
    <row r="348" spans="1:1">
      <c r="A348" s="34"/>
    </row>
    <row r="349" spans="1:1">
      <c r="A349" s="35"/>
    </row>
    <row r="350" spans="1:1">
      <c r="A350" s="35"/>
    </row>
    <row r="351" spans="1:1">
      <c r="A351" s="35"/>
    </row>
    <row r="352" spans="1:1">
      <c r="A352" s="35"/>
    </row>
    <row r="353" spans="1:1">
      <c r="A353" s="34"/>
    </row>
    <row r="354" spans="1:1">
      <c r="A354" s="35"/>
    </row>
    <row r="355" spans="1:1">
      <c r="A355" s="35"/>
    </row>
    <row r="356" spans="1:1">
      <c r="A356" s="33"/>
    </row>
    <row r="357" spans="1:1">
      <c r="A357" s="33"/>
    </row>
    <row r="358" spans="1:1">
      <c r="A358" s="34"/>
    </row>
    <row r="359" spans="1:1">
      <c r="A359" s="35"/>
    </row>
    <row r="360" spans="1:1">
      <c r="A360" s="35"/>
    </row>
    <row r="361" spans="1:1">
      <c r="A361" s="34"/>
    </row>
    <row r="362" spans="1:1">
      <c r="A362" s="35"/>
    </row>
    <row r="363" spans="1:1">
      <c r="A363" s="35"/>
    </row>
    <row r="364" spans="1:1">
      <c r="A364" s="35"/>
    </row>
    <row r="365" spans="1:1">
      <c r="A365" s="35"/>
    </row>
    <row r="366" spans="1:1">
      <c r="A366" s="35"/>
    </row>
    <row r="367" spans="1:1">
      <c r="A367" s="35"/>
    </row>
    <row r="368" spans="1:1">
      <c r="A368" s="35"/>
    </row>
    <row r="369" spans="1:1">
      <c r="A369" s="34"/>
    </row>
    <row r="370" spans="1:1">
      <c r="A370" s="35"/>
    </row>
    <row r="371" spans="1:1">
      <c r="A371" s="34"/>
    </row>
    <row r="372" spans="1:1">
      <c r="A372" s="35"/>
    </row>
    <row r="373" spans="1:1">
      <c r="A373" s="35"/>
    </row>
    <row r="374" spans="1:1">
      <c r="A374" s="34"/>
    </row>
    <row r="375" spans="1:1">
      <c r="A375" s="35"/>
    </row>
    <row r="376" spans="1:1">
      <c r="A376" s="33"/>
    </row>
    <row r="377" spans="1:1">
      <c r="A377" s="33"/>
    </row>
    <row r="378" spans="1:1">
      <c r="A378" s="34"/>
    </row>
    <row r="379" spans="1:1">
      <c r="A379" s="35"/>
    </row>
    <row r="380" spans="1:1">
      <c r="A380" s="35"/>
    </row>
    <row r="381" spans="1:1">
      <c r="A381" s="35"/>
    </row>
    <row r="382" spans="1:1">
      <c r="A382" s="35"/>
    </row>
    <row r="383" spans="1:1">
      <c r="A383" s="35"/>
    </row>
    <row r="384" spans="1:1">
      <c r="A384" s="34"/>
    </row>
    <row r="385" spans="1:1">
      <c r="A385" s="35"/>
    </row>
    <row r="386" spans="1:1">
      <c r="A386" s="35"/>
    </row>
    <row r="387" spans="1:1">
      <c r="A387" s="35"/>
    </row>
    <row r="388" spans="1:1">
      <c r="A388" s="35"/>
    </row>
    <row r="389" spans="1:1">
      <c r="A389" s="35"/>
    </row>
    <row r="390" spans="1:1">
      <c r="A390" s="35"/>
    </row>
    <row r="391" spans="1:1">
      <c r="A391" s="35"/>
    </row>
    <row r="392" spans="1:1">
      <c r="A392" s="35"/>
    </row>
    <row r="393" spans="1:1">
      <c r="A393" s="35"/>
    </row>
    <row r="394" spans="1:1">
      <c r="A394" s="35"/>
    </row>
    <row r="395" spans="1:1">
      <c r="A395" s="35"/>
    </row>
    <row r="396" spans="1:1">
      <c r="A396" s="35"/>
    </row>
    <row r="397" spans="1:1">
      <c r="A397" s="34"/>
    </row>
    <row r="398" spans="1:1">
      <c r="A398" s="35"/>
    </row>
    <row r="399" spans="1:1">
      <c r="A399" s="35"/>
    </row>
    <row r="400" spans="1:1">
      <c r="A400" s="35"/>
    </row>
    <row r="401" spans="1:1">
      <c r="A401" s="35"/>
    </row>
    <row r="402" spans="1:1">
      <c r="A402" s="35"/>
    </row>
    <row r="403" spans="1:1">
      <c r="A403" s="35"/>
    </row>
    <row r="404" spans="1:1">
      <c r="A404" s="35"/>
    </row>
    <row r="405" spans="1:1">
      <c r="A405" s="35"/>
    </row>
    <row r="406" spans="1:1">
      <c r="A406" s="33"/>
    </row>
    <row r="407" spans="1:1">
      <c r="A407" s="33"/>
    </row>
    <row r="408" spans="1:1">
      <c r="A408" s="34"/>
    </row>
    <row r="409" spans="1:1">
      <c r="A409" s="35"/>
    </row>
    <row r="410" spans="1:1">
      <c r="A410" s="34"/>
    </row>
    <row r="411" spans="1:1">
      <c r="A411" s="35"/>
    </row>
    <row r="412" spans="1:1">
      <c r="A412" s="35"/>
    </row>
    <row r="413" spans="1:1">
      <c r="A413" s="35"/>
    </row>
    <row r="414" spans="1:1">
      <c r="A414" s="35"/>
    </row>
    <row r="415" spans="1:1">
      <c r="A415" s="35"/>
    </row>
    <row r="416" spans="1:1">
      <c r="A416" s="35"/>
    </row>
    <row r="417" spans="1:1">
      <c r="A417" s="34"/>
    </row>
    <row r="418" spans="1:1">
      <c r="A418" s="35"/>
    </row>
    <row r="419" spans="1:1">
      <c r="A419" s="34"/>
    </row>
    <row r="420" spans="1:1">
      <c r="A420" s="35"/>
    </row>
    <row r="421" spans="1:1">
      <c r="A421" s="35"/>
    </row>
    <row r="422" spans="1:1">
      <c r="A422" s="34"/>
    </row>
    <row r="423" spans="1:1">
      <c r="A423" s="35"/>
    </row>
    <row r="424" spans="1:1">
      <c r="A424" s="35"/>
    </row>
    <row r="425" spans="1:1">
      <c r="A425" s="33"/>
    </row>
    <row r="426" spans="1:1">
      <c r="A426" s="33"/>
    </row>
    <row r="427" spans="1:1">
      <c r="A427" s="34"/>
    </row>
    <row r="428" spans="1:1">
      <c r="A428" s="35"/>
    </row>
    <row r="429" spans="1:1">
      <c r="A429" s="34"/>
    </row>
    <row r="430" spans="1:1">
      <c r="A430" s="35"/>
    </row>
    <row r="431" spans="1:1">
      <c r="A431" s="35"/>
    </row>
    <row r="432" spans="1:1">
      <c r="A432" s="35"/>
    </row>
    <row r="433" spans="1:1">
      <c r="A433" s="35"/>
    </row>
    <row r="434" spans="1:1">
      <c r="A434" s="35"/>
    </row>
    <row r="435" spans="1:1">
      <c r="A435" s="35"/>
    </row>
    <row r="436" spans="1:1">
      <c r="A436" s="35"/>
    </row>
    <row r="437" spans="1:1">
      <c r="A437" s="35"/>
    </row>
    <row r="438" spans="1:1">
      <c r="A438" s="35"/>
    </row>
    <row r="439" spans="1:1">
      <c r="A439" s="35"/>
    </row>
    <row r="440" spans="1:1">
      <c r="A440" s="35"/>
    </row>
    <row r="441" spans="1:1">
      <c r="A441" s="35"/>
    </row>
    <row r="442" spans="1:1">
      <c r="A442" s="35"/>
    </row>
    <row r="443" spans="1:1">
      <c r="A443" s="35"/>
    </row>
    <row r="444" spans="1:1">
      <c r="A444" s="34"/>
    </row>
    <row r="445" spans="1:1">
      <c r="A445" s="35"/>
    </row>
    <row r="446" spans="1:1">
      <c r="A446" s="34"/>
    </row>
    <row r="447" spans="1:1">
      <c r="A447" s="35"/>
    </row>
    <row r="448" spans="1:1">
      <c r="A448" s="34"/>
    </row>
    <row r="449" spans="1:1">
      <c r="A449" s="35"/>
    </row>
    <row r="450" spans="1:1">
      <c r="A450" s="35"/>
    </row>
    <row r="451" spans="1:1">
      <c r="A451" s="34"/>
    </row>
    <row r="452" spans="1:1">
      <c r="A452" s="35"/>
    </row>
    <row r="453" spans="1:1">
      <c r="A453" s="35"/>
    </row>
    <row r="454" spans="1:1">
      <c r="A454" s="35"/>
    </row>
    <row r="455" spans="1:1">
      <c r="A455" s="34"/>
    </row>
    <row r="456" spans="1:1">
      <c r="A456" s="35"/>
    </row>
    <row r="457" spans="1:1">
      <c r="A457" s="33"/>
    </row>
    <row r="458" spans="1:1">
      <c r="A458" s="33"/>
    </row>
    <row r="459" spans="1:1">
      <c r="A459" s="34"/>
    </row>
    <row r="460" spans="1:1">
      <c r="A460" s="35"/>
    </row>
    <row r="461" spans="1:1">
      <c r="A461" s="35"/>
    </row>
    <row r="462" spans="1:1">
      <c r="A462" s="35"/>
    </row>
    <row r="463" spans="1:1">
      <c r="A463" s="35"/>
    </row>
    <row r="464" spans="1:1">
      <c r="A464" s="34"/>
    </row>
    <row r="465" spans="1:1">
      <c r="A465" s="35"/>
    </row>
    <row r="466" spans="1:1">
      <c r="A466" s="35"/>
    </row>
    <row r="467" spans="1:1">
      <c r="A467" s="35"/>
    </row>
    <row r="468" spans="1:1">
      <c r="A468" s="35"/>
    </row>
    <row r="469" spans="1:1">
      <c r="A469" s="35"/>
    </row>
    <row r="470" spans="1:1">
      <c r="A470" s="35"/>
    </row>
    <row r="471" spans="1:1">
      <c r="A471" s="35"/>
    </row>
    <row r="472" spans="1:1">
      <c r="A472" s="35"/>
    </row>
    <row r="473" spans="1:1">
      <c r="A473" s="34"/>
    </row>
    <row r="474" spans="1:1">
      <c r="A474" s="35"/>
    </row>
    <row r="475" spans="1:1">
      <c r="A475" s="35"/>
    </row>
    <row r="476" spans="1:1">
      <c r="A476" s="35"/>
    </row>
    <row r="477" spans="1:1">
      <c r="A477" s="34"/>
    </row>
    <row r="478" spans="1:1">
      <c r="A478" s="35"/>
    </row>
    <row r="479" spans="1:1">
      <c r="A479" s="35"/>
    </row>
    <row r="480" spans="1:1">
      <c r="A480" s="35"/>
    </row>
    <row r="481" spans="1:1">
      <c r="A481" s="34"/>
    </row>
    <row r="482" spans="1:1">
      <c r="A482" s="35"/>
    </row>
    <row r="483" spans="1:1">
      <c r="A483" s="34"/>
    </row>
    <row r="484" spans="1:1">
      <c r="A484" s="35"/>
    </row>
    <row r="485" spans="1:1">
      <c r="A485" s="35"/>
    </row>
    <row r="486" spans="1:1">
      <c r="A486" s="35"/>
    </row>
    <row r="487" spans="1:1">
      <c r="A487" s="34"/>
    </row>
    <row r="488" spans="1:1">
      <c r="A488" s="35"/>
    </row>
    <row r="489" spans="1:1">
      <c r="A489" s="35"/>
    </row>
    <row r="490" spans="1:1">
      <c r="A490" s="35"/>
    </row>
    <row r="491" spans="1:1">
      <c r="A491" s="35"/>
    </row>
    <row r="492" spans="1:1">
      <c r="A492" s="35"/>
    </row>
    <row r="493" spans="1:1">
      <c r="A493" s="35"/>
    </row>
    <row r="494" spans="1:1">
      <c r="A494" s="33"/>
    </row>
    <row r="495" spans="1:1">
      <c r="A495" s="33"/>
    </row>
    <row r="496" spans="1:1">
      <c r="A496" s="34"/>
    </row>
    <row r="497" spans="1:1">
      <c r="A497" s="35"/>
    </row>
    <row r="498" spans="1:1">
      <c r="A498" s="35"/>
    </row>
    <row r="499" spans="1:1">
      <c r="A499" s="35"/>
    </row>
    <row r="500" spans="1:1">
      <c r="A500" s="35"/>
    </row>
    <row r="501" spans="1:1">
      <c r="A501" s="35"/>
    </row>
    <row r="502" spans="1:1">
      <c r="A502" s="35"/>
    </row>
    <row r="503" spans="1:1">
      <c r="A503" s="35"/>
    </row>
    <row r="504" spans="1:1">
      <c r="A504" s="35"/>
    </row>
    <row r="505" spans="1:1">
      <c r="A505" s="35"/>
    </row>
    <row r="506" spans="1:1">
      <c r="A506" s="34"/>
    </row>
    <row r="507" spans="1:1">
      <c r="A507" s="35"/>
    </row>
    <row r="508" spans="1:1">
      <c r="A508" s="35"/>
    </row>
    <row r="509" spans="1:1">
      <c r="A509" s="33"/>
    </row>
    <row r="510" spans="1:1">
      <c r="A510" s="33"/>
    </row>
    <row r="511" spans="1:1">
      <c r="A511" s="34"/>
    </row>
    <row r="512" spans="1:1">
      <c r="A512" s="35"/>
    </row>
    <row r="513" spans="1:1">
      <c r="A513" s="35"/>
    </row>
    <row r="514" spans="1:1">
      <c r="A514" s="35"/>
    </row>
    <row r="515" spans="1:1">
      <c r="A515" s="35"/>
    </row>
    <row r="516" spans="1:1">
      <c r="A516" s="35"/>
    </row>
    <row r="517" spans="1:1">
      <c r="A517" s="35"/>
    </row>
    <row r="518" spans="1:1">
      <c r="A518" s="36"/>
    </row>
    <row r="519" spans="1:1">
      <c r="A519" s="37"/>
    </row>
    <row r="520" spans="1:1">
      <c r="A520" s="38"/>
    </row>
    <row r="521" spans="1:1">
      <c r="A521" s="39"/>
    </row>
    <row r="522" spans="1:1">
      <c r="A522" s="39"/>
    </row>
    <row r="523" spans="1:1">
      <c r="A523" s="36"/>
    </row>
    <row r="524" spans="1:1">
      <c r="A524" s="37"/>
    </row>
    <row r="525" spans="1:1">
      <c r="A525" s="39"/>
    </row>
    <row r="526" spans="1:1">
      <c r="A526" s="39"/>
    </row>
    <row r="527" spans="1:1">
      <c r="A527" s="39"/>
    </row>
    <row r="528" spans="1:1">
      <c r="A528" s="40"/>
    </row>
    <row r="529" spans="1:1">
      <c r="A529" s="39"/>
    </row>
    <row r="530" spans="1:1">
      <c r="A530" s="39"/>
    </row>
    <row r="531" spans="1:1">
      <c r="A531" s="39"/>
    </row>
    <row r="532" spans="1:1">
      <c r="A532" s="39"/>
    </row>
    <row r="533" spans="1:1">
      <c r="A533" s="39"/>
    </row>
    <row r="534" spans="1:1">
      <c r="A534" s="39"/>
    </row>
    <row r="535" spans="1:1">
      <c r="A535" s="39"/>
    </row>
    <row r="536" spans="1:1">
      <c r="A536" s="40"/>
    </row>
    <row r="537" spans="1:1">
      <c r="A537" s="39"/>
    </row>
    <row r="538" spans="1:1">
      <c r="A538" s="39"/>
    </row>
    <row r="539" spans="1:1">
      <c r="A539" s="39"/>
    </row>
    <row r="540" spans="1:1">
      <c r="A540" s="40"/>
    </row>
    <row r="541" spans="1:1">
      <c r="A541" s="39"/>
    </row>
    <row r="542" spans="1:1">
      <c r="A542" s="41"/>
    </row>
    <row r="543" spans="1:1">
      <c r="A543" s="41"/>
    </row>
    <row r="544" spans="1:1">
      <c r="A544" s="41"/>
    </row>
    <row r="545" spans="1:1">
      <c r="A545" s="41"/>
    </row>
    <row r="546" spans="1:1">
      <c r="A546" s="41"/>
    </row>
    <row r="547" spans="1:1">
      <c r="A547" s="41"/>
    </row>
    <row r="548" spans="1:1">
      <c r="A548" s="41"/>
    </row>
    <row r="549" spans="1:1">
      <c r="A549" s="41"/>
    </row>
    <row r="550" spans="1:1">
      <c r="A550" s="41"/>
    </row>
    <row r="551" spans="1:1">
      <c r="A551" s="41"/>
    </row>
    <row r="552" spans="1:1">
      <c r="A552" s="42"/>
    </row>
    <row r="553" spans="1:1">
      <c r="A553" s="39"/>
    </row>
    <row r="554" spans="1:1">
      <c r="A554" s="39"/>
    </row>
    <row r="555" spans="1:1">
      <c r="A555" s="39"/>
    </row>
    <row r="556" spans="1:1">
      <c r="A556" s="39"/>
    </row>
    <row r="557" spans="1:1">
      <c r="A557" s="39"/>
    </row>
    <row r="558" spans="1:1">
      <c r="A558" s="39"/>
    </row>
    <row r="559" spans="1:1">
      <c r="A559" s="39"/>
    </row>
    <row r="560" spans="1:1">
      <c r="A560" s="39"/>
    </row>
    <row r="561" spans="1:1">
      <c r="A561" s="39"/>
    </row>
    <row r="562" spans="1:1">
      <c r="A562" s="39"/>
    </row>
    <row r="563" spans="1:1">
      <c r="A563" s="39"/>
    </row>
    <row r="564" spans="1:1">
      <c r="A564" s="39"/>
    </row>
    <row r="565" spans="1:1">
      <c r="A565" s="39"/>
    </row>
    <row r="566" spans="1:1">
      <c r="A566" s="39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D7303-CEE0-4B4C-9FD9-C61354D5C442}">
  <dimension ref="A1:P220"/>
  <sheetViews>
    <sheetView workbookViewId="0">
      <selection activeCell="P4" sqref="P4"/>
    </sheetView>
  </sheetViews>
  <sheetFormatPr defaultRowHeight="13.2"/>
  <cols>
    <col min="1" max="1" width="7.109375" customWidth="1"/>
    <col min="2" max="2" width="5.5546875" customWidth="1"/>
    <col min="3" max="3" width="7.6640625" customWidth="1"/>
    <col min="4" max="4" width="50.109375" customWidth="1"/>
    <col min="6" max="8" width="0" hidden="1" customWidth="1"/>
  </cols>
  <sheetData>
    <row r="1" spans="1:15" ht="15">
      <c r="A1" s="133"/>
      <c r="B1" s="134" t="s">
        <v>288</v>
      </c>
      <c r="C1" s="135" t="s">
        <v>1146</v>
      </c>
      <c r="D1" s="135" t="s">
        <v>876</v>
      </c>
      <c r="E1" s="133" t="s">
        <v>1352</v>
      </c>
      <c r="F1" s="133"/>
      <c r="G1" s="133"/>
      <c r="H1" s="136"/>
    </row>
    <row r="2" spans="1:15">
      <c r="A2" s="133"/>
      <c r="B2" s="134" t="s">
        <v>288</v>
      </c>
      <c r="C2" s="137" t="s">
        <v>1155</v>
      </c>
      <c r="D2" s="137" t="s">
        <v>1211</v>
      </c>
      <c r="E2" s="133"/>
      <c r="F2" s="133"/>
      <c r="G2" s="133"/>
      <c r="H2" s="138"/>
      <c r="K2" t="s">
        <v>268</v>
      </c>
      <c r="L2" t="s">
        <v>269</v>
      </c>
      <c r="M2" t="s">
        <v>270</v>
      </c>
      <c r="N2" t="s">
        <v>271</v>
      </c>
      <c r="O2" t="s">
        <v>276</v>
      </c>
    </row>
    <row r="3" spans="1:15" ht="35.4" customHeight="1">
      <c r="A3" s="139" t="s">
        <v>1212</v>
      </c>
      <c r="B3" s="139" t="s">
        <v>294</v>
      </c>
      <c r="C3" s="140" t="s">
        <v>1213</v>
      </c>
      <c r="D3" s="141" t="s">
        <v>1214</v>
      </c>
      <c r="E3" s="142" t="s">
        <v>13</v>
      </c>
      <c r="F3" s="143">
        <v>1</v>
      </c>
      <c r="G3" s="144"/>
      <c r="H3" s="145"/>
      <c r="I3" s="46">
        <f>K3+L3+M3+N3+O3</f>
        <v>1</v>
      </c>
      <c r="K3">
        <v>1</v>
      </c>
    </row>
    <row r="4" spans="1:15" ht="91.2">
      <c r="A4" s="139"/>
      <c r="B4" s="139" t="s">
        <v>707</v>
      </c>
      <c r="C4" s="140"/>
      <c r="D4" s="141" t="s">
        <v>1215</v>
      </c>
      <c r="E4" s="142"/>
      <c r="F4" s="143"/>
      <c r="G4" s="144"/>
      <c r="H4" s="145"/>
      <c r="I4" s="46"/>
    </row>
    <row r="5" spans="1:15">
      <c r="A5" s="139" t="s">
        <v>1216</v>
      </c>
      <c r="B5" s="139" t="s">
        <v>294</v>
      </c>
      <c r="C5" s="140" t="s">
        <v>1217</v>
      </c>
      <c r="D5" s="141" t="s">
        <v>1218</v>
      </c>
      <c r="E5" s="142" t="s">
        <v>13</v>
      </c>
      <c r="F5" s="143">
        <v>4</v>
      </c>
      <c r="G5" s="144"/>
      <c r="H5" s="145"/>
      <c r="I5" s="46">
        <f t="shared" ref="I4:I67" si="0">K5+L5+M5+N5+O5</f>
        <v>4</v>
      </c>
      <c r="K5">
        <v>4</v>
      </c>
    </row>
    <row r="6" spans="1:15">
      <c r="A6" s="139" t="s">
        <v>1219</v>
      </c>
      <c r="B6" s="139" t="s">
        <v>294</v>
      </c>
      <c r="C6" s="140" t="s">
        <v>1220</v>
      </c>
      <c r="D6" s="141" t="s">
        <v>1221</v>
      </c>
      <c r="E6" s="142" t="s">
        <v>13</v>
      </c>
      <c r="F6" s="143">
        <v>2</v>
      </c>
      <c r="G6" s="144"/>
      <c r="H6" s="145"/>
      <c r="I6" s="46">
        <f t="shared" si="0"/>
        <v>2</v>
      </c>
      <c r="K6">
        <v>2</v>
      </c>
    </row>
    <row r="7" spans="1:15">
      <c r="A7" s="139" t="s">
        <v>1222</v>
      </c>
      <c r="B7" s="139" t="s">
        <v>294</v>
      </c>
      <c r="C7" s="140" t="s">
        <v>1223</v>
      </c>
      <c r="D7" s="141" t="s">
        <v>1224</v>
      </c>
      <c r="E7" s="142" t="s">
        <v>13</v>
      </c>
      <c r="F7" s="143">
        <v>35</v>
      </c>
      <c r="G7" s="144"/>
      <c r="H7" s="145"/>
      <c r="I7" s="46">
        <f t="shared" si="0"/>
        <v>35</v>
      </c>
      <c r="K7">
        <v>35</v>
      </c>
    </row>
    <row r="8" spans="1:15">
      <c r="A8" s="139" t="s">
        <v>1225</v>
      </c>
      <c r="B8" s="139" t="s">
        <v>294</v>
      </c>
      <c r="C8" s="140" t="s">
        <v>1226</v>
      </c>
      <c r="D8" s="141" t="s">
        <v>1227</v>
      </c>
      <c r="E8" s="142" t="s">
        <v>13</v>
      </c>
      <c r="F8" s="143">
        <v>10</v>
      </c>
      <c r="G8" s="144"/>
      <c r="H8" s="145"/>
      <c r="I8" s="46">
        <f t="shared" si="0"/>
        <v>10</v>
      </c>
      <c r="K8">
        <v>10</v>
      </c>
    </row>
    <row r="9" spans="1:15">
      <c r="A9" s="139" t="s">
        <v>1228</v>
      </c>
      <c r="B9" s="139" t="s">
        <v>294</v>
      </c>
      <c r="C9" s="140" t="s">
        <v>1229</v>
      </c>
      <c r="D9" s="141" t="s">
        <v>1230</v>
      </c>
      <c r="E9" s="142" t="s">
        <v>13</v>
      </c>
      <c r="F9" s="143">
        <v>2</v>
      </c>
      <c r="G9" s="144"/>
      <c r="H9" s="145"/>
      <c r="I9" s="46">
        <f t="shared" si="0"/>
        <v>2</v>
      </c>
      <c r="K9">
        <v>2</v>
      </c>
    </row>
    <row r="10" spans="1:15">
      <c r="A10" s="139" t="s">
        <v>1231</v>
      </c>
      <c r="B10" s="139" t="s">
        <v>294</v>
      </c>
      <c r="C10" s="140" t="s">
        <v>1232</v>
      </c>
      <c r="D10" s="141" t="s">
        <v>1233</v>
      </c>
      <c r="E10" s="142" t="s">
        <v>13</v>
      </c>
      <c r="F10" s="143">
        <v>4</v>
      </c>
      <c r="G10" s="144"/>
      <c r="H10" s="145"/>
      <c r="I10" s="46">
        <f t="shared" si="0"/>
        <v>4</v>
      </c>
      <c r="K10">
        <v>4</v>
      </c>
    </row>
    <row r="11" spans="1:15">
      <c r="A11" s="139" t="s">
        <v>1234</v>
      </c>
      <c r="B11" s="139" t="s">
        <v>294</v>
      </c>
      <c r="C11" s="140" t="s">
        <v>1235</v>
      </c>
      <c r="D11" s="141" t="s">
        <v>1236</v>
      </c>
      <c r="E11" s="142" t="s">
        <v>13</v>
      </c>
      <c r="F11" s="143">
        <v>2</v>
      </c>
      <c r="G11" s="144"/>
      <c r="H11" s="145"/>
      <c r="I11" s="46">
        <f t="shared" si="0"/>
        <v>2</v>
      </c>
      <c r="K11">
        <v>2</v>
      </c>
    </row>
    <row r="12" spans="1:15" ht="22.8">
      <c r="A12" s="139" t="s">
        <v>1237</v>
      </c>
      <c r="B12" s="139" t="s">
        <v>294</v>
      </c>
      <c r="C12" s="140" t="s">
        <v>1238</v>
      </c>
      <c r="D12" s="141" t="s">
        <v>1239</v>
      </c>
      <c r="E12" s="142" t="s">
        <v>13</v>
      </c>
      <c r="F12" s="143">
        <v>1</v>
      </c>
      <c r="G12" s="144"/>
      <c r="H12" s="145"/>
      <c r="I12" s="46">
        <f t="shared" si="0"/>
        <v>1</v>
      </c>
      <c r="K12">
        <v>1</v>
      </c>
    </row>
    <row r="13" spans="1:15" ht="22.8">
      <c r="A13" s="139" t="s">
        <v>1240</v>
      </c>
      <c r="B13" s="139" t="s">
        <v>294</v>
      </c>
      <c r="C13" s="140" t="s">
        <v>1241</v>
      </c>
      <c r="D13" s="141" t="s">
        <v>1239</v>
      </c>
      <c r="E13" s="142" t="s">
        <v>13</v>
      </c>
      <c r="F13" s="143">
        <v>1</v>
      </c>
      <c r="G13" s="144"/>
      <c r="H13" s="145"/>
      <c r="I13" s="46">
        <f t="shared" si="0"/>
        <v>1</v>
      </c>
      <c r="K13">
        <v>1</v>
      </c>
    </row>
    <row r="14" spans="1:15" ht="22.8">
      <c r="A14" s="139" t="s">
        <v>1242</v>
      </c>
      <c r="B14" s="139" t="s">
        <v>294</v>
      </c>
      <c r="C14" s="140" t="s">
        <v>1243</v>
      </c>
      <c r="D14" s="141" t="s">
        <v>1239</v>
      </c>
      <c r="E14" s="142" t="s">
        <v>13</v>
      </c>
      <c r="F14" s="143">
        <v>1</v>
      </c>
      <c r="G14" s="144"/>
      <c r="H14" s="145"/>
      <c r="I14" s="46">
        <f t="shared" si="0"/>
        <v>1</v>
      </c>
      <c r="K14">
        <v>1</v>
      </c>
    </row>
    <row r="15" spans="1:15" ht="22.8">
      <c r="A15" s="139" t="s">
        <v>1244</v>
      </c>
      <c r="B15" s="139" t="s">
        <v>294</v>
      </c>
      <c r="C15" s="140" t="s">
        <v>1245</v>
      </c>
      <c r="D15" s="141" t="s">
        <v>1239</v>
      </c>
      <c r="E15" s="142" t="s">
        <v>13</v>
      </c>
      <c r="F15" s="143">
        <v>1</v>
      </c>
      <c r="G15" s="144"/>
      <c r="H15" s="145"/>
      <c r="I15" s="46">
        <f t="shared" si="0"/>
        <v>1</v>
      </c>
      <c r="K15">
        <v>1</v>
      </c>
    </row>
    <row r="16" spans="1:15">
      <c r="A16" s="139" t="s">
        <v>1246</v>
      </c>
      <c r="B16" s="139" t="s">
        <v>294</v>
      </c>
      <c r="C16" s="140" t="s">
        <v>1247</v>
      </c>
      <c r="D16" s="141" t="s">
        <v>1248</v>
      </c>
      <c r="E16" s="142" t="s">
        <v>13</v>
      </c>
      <c r="F16" s="143">
        <v>4</v>
      </c>
      <c r="G16" s="144"/>
      <c r="H16" s="145"/>
      <c r="I16" s="46">
        <f t="shared" si="0"/>
        <v>4</v>
      </c>
      <c r="K16">
        <v>4</v>
      </c>
    </row>
    <row r="17" spans="1:14" ht="34.200000000000003">
      <c r="A17" s="139" t="s">
        <v>1249</v>
      </c>
      <c r="B17" s="139" t="s">
        <v>294</v>
      </c>
      <c r="C17" s="140" t="s">
        <v>1250</v>
      </c>
      <c r="D17" s="141" t="s">
        <v>1251</v>
      </c>
      <c r="E17" s="142" t="s">
        <v>1252</v>
      </c>
      <c r="F17" s="143">
        <v>100</v>
      </c>
      <c r="G17" s="144"/>
      <c r="H17" s="145"/>
      <c r="I17" s="46">
        <f t="shared" si="0"/>
        <v>100</v>
      </c>
      <c r="K17">
        <v>100</v>
      </c>
    </row>
    <row r="18" spans="1:14" ht="34.200000000000003">
      <c r="A18" s="139" t="s">
        <v>1253</v>
      </c>
      <c r="B18" s="139" t="s">
        <v>294</v>
      </c>
      <c r="C18" s="140" t="s">
        <v>1254</v>
      </c>
      <c r="D18" s="141" t="s">
        <v>1255</v>
      </c>
      <c r="E18" s="142" t="s">
        <v>1252</v>
      </c>
      <c r="F18" s="143">
        <v>20</v>
      </c>
      <c r="G18" s="144"/>
      <c r="H18" s="145"/>
      <c r="I18" s="46">
        <f t="shared" si="0"/>
        <v>20</v>
      </c>
      <c r="K18">
        <v>20</v>
      </c>
    </row>
    <row r="19" spans="1:14" ht="34.200000000000003">
      <c r="A19" s="139" t="s">
        <v>1256</v>
      </c>
      <c r="B19" s="139" t="s">
        <v>294</v>
      </c>
      <c r="C19" s="140" t="s">
        <v>1257</v>
      </c>
      <c r="D19" s="141" t="s">
        <v>1258</v>
      </c>
      <c r="E19" s="142" t="s">
        <v>1252</v>
      </c>
      <c r="F19" s="143">
        <v>86</v>
      </c>
      <c r="G19" s="144"/>
      <c r="H19" s="145"/>
      <c r="I19" s="46">
        <f t="shared" si="0"/>
        <v>86</v>
      </c>
      <c r="K19">
        <v>86</v>
      </c>
    </row>
    <row r="20" spans="1:14" ht="34.200000000000003">
      <c r="A20" s="139" t="s">
        <v>1259</v>
      </c>
      <c r="B20" s="139" t="s">
        <v>294</v>
      </c>
      <c r="C20" s="140" t="s">
        <v>1260</v>
      </c>
      <c r="D20" s="141" t="s">
        <v>1261</v>
      </c>
      <c r="E20" s="142" t="s">
        <v>1252</v>
      </c>
      <c r="F20" s="143">
        <v>32</v>
      </c>
      <c r="G20" s="144"/>
      <c r="H20" s="145"/>
      <c r="I20" s="46">
        <f t="shared" si="0"/>
        <v>32</v>
      </c>
      <c r="K20">
        <v>32</v>
      </c>
    </row>
    <row r="21" spans="1:14" ht="22.8">
      <c r="A21" s="139" t="s">
        <v>1262</v>
      </c>
      <c r="B21" s="139" t="s">
        <v>294</v>
      </c>
      <c r="C21" s="140" t="s">
        <v>1263</v>
      </c>
      <c r="D21" s="141" t="s">
        <v>1264</v>
      </c>
      <c r="E21" s="142" t="s">
        <v>28</v>
      </c>
      <c r="F21" s="143">
        <v>20</v>
      </c>
      <c r="G21" s="144"/>
      <c r="H21" s="145"/>
      <c r="I21" s="46">
        <f t="shared" si="0"/>
        <v>20</v>
      </c>
      <c r="K21">
        <v>20</v>
      </c>
    </row>
    <row r="22" spans="1:14">
      <c r="A22" s="139"/>
      <c r="B22" s="139" t="s">
        <v>288</v>
      </c>
      <c r="C22" s="140" t="s">
        <v>1161</v>
      </c>
      <c r="D22" s="146" t="s">
        <v>1265</v>
      </c>
      <c r="E22" s="142"/>
      <c r="F22" s="143"/>
      <c r="G22" s="144"/>
      <c r="H22" s="145"/>
      <c r="I22" s="46"/>
    </row>
    <row r="23" spans="1:14" ht="22.8">
      <c r="A23" s="139" t="s">
        <v>1266</v>
      </c>
      <c r="B23" s="139" t="s">
        <v>294</v>
      </c>
      <c r="C23" s="140" t="s">
        <v>1267</v>
      </c>
      <c r="D23" s="141" t="s">
        <v>1268</v>
      </c>
      <c r="E23" s="142" t="s">
        <v>13</v>
      </c>
      <c r="F23" s="143">
        <v>1</v>
      </c>
      <c r="G23" s="144"/>
      <c r="H23" s="145"/>
      <c r="I23" s="46">
        <f t="shared" si="0"/>
        <v>1</v>
      </c>
      <c r="K23">
        <v>1</v>
      </c>
    </row>
    <row r="24" spans="1:14">
      <c r="A24" s="139" t="s">
        <v>1269</v>
      </c>
      <c r="B24" s="139" t="s">
        <v>294</v>
      </c>
      <c r="C24" s="140" t="s">
        <v>1270</v>
      </c>
      <c r="D24" s="141" t="s">
        <v>1271</v>
      </c>
      <c r="E24" s="142" t="s">
        <v>13</v>
      </c>
      <c r="F24" s="143">
        <v>5</v>
      </c>
      <c r="G24" s="144"/>
      <c r="H24" s="145"/>
      <c r="I24" s="46">
        <f t="shared" si="0"/>
        <v>5</v>
      </c>
      <c r="K24">
        <v>5</v>
      </c>
    </row>
    <row r="25" spans="1:14">
      <c r="A25" s="139" t="s">
        <v>1272</v>
      </c>
      <c r="B25" s="139" t="s">
        <v>294</v>
      </c>
      <c r="C25" s="140" t="s">
        <v>1273</v>
      </c>
      <c r="D25" s="141" t="s">
        <v>1274</v>
      </c>
      <c r="E25" s="142" t="s">
        <v>13</v>
      </c>
      <c r="F25" s="143">
        <v>3</v>
      </c>
      <c r="G25" s="144"/>
      <c r="H25" s="145"/>
      <c r="I25" s="46">
        <f t="shared" si="0"/>
        <v>3</v>
      </c>
      <c r="K25">
        <v>3</v>
      </c>
    </row>
    <row r="26" spans="1:14">
      <c r="A26" s="139" t="s">
        <v>1275</v>
      </c>
      <c r="B26" s="139" t="s">
        <v>294</v>
      </c>
      <c r="C26" s="140" t="s">
        <v>1276</v>
      </c>
      <c r="D26" s="141" t="s">
        <v>1277</v>
      </c>
      <c r="E26" s="142" t="s">
        <v>13</v>
      </c>
      <c r="F26" s="143">
        <v>1</v>
      </c>
      <c r="G26" s="144"/>
      <c r="H26" s="145"/>
      <c r="I26" s="46">
        <f t="shared" si="0"/>
        <v>1</v>
      </c>
      <c r="K26">
        <v>1</v>
      </c>
    </row>
    <row r="27" spans="1:14">
      <c r="A27" s="139" t="s">
        <v>1278</v>
      </c>
      <c r="B27" s="139" t="s">
        <v>294</v>
      </c>
      <c r="C27" s="140" t="s">
        <v>1279</v>
      </c>
      <c r="D27" s="141" t="s">
        <v>1280</v>
      </c>
      <c r="E27" s="142" t="s">
        <v>13</v>
      </c>
      <c r="F27" s="143">
        <v>2</v>
      </c>
      <c r="G27" s="144"/>
      <c r="H27" s="145"/>
      <c r="I27" s="46">
        <f t="shared" si="0"/>
        <v>2</v>
      </c>
      <c r="K27">
        <v>2</v>
      </c>
    </row>
    <row r="28" spans="1:14" ht="34.200000000000003">
      <c r="A28" s="139" t="s">
        <v>1281</v>
      </c>
      <c r="B28" s="139" t="s">
        <v>294</v>
      </c>
      <c r="C28" s="140" t="s">
        <v>1257</v>
      </c>
      <c r="D28" s="141" t="s">
        <v>1258</v>
      </c>
      <c r="E28" s="142" t="s">
        <v>1252</v>
      </c>
      <c r="F28" s="143">
        <v>55</v>
      </c>
      <c r="G28" s="144"/>
      <c r="H28" s="145"/>
      <c r="I28" s="46">
        <f t="shared" si="0"/>
        <v>55</v>
      </c>
      <c r="K28">
        <v>55</v>
      </c>
    </row>
    <row r="29" spans="1:14" ht="22.8">
      <c r="A29" s="139" t="s">
        <v>1282</v>
      </c>
      <c r="B29" s="139" t="s">
        <v>294</v>
      </c>
      <c r="C29" s="140" t="s">
        <v>1263</v>
      </c>
      <c r="D29" s="141" t="s">
        <v>1264</v>
      </c>
      <c r="E29" s="142" t="s">
        <v>28</v>
      </c>
      <c r="F29" s="143">
        <v>5</v>
      </c>
      <c r="G29" s="144"/>
      <c r="H29" s="145"/>
      <c r="I29" s="46">
        <f t="shared" si="0"/>
        <v>5</v>
      </c>
      <c r="K29">
        <v>5</v>
      </c>
    </row>
    <row r="30" spans="1:14">
      <c r="A30" s="139"/>
      <c r="B30" s="139" t="s">
        <v>288</v>
      </c>
      <c r="C30" s="140" t="s">
        <v>1179</v>
      </c>
      <c r="D30" s="146" t="s">
        <v>1283</v>
      </c>
      <c r="E30" s="142"/>
      <c r="F30" s="143"/>
      <c r="G30" s="144"/>
      <c r="H30" s="145"/>
      <c r="I30" s="46"/>
    </row>
    <row r="31" spans="1:14">
      <c r="A31" s="139" t="s">
        <v>1284</v>
      </c>
      <c r="B31" s="139" t="s">
        <v>294</v>
      </c>
      <c r="C31" s="140" t="s">
        <v>1285</v>
      </c>
      <c r="D31" s="141" t="s">
        <v>1286</v>
      </c>
      <c r="E31" s="142" t="s">
        <v>13</v>
      </c>
      <c r="F31" s="143">
        <v>6</v>
      </c>
      <c r="G31" s="144"/>
      <c r="H31" s="145"/>
      <c r="I31" s="46">
        <f t="shared" si="0"/>
        <v>6</v>
      </c>
      <c r="L31">
        <v>3</v>
      </c>
      <c r="M31">
        <v>2</v>
      </c>
      <c r="N31">
        <v>1</v>
      </c>
    </row>
    <row r="32" spans="1:14" ht="91.2">
      <c r="A32" s="139"/>
      <c r="B32" s="139" t="s">
        <v>707</v>
      </c>
      <c r="C32" s="140"/>
      <c r="D32" s="141" t="s">
        <v>1342</v>
      </c>
      <c r="E32" s="142"/>
      <c r="F32" s="143"/>
      <c r="G32" s="144"/>
      <c r="H32" s="145"/>
      <c r="I32" s="46"/>
    </row>
    <row r="33" spans="1:14">
      <c r="A33" s="139" t="s">
        <v>1288</v>
      </c>
      <c r="B33" s="139" t="s">
        <v>294</v>
      </c>
      <c r="C33" s="140" t="s">
        <v>1289</v>
      </c>
      <c r="D33" s="141" t="s">
        <v>1290</v>
      </c>
      <c r="E33" s="142" t="s">
        <v>13</v>
      </c>
      <c r="F33" s="143">
        <v>24</v>
      </c>
      <c r="G33" s="144"/>
      <c r="H33" s="145"/>
      <c r="I33" s="46">
        <f t="shared" si="0"/>
        <v>24</v>
      </c>
      <c r="L33">
        <v>12</v>
      </c>
      <c r="M33">
        <v>8</v>
      </c>
      <c r="N33">
        <v>4</v>
      </c>
    </row>
    <row r="34" spans="1:14">
      <c r="A34" s="139" t="s">
        <v>1291</v>
      </c>
      <c r="B34" s="139" t="s">
        <v>294</v>
      </c>
      <c r="C34" s="140" t="s">
        <v>1292</v>
      </c>
      <c r="D34" s="141" t="s">
        <v>1293</v>
      </c>
      <c r="E34" s="142" t="s">
        <v>13</v>
      </c>
      <c r="F34" s="143">
        <v>12</v>
      </c>
      <c r="G34" s="144"/>
      <c r="H34" s="145"/>
      <c r="I34" s="46">
        <f t="shared" si="0"/>
        <v>12</v>
      </c>
      <c r="L34">
        <v>6</v>
      </c>
      <c r="M34">
        <v>4</v>
      </c>
      <c r="N34">
        <v>2</v>
      </c>
    </row>
    <row r="35" spans="1:14">
      <c r="A35" s="139" t="s">
        <v>1294</v>
      </c>
      <c r="B35" s="139" t="s">
        <v>294</v>
      </c>
      <c r="C35" s="140" t="s">
        <v>1295</v>
      </c>
      <c r="D35" s="141" t="s">
        <v>1296</v>
      </c>
      <c r="E35" s="142" t="s">
        <v>13</v>
      </c>
      <c r="F35" s="143">
        <v>2</v>
      </c>
      <c r="G35" s="144"/>
      <c r="H35" s="145"/>
      <c r="I35" s="46">
        <f t="shared" si="0"/>
        <v>0</v>
      </c>
    </row>
    <row r="36" spans="1:14">
      <c r="A36" s="139" t="s">
        <v>1297</v>
      </c>
      <c r="B36" s="139" t="s">
        <v>294</v>
      </c>
      <c r="C36" s="140" t="s">
        <v>1235</v>
      </c>
      <c r="D36" s="141" t="s">
        <v>1236</v>
      </c>
      <c r="E36" s="142" t="s">
        <v>13</v>
      </c>
      <c r="F36" s="143">
        <v>6</v>
      </c>
      <c r="G36" s="144"/>
      <c r="H36" s="145"/>
      <c r="I36" s="46">
        <f t="shared" si="0"/>
        <v>9</v>
      </c>
      <c r="L36">
        <v>3</v>
      </c>
      <c r="M36">
        <v>2</v>
      </c>
      <c r="N36">
        <v>4</v>
      </c>
    </row>
    <row r="37" spans="1:14">
      <c r="A37" s="139" t="s">
        <v>1298</v>
      </c>
      <c r="B37" s="139" t="s">
        <v>294</v>
      </c>
      <c r="C37" s="140" t="s">
        <v>1299</v>
      </c>
      <c r="D37" s="141" t="s">
        <v>1300</v>
      </c>
      <c r="E37" s="142" t="s">
        <v>13</v>
      </c>
      <c r="F37" s="143">
        <v>12</v>
      </c>
      <c r="G37" s="144"/>
      <c r="H37" s="145"/>
      <c r="I37" s="46">
        <f t="shared" si="0"/>
        <v>12</v>
      </c>
      <c r="L37">
        <v>6</v>
      </c>
      <c r="M37">
        <v>4</v>
      </c>
      <c r="N37">
        <v>2</v>
      </c>
    </row>
    <row r="38" spans="1:14">
      <c r="A38" s="139" t="s">
        <v>1301</v>
      </c>
      <c r="B38" s="139" t="s">
        <v>294</v>
      </c>
      <c r="C38" s="140" t="s">
        <v>1302</v>
      </c>
      <c r="D38" s="141" t="s">
        <v>1303</v>
      </c>
      <c r="E38" s="142" t="s">
        <v>13</v>
      </c>
      <c r="F38" s="143">
        <v>12</v>
      </c>
      <c r="G38" s="144"/>
      <c r="H38" s="145"/>
      <c r="I38" s="46">
        <f t="shared" si="0"/>
        <v>12</v>
      </c>
      <c r="L38">
        <v>6</v>
      </c>
      <c r="M38">
        <v>4</v>
      </c>
      <c r="N38">
        <v>2</v>
      </c>
    </row>
    <row r="39" spans="1:14" ht="34.200000000000003">
      <c r="A39" s="139" t="s">
        <v>1304</v>
      </c>
      <c r="B39" s="139" t="s">
        <v>294</v>
      </c>
      <c r="C39" s="140" t="s">
        <v>1250</v>
      </c>
      <c r="D39" s="141" t="s">
        <v>1251</v>
      </c>
      <c r="E39" s="142" t="s">
        <v>1252</v>
      </c>
      <c r="F39" s="143">
        <v>54</v>
      </c>
      <c r="G39" s="144"/>
      <c r="H39" s="145"/>
      <c r="I39" s="46">
        <f t="shared" si="0"/>
        <v>54</v>
      </c>
      <c r="L39">
        <v>20</v>
      </c>
      <c r="M39">
        <v>20</v>
      </c>
      <c r="N39">
        <v>14</v>
      </c>
    </row>
    <row r="40" spans="1:14" ht="34.200000000000003">
      <c r="A40" s="139" t="s">
        <v>1305</v>
      </c>
      <c r="B40" s="139" t="s">
        <v>294</v>
      </c>
      <c r="C40" s="140" t="s">
        <v>1254</v>
      </c>
      <c r="D40" s="141" t="s">
        <v>1255</v>
      </c>
      <c r="E40" s="142" t="s">
        <v>1252</v>
      </c>
      <c r="F40" s="143">
        <v>89</v>
      </c>
      <c r="G40" s="144"/>
      <c r="H40" s="145"/>
      <c r="I40" s="46">
        <f t="shared" si="0"/>
        <v>0</v>
      </c>
    </row>
    <row r="41" spans="1:14" ht="34.200000000000003">
      <c r="A41" s="139" t="s">
        <v>1306</v>
      </c>
      <c r="B41" s="139" t="s">
        <v>294</v>
      </c>
      <c r="C41" s="140" t="s">
        <v>1257</v>
      </c>
      <c r="D41" s="141" t="s">
        <v>1258</v>
      </c>
      <c r="E41" s="142" t="s">
        <v>1252</v>
      </c>
      <c r="F41" s="143">
        <v>17</v>
      </c>
      <c r="G41" s="144"/>
      <c r="H41" s="145"/>
      <c r="I41" s="46">
        <f t="shared" si="0"/>
        <v>17</v>
      </c>
      <c r="L41">
        <v>6</v>
      </c>
      <c r="M41">
        <v>6</v>
      </c>
      <c r="N41">
        <v>5</v>
      </c>
    </row>
    <row r="42" spans="1:14">
      <c r="A42" s="139" t="s">
        <v>1307</v>
      </c>
      <c r="B42" s="139" t="s">
        <v>294</v>
      </c>
      <c r="C42" s="140" t="s">
        <v>1308</v>
      </c>
      <c r="D42" s="141" t="s">
        <v>1309</v>
      </c>
      <c r="E42" s="142" t="s">
        <v>1252</v>
      </c>
      <c r="F42" s="143">
        <v>13</v>
      </c>
      <c r="G42" s="144"/>
      <c r="H42" s="145"/>
      <c r="I42" s="46">
        <f t="shared" si="0"/>
        <v>13</v>
      </c>
      <c r="L42">
        <v>5</v>
      </c>
      <c r="M42">
        <v>5</v>
      </c>
      <c r="N42">
        <v>3</v>
      </c>
    </row>
    <row r="43" spans="1:14">
      <c r="A43" s="139" t="s">
        <v>1310</v>
      </c>
      <c r="B43" s="139" t="s">
        <v>294</v>
      </c>
      <c r="C43" s="140" t="s">
        <v>1311</v>
      </c>
      <c r="D43" s="141" t="s">
        <v>1312</v>
      </c>
      <c r="E43" s="142" t="s">
        <v>1252</v>
      </c>
      <c r="F43" s="143">
        <v>13</v>
      </c>
      <c r="G43" s="144"/>
      <c r="H43" s="145"/>
      <c r="I43" s="46">
        <f t="shared" si="0"/>
        <v>13</v>
      </c>
      <c r="L43">
        <v>5</v>
      </c>
      <c r="M43">
        <v>5</v>
      </c>
      <c r="N43">
        <v>3</v>
      </c>
    </row>
    <row r="44" spans="1:14">
      <c r="A44" s="139"/>
      <c r="B44" s="139" t="s">
        <v>288</v>
      </c>
      <c r="C44" s="140" t="s">
        <v>1191</v>
      </c>
      <c r="D44" s="146" t="s">
        <v>1313</v>
      </c>
      <c r="E44" s="142"/>
      <c r="F44" s="143"/>
      <c r="G44" s="144"/>
      <c r="H44" s="145"/>
      <c r="I44" s="46"/>
    </row>
    <row r="45" spans="1:14">
      <c r="A45" s="139" t="s">
        <v>1314</v>
      </c>
      <c r="B45" s="139" t="s">
        <v>294</v>
      </c>
      <c r="C45" s="140" t="s">
        <v>1285</v>
      </c>
      <c r="D45" s="141" t="s">
        <v>1286</v>
      </c>
      <c r="E45" s="142" t="s">
        <v>13</v>
      </c>
      <c r="F45" s="143">
        <v>5</v>
      </c>
      <c r="G45" s="144"/>
      <c r="H45" s="145"/>
      <c r="I45" s="46">
        <f t="shared" si="0"/>
        <v>5</v>
      </c>
      <c r="L45">
        <v>1</v>
      </c>
      <c r="M45">
        <v>2</v>
      </c>
      <c r="N45">
        <v>2</v>
      </c>
    </row>
    <row r="46" spans="1:14" ht="91.2">
      <c r="A46" s="139"/>
      <c r="B46" s="139" t="s">
        <v>707</v>
      </c>
      <c r="C46" s="140"/>
      <c r="D46" s="141" t="s">
        <v>1287</v>
      </c>
      <c r="E46" s="142"/>
      <c r="F46" s="143"/>
      <c r="G46" s="144"/>
      <c r="H46" s="145"/>
      <c r="I46" s="46"/>
    </row>
    <row r="47" spans="1:14">
      <c r="A47" s="139" t="s">
        <v>1315</v>
      </c>
      <c r="B47" s="139" t="s">
        <v>294</v>
      </c>
      <c r="C47" s="140" t="s">
        <v>1289</v>
      </c>
      <c r="D47" s="141" t="s">
        <v>1290</v>
      </c>
      <c r="E47" s="142" t="s">
        <v>13</v>
      </c>
      <c r="F47" s="143">
        <v>20</v>
      </c>
      <c r="G47" s="144"/>
      <c r="H47" s="145"/>
      <c r="I47" s="46">
        <f t="shared" si="0"/>
        <v>20</v>
      </c>
      <c r="L47">
        <v>4</v>
      </c>
      <c r="M47">
        <v>8</v>
      </c>
      <c r="N47">
        <v>8</v>
      </c>
    </row>
    <row r="48" spans="1:14">
      <c r="A48" s="139" t="s">
        <v>1316</v>
      </c>
      <c r="B48" s="139" t="s">
        <v>294</v>
      </c>
      <c r="C48" s="140" t="s">
        <v>1292</v>
      </c>
      <c r="D48" s="141" t="s">
        <v>1293</v>
      </c>
      <c r="E48" s="142" t="s">
        <v>13</v>
      </c>
      <c r="F48" s="143">
        <v>15</v>
      </c>
      <c r="G48" s="144"/>
      <c r="H48" s="145"/>
      <c r="I48" s="46">
        <f t="shared" si="0"/>
        <v>15</v>
      </c>
      <c r="L48">
        <v>3</v>
      </c>
      <c r="M48">
        <v>6</v>
      </c>
      <c r="N48">
        <v>6</v>
      </c>
    </row>
    <row r="49" spans="1:14">
      <c r="A49" s="139" t="s">
        <v>1317</v>
      </c>
      <c r="B49" s="139" t="s">
        <v>294</v>
      </c>
      <c r="C49" s="140" t="s">
        <v>1235</v>
      </c>
      <c r="D49" s="141" t="s">
        <v>1236</v>
      </c>
      <c r="E49" s="142" t="s">
        <v>13</v>
      </c>
      <c r="F49" s="143">
        <v>2</v>
      </c>
      <c r="G49" s="144"/>
      <c r="H49" s="145"/>
      <c r="I49" s="46">
        <f t="shared" si="0"/>
        <v>0</v>
      </c>
    </row>
    <row r="50" spans="1:14">
      <c r="A50" s="139" t="s">
        <v>1318</v>
      </c>
      <c r="B50" s="139" t="s">
        <v>294</v>
      </c>
      <c r="C50" s="140" t="s">
        <v>1299</v>
      </c>
      <c r="D50" s="141" t="s">
        <v>1300</v>
      </c>
      <c r="E50" s="142" t="s">
        <v>13</v>
      </c>
      <c r="F50" s="143">
        <v>15</v>
      </c>
      <c r="G50" s="144"/>
      <c r="H50" s="145"/>
      <c r="I50" s="46">
        <f t="shared" si="0"/>
        <v>15</v>
      </c>
      <c r="L50">
        <v>3</v>
      </c>
      <c r="M50">
        <v>6</v>
      </c>
      <c r="N50">
        <v>6</v>
      </c>
    </row>
    <row r="51" spans="1:14">
      <c r="A51" s="139" t="s">
        <v>1319</v>
      </c>
      <c r="B51" s="139" t="s">
        <v>294</v>
      </c>
      <c r="C51" s="140" t="s">
        <v>1302</v>
      </c>
      <c r="D51" s="141" t="s">
        <v>1303</v>
      </c>
      <c r="E51" s="142" t="s">
        <v>13</v>
      </c>
      <c r="F51" s="143">
        <v>15</v>
      </c>
      <c r="G51" s="144"/>
      <c r="H51" s="145"/>
      <c r="I51" s="46">
        <f t="shared" si="0"/>
        <v>15</v>
      </c>
      <c r="L51">
        <v>3</v>
      </c>
      <c r="M51">
        <v>6</v>
      </c>
      <c r="N51">
        <v>6</v>
      </c>
    </row>
    <row r="52" spans="1:14" ht="34.200000000000003">
      <c r="A52" s="139" t="s">
        <v>1320</v>
      </c>
      <c r="B52" s="139" t="s">
        <v>294</v>
      </c>
      <c r="C52" s="140" t="s">
        <v>1250</v>
      </c>
      <c r="D52" s="141" t="s">
        <v>1251</v>
      </c>
      <c r="E52" s="142" t="s">
        <v>1252</v>
      </c>
      <c r="F52" s="143">
        <v>18</v>
      </c>
      <c r="G52" s="144"/>
      <c r="H52" s="145"/>
      <c r="I52" s="46">
        <f t="shared" si="0"/>
        <v>0</v>
      </c>
    </row>
    <row r="53" spans="1:14" ht="34.200000000000003">
      <c r="A53" s="139" t="s">
        <v>1321</v>
      </c>
      <c r="B53" s="139" t="s">
        <v>294</v>
      </c>
      <c r="C53" s="140" t="s">
        <v>1254</v>
      </c>
      <c r="D53" s="141" t="s">
        <v>1255</v>
      </c>
      <c r="E53" s="142" t="s">
        <v>1252</v>
      </c>
      <c r="F53" s="143">
        <v>104</v>
      </c>
      <c r="G53" s="144"/>
      <c r="H53" s="145"/>
      <c r="I53" s="46">
        <f t="shared" si="0"/>
        <v>0</v>
      </c>
    </row>
    <row r="54" spans="1:14" ht="34.200000000000003">
      <c r="A54" s="139" t="s">
        <v>1322</v>
      </c>
      <c r="B54" s="139" t="s">
        <v>294</v>
      </c>
      <c r="C54" s="140" t="s">
        <v>1257</v>
      </c>
      <c r="D54" s="141" t="s">
        <v>1258</v>
      </c>
      <c r="E54" s="142" t="s">
        <v>1252</v>
      </c>
      <c r="F54" s="143">
        <v>15</v>
      </c>
      <c r="G54" s="144"/>
      <c r="H54" s="145"/>
      <c r="I54" s="46">
        <f t="shared" si="0"/>
        <v>0</v>
      </c>
    </row>
    <row r="55" spans="1:14">
      <c r="A55" s="139" t="s">
        <v>1323</v>
      </c>
      <c r="B55" s="139" t="s">
        <v>294</v>
      </c>
      <c r="C55" s="140" t="s">
        <v>1308</v>
      </c>
      <c r="D55" s="141" t="s">
        <v>1309</v>
      </c>
      <c r="E55" s="142" t="s">
        <v>1252</v>
      </c>
      <c r="F55" s="143">
        <v>15</v>
      </c>
      <c r="G55" s="144"/>
      <c r="H55" s="145"/>
      <c r="I55" s="46">
        <f t="shared" si="0"/>
        <v>15</v>
      </c>
      <c r="L55">
        <v>3</v>
      </c>
      <c r="M55">
        <v>6</v>
      </c>
      <c r="N55">
        <v>6</v>
      </c>
    </row>
    <row r="56" spans="1:14">
      <c r="A56" s="139" t="s">
        <v>1324</v>
      </c>
      <c r="B56" s="139" t="s">
        <v>294</v>
      </c>
      <c r="C56" s="140" t="s">
        <v>1311</v>
      </c>
      <c r="D56" s="141" t="s">
        <v>1312</v>
      </c>
      <c r="E56" s="142" t="s">
        <v>1252</v>
      </c>
      <c r="F56" s="143">
        <v>15</v>
      </c>
      <c r="G56" s="144"/>
      <c r="H56" s="145"/>
      <c r="I56" s="46">
        <f t="shared" si="0"/>
        <v>9</v>
      </c>
      <c r="L56">
        <v>3</v>
      </c>
      <c r="M56">
        <v>3</v>
      </c>
      <c r="N56">
        <v>3</v>
      </c>
    </row>
    <row r="57" spans="1:14">
      <c r="A57" s="139"/>
      <c r="B57" s="139" t="s">
        <v>288</v>
      </c>
      <c r="C57" s="140" t="s">
        <v>190</v>
      </c>
      <c r="D57" s="146" t="s">
        <v>1325</v>
      </c>
      <c r="E57" s="142"/>
      <c r="F57" s="143"/>
      <c r="G57" s="144"/>
      <c r="H57" s="145"/>
      <c r="I57" s="46"/>
    </row>
    <row r="58" spans="1:14">
      <c r="A58" s="139" t="s">
        <v>1326</v>
      </c>
      <c r="B58" s="139" t="s">
        <v>294</v>
      </c>
      <c r="C58" s="140" t="s">
        <v>1327</v>
      </c>
      <c r="D58" s="141" t="s">
        <v>1328</v>
      </c>
      <c r="E58" s="142" t="s">
        <v>13</v>
      </c>
      <c r="F58" s="143">
        <v>4</v>
      </c>
      <c r="G58" s="144"/>
      <c r="H58" s="145"/>
      <c r="I58" s="46">
        <f t="shared" si="0"/>
        <v>11</v>
      </c>
      <c r="L58">
        <v>4</v>
      </c>
      <c r="M58">
        <v>4</v>
      </c>
      <c r="N58">
        <v>3</v>
      </c>
    </row>
    <row r="59" spans="1:14" ht="34.200000000000003">
      <c r="A59" s="139" t="s">
        <v>1329</v>
      </c>
      <c r="B59" s="139" t="s">
        <v>294</v>
      </c>
      <c r="C59" s="140" t="s">
        <v>1250</v>
      </c>
      <c r="D59" s="141" t="s">
        <v>1251</v>
      </c>
      <c r="E59" s="142" t="s">
        <v>1252</v>
      </c>
      <c r="F59" s="143">
        <v>32</v>
      </c>
      <c r="G59" s="144"/>
      <c r="H59" s="145"/>
      <c r="I59" s="46">
        <f t="shared" si="0"/>
        <v>32</v>
      </c>
      <c r="L59">
        <v>12</v>
      </c>
      <c r="M59">
        <v>12</v>
      </c>
      <c r="N59">
        <v>8</v>
      </c>
    </row>
    <row r="60" spans="1:14" ht="34.200000000000003">
      <c r="A60" s="139" t="s">
        <v>1330</v>
      </c>
      <c r="B60" s="139" t="s">
        <v>294</v>
      </c>
      <c r="C60" s="140" t="s">
        <v>1257</v>
      </c>
      <c r="D60" s="141" t="s">
        <v>1258</v>
      </c>
      <c r="E60" s="142" t="s">
        <v>1252</v>
      </c>
      <c r="F60" s="143">
        <v>13</v>
      </c>
      <c r="G60" s="144"/>
      <c r="H60" s="145"/>
      <c r="I60" s="46">
        <f t="shared" si="0"/>
        <v>32</v>
      </c>
      <c r="L60">
        <v>12</v>
      </c>
      <c r="M60">
        <v>12</v>
      </c>
      <c r="N60">
        <v>8</v>
      </c>
    </row>
    <row r="61" spans="1:14">
      <c r="A61" s="139"/>
      <c r="B61" s="139" t="s">
        <v>288</v>
      </c>
      <c r="C61" s="140" t="s">
        <v>1198</v>
      </c>
      <c r="D61" s="146" t="s">
        <v>1331</v>
      </c>
      <c r="E61" s="142"/>
      <c r="F61" s="143"/>
      <c r="G61" s="144"/>
      <c r="H61" s="145"/>
      <c r="I61" s="46"/>
    </row>
    <row r="62" spans="1:14">
      <c r="A62" s="139"/>
      <c r="B62" s="139" t="s">
        <v>288</v>
      </c>
      <c r="C62" s="140" t="s">
        <v>1204</v>
      </c>
      <c r="D62" s="146" t="s">
        <v>17</v>
      </c>
      <c r="E62" s="142"/>
      <c r="F62" s="143"/>
      <c r="G62" s="144"/>
      <c r="H62" s="145"/>
      <c r="I62" s="46"/>
    </row>
    <row r="63" spans="1:14" ht="34.200000000000003">
      <c r="A63" s="139" t="s">
        <v>1332</v>
      </c>
      <c r="B63" s="139" t="s">
        <v>294</v>
      </c>
      <c r="C63" s="140" t="s">
        <v>1333</v>
      </c>
      <c r="D63" s="141" t="s">
        <v>1334</v>
      </c>
      <c r="E63" s="142" t="s">
        <v>14</v>
      </c>
      <c r="F63" s="143">
        <v>1</v>
      </c>
      <c r="G63" s="144"/>
      <c r="H63" s="145"/>
      <c r="I63" s="46">
        <f t="shared" si="0"/>
        <v>1</v>
      </c>
      <c r="K63">
        <v>1</v>
      </c>
    </row>
    <row r="64" spans="1:14">
      <c r="A64" s="139" t="s">
        <v>1335</v>
      </c>
      <c r="B64" s="139" t="s">
        <v>294</v>
      </c>
      <c r="C64" s="140" t="s">
        <v>1336</v>
      </c>
      <c r="D64" s="141" t="s">
        <v>1337</v>
      </c>
      <c r="E64" s="142" t="s">
        <v>14</v>
      </c>
      <c r="F64" s="143">
        <v>1</v>
      </c>
      <c r="G64" s="144"/>
      <c r="H64" s="145"/>
      <c r="I64" s="46">
        <f t="shared" si="0"/>
        <v>1</v>
      </c>
      <c r="K64">
        <v>1</v>
      </c>
    </row>
    <row r="65" spans="1:16">
      <c r="A65" s="139" t="s">
        <v>1338</v>
      </c>
      <c r="B65" s="139" t="s">
        <v>294</v>
      </c>
      <c r="C65" s="140" t="s">
        <v>1339</v>
      </c>
      <c r="D65" s="141" t="s">
        <v>1340</v>
      </c>
      <c r="E65" s="142" t="s">
        <v>14</v>
      </c>
      <c r="F65" s="143">
        <v>1</v>
      </c>
      <c r="G65" s="144"/>
      <c r="H65" s="145"/>
      <c r="I65" s="46">
        <f t="shared" si="0"/>
        <v>1</v>
      </c>
      <c r="K65">
        <v>1</v>
      </c>
    </row>
    <row r="66" spans="1:16">
      <c r="A66" s="139"/>
      <c r="B66" s="139"/>
      <c r="C66" s="140"/>
      <c r="D66" s="141"/>
      <c r="E66" s="142"/>
      <c r="F66" s="143"/>
      <c r="G66" s="144"/>
      <c r="H66" s="145"/>
      <c r="I66" s="46"/>
    </row>
    <row r="67" spans="1:16">
      <c r="A67" s="139"/>
      <c r="B67" s="139"/>
      <c r="C67" s="140"/>
      <c r="D67" s="141"/>
      <c r="E67" s="142"/>
      <c r="F67" s="143"/>
      <c r="G67" s="144"/>
      <c r="H67" s="145"/>
      <c r="I67" s="46"/>
    </row>
    <row r="68" spans="1:16">
      <c r="A68" s="139"/>
      <c r="B68" s="139"/>
      <c r="C68" s="154"/>
      <c r="D68" s="155" t="s">
        <v>1344</v>
      </c>
      <c r="E68" s="142" t="s">
        <v>13</v>
      </c>
      <c r="F68" s="143"/>
      <c r="G68" s="144"/>
      <c r="H68" s="145"/>
      <c r="I68" s="46">
        <f t="shared" ref="I68" si="1">K68+L68+M68+N68+O68</f>
        <v>11</v>
      </c>
      <c r="L68">
        <v>4</v>
      </c>
      <c r="M68">
        <v>4</v>
      </c>
      <c r="N68">
        <v>3</v>
      </c>
      <c r="P68" t="s">
        <v>1343</v>
      </c>
    </row>
    <row r="69" spans="1:16">
      <c r="A69" s="139"/>
      <c r="B69" s="139"/>
      <c r="C69" s="140"/>
      <c r="D69" s="141"/>
      <c r="E69" s="142"/>
      <c r="F69" s="143"/>
      <c r="G69" s="144"/>
      <c r="H69" s="145"/>
    </row>
    <row r="70" spans="1:16">
      <c r="A70" s="139"/>
      <c r="B70" s="139"/>
      <c r="C70" s="140"/>
      <c r="D70" s="141"/>
      <c r="E70" s="142"/>
      <c r="F70" s="143"/>
      <c r="G70" s="144"/>
      <c r="H70" s="145"/>
    </row>
    <row r="71" spans="1:16">
      <c r="A71" s="139"/>
      <c r="B71" s="139"/>
      <c r="C71" s="140"/>
      <c r="D71" s="141"/>
      <c r="E71" s="142"/>
      <c r="F71" s="143"/>
      <c r="G71" s="144"/>
      <c r="H71" s="145"/>
    </row>
    <row r="72" spans="1:16">
      <c r="A72" s="139"/>
      <c r="B72" s="139"/>
      <c r="C72" s="140"/>
      <c r="D72" s="141"/>
      <c r="E72" s="142"/>
      <c r="F72" s="143"/>
      <c r="G72" s="144"/>
      <c r="H72" s="145"/>
    </row>
    <row r="73" spans="1:16">
      <c r="A73" s="139"/>
      <c r="B73" s="139"/>
      <c r="C73" s="140"/>
      <c r="D73" s="141"/>
      <c r="E73" s="142"/>
      <c r="F73" s="143"/>
      <c r="G73" s="144"/>
      <c r="H73" s="145"/>
    </row>
    <row r="74" spans="1:16">
      <c r="A74" s="139"/>
      <c r="B74" s="139"/>
      <c r="C74" s="140"/>
      <c r="D74" s="141"/>
      <c r="E74" s="142"/>
      <c r="F74" s="143"/>
      <c r="G74" s="144"/>
      <c r="H74" s="145"/>
    </row>
    <row r="75" spans="1:16">
      <c r="A75" s="139"/>
      <c r="B75" s="139"/>
      <c r="C75" s="140"/>
      <c r="D75" s="141"/>
      <c r="E75" s="142"/>
      <c r="F75" s="143"/>
      <c r="G75" s="144"/>
      <c r="H75" s="145"/>
    </row>
    <row r="76" spans="1:16">
      <c r="A76" s="139"/>
      <c r="B76" s="139"/>
      <c r="C76" s="140"/>
      <c r="D76" s="141"/>
      <c r="E76" s="142"/>
      <c r="F76" s="143"/>
      <c r="G76" s="144"/>
      <c r="H76" s="145"/>
    </row>
    <row r="77" spans="1:16">
      <c r="A77" s="139"/>
      <c r="B77" s="139"/>
      <c r="C77" s="140"/>
      <c r="D77" s="141"/>
      <c r="E77" s="142"/>
      <c r="F77" s="143"/>
      <c r="G77" s="144"/>
      <c r="H77" s="145"/>
    </row>
    <row r="78" spans="1:16">
      <c r="A78" s="139"/>
      <c r="B78" s="139"/>
      <c r="C78" s="140"/>
      <c r="D78" s="141"/>
      <c r="E78" s="142"/>
      <c r="F78" s="143"/>
      <c r="G78" s="144"/>
      <c r="H78" s="145"/>
    </row>
    <row r="79" spans="1:16">
      <c r="A79" s="139"/>
      <c r="B79" s="139"/>
      <c r="C79" s="140"/>
      <c r="D79" s="141"/>
      <c r="E79" s="142"/>
      <c r="F79" s="143"/>
      <c r="G79" s="144"/>
      <c r="H79" s="145"/>
    </row>
    <row r="80" spans="1:16">
      <c r="A80" s="139"/>
      <c r="B80" s="139"/>
      <c r="C80" s="140"/>
      <c r="D80" s="141"/>
      <c r="E80" s="142"/>
      <c r="F80" s="143"/>
      <c r="G80" s="144"/>
      <c r="H80" s="145"/>
    </row>
    <row r="81" spans="1:8">
      <c r="A81" s="139"/>
      <c r="B81" s="139"/>
      <c r="C81" s="140"/>
      <c r="D81" s="141"/>
      <c r="E81" s="142"/>
      <c r="F81" s="143"/>
      <c r="G81" s="144"/>
      <c r="H81" s="145"/>
    </row>
    <row r="82" spans="1:8">
      <c r="A82" s="139"/>
      <c r="B82" s="139"/>
      <c r="C82" s="140"/>
      <c r="D82" s="141"/>
      <c r="E82" s="142"/>
      <c r="F82" s="143"/>
      <c r="G82" s="144"/>
      <c r="H82" s="145"/>
    </row>
    <row r="83" spans="1:8">
      <c r="A83" s="139"/>
      <c r="B83" s="139"/>
      <c r="C83" s="140"/>
      <c r="D83" s="141"/>
      <c r="E83" s="142"/>
      <c r="F83" s="143"/>
      <c r="G83" s="144"/>
      <c r="H83" s="145"/>
    </row>
    <row r="84" spans="1:8">
      <c r="A84" s="139"/>
      <c r="B84" s="139"/>
      <c r="C84" s="140"/>
      <c r="D84" s="141"/>
      <c r="E84" s="142"/>
      <c r="F84" s="143"/>
      <c r="G84" s="144"/>
      <c r="H84" s="145"/>
    </row>
    <row r="85" spans="1:8">
      <c r="A85" s="139"/>
      <c r="B85" s="139"/>
      <c r="C85" s="140"/>
      <c r="D85" s="141"/>
      <c r="E85" s="142"/>
      <c r="F85" s="143"/>
      <c r="G85" s="144"/>
      <c r="H85" s="145"/>
    </row>
    <row r="86" spans="1:8">
      <c r="A86" s="139"/>
      <c r="B86" s="139"/>
      <c r="C86" s="140"/>
      <c r="D86" s="141"/>
      <c r="E86" s="142"/>
      <c r="F86" s="143"/>
      <c r="G86" s="144"/>
      <c r="H86" s="145"/>
    </row>
    <row r="87" spans="1:8">
      <c r="A87" s="139"/>
      <c r="B87" s="139"/>
      <c r="C87" s="140"/>
      <c r="D87" s="141"/>
      <c r="E87" s="142"/>
      <c r="F87" s="143"/>
      <c r="G87" s="144"/>
      <c r="H87" s="145"/>
    </row>
    <row r="88" spans="1:8">
      <c r="A88" s="139"/>
      <c r="B88" s="139"/>
      <c r="C88" s="140"/>
      <c r="D88" s="141"/>
      <c r="E88" s="142"/>
      <c r="F88" s="143"/>
      <c r="G88" s="144"/>
      <c r="H88" s="145"/>
    </row>
    <row r="89" spans="1:8">
      <c r="A89" s="139"/>
      <c r="B89" s="139"/>
      <c r="C89" s="140"/>
      <c r="D89" s="141"/>
      <c r="E89" s="142"/>
      <c r="F89" s="143"/>
      <c r="G89" s="144"/>
      <c r="H89" s="145"/>
    </row>
    <row r="90" spans="1:8">
      <c r="A90" s="139"/>
      <c r="B90" s="139"/>
      <c r="C90" s="140"/>
      <c r="D90" s="141"/>
      <c r="E90" s="142"/>
      <c r="F90" s="143"/>
      <c r="G90" s="144"/>
      <c r="H90" s="145"/>
    </row>
    <row r="91" spans="1:8">
      <c r="A91" s="139"/>
      <c r="B91" s="139"/>
      <c r="C91" s="140"/>
      <c r="D91" s="141"/>
      <c r="E91" s="142"/>
      <c r="F91" s="143"/>
      <c r="G91" s="144"/>
      <c r="H91" s="145"/>
    </row>
    <row r="92" spans="1:8">
      <c r="A92" s="139"/>
      <c r="B92" s="139"/>
      <c r="C92" s="140"/>
      <c r="D92" s="141"/>
      <c r="E92" s="142"/>
      <c r="F92" s="143"/>
      <c r="G92" s="144"/>
      <c r="H92" s="145"/>
    </row>
    <row r="93" spans="1:8">
      <c r="A93" s="139"/>
      <c r="B93" s="139"/>
      <c r="C93" s="140"/>
      <c r="D93" s="141"/>
      <c r="E93" s="142"/>
      <c r="F93" s="143"/>
      <c r="G93" s="144"/>
      <c r="H93" s="145"/>
    </row>
    <row r="94" spans="1:8">
      <c r="A94" s="139"/>
      <c r="B94" s="139"/>
      <c r="C94" s="140"/>
      <c r="D94" s="141"/>
      <c r="E94" s="142"/>
      <c r="F94" s="143"/>
      <c r="G94" s="144"/>
      <c r="H94" s="145"/>
    </row>
    <row r="95" spans="1:8">
      <c r="A95" s="139"/>
      <c r="B95" s="139"/>
      <c r="C95" s="140"/>
      <c r="D95" s="141"/>
      <c r="E95" s="142"/>
      <c r="F95" s="143"/>
      <c r="G95" s="144"/>
      <c r="H95" s="145"/>
    </row>
    <row r="96" spans="1:8">
      <c r="A96" s="139"/>
      <c r="B96" s="139"/>
      <c r="C96" s="140"/>
      <c r="D96" s="141"/>
      <c r="E96" s="142"/>
      <c r="F96" s="143"/>
      <c r="G96" s="144"/>
      <c r="H96" s="145"/>
    </row>
    <row r="97" spans="1:8">
      <c r="A97" s="139"/>
      <c r="B97" s="139"/>
      <c r="C97" s="140"/>
      <c r="D97" s="141"/>
      <c r="E97" s="142"/>
      <c r="F97" s="143"/>
      <c r="G97" s="144"/>
      <c r="H97" s="145"/>
    </row>
    <row r="98" spans="1:8">
      <c r="A98" s="139"/>
      <c r="B98" s="139"/>
      <c r="C98" s="140"/>
      <c r="D98" s="141"/>
      <c r="E98" s="142"/>
      <c r="F98" s="143"/>
      <c r="G98" s="144"/>
      <c r="H98" s="145"/>
    </row>
    <row r="99" spans="1:8">
      <c r="A99" s="139"/>
      <c r="B99" s="139"/>
      <c r="C99" s="140"/>
      <c r="D99" s="141"/>
      <c r="E99" s="142"/>
      <c r="F99" s="143"/>
      <c r="G99" s="144"/>
      <c r="H99" s="145"/>
    </row>
    <row r="100" spans="1:8">
      <c r="A100" s="139"/>
      <c r="B100" s="139"/>
      <c r="C100" s="140"/>
      <c r="D100" s="141"/>
      <c r="E100" s="142"/>
      <c r="F100" s="143"/>
      <c r="G100" s="144"/>
      <c r="H100" s="145"/>
    </row>
    <row r="101" spans="1:8">
      <c r="A101" s="139"/>
      <c r="B101" s="139"/>
      <c r="C101" s="140"/>
      <c r="D101" s="141"/>
      <c r="E101" s="142"/>
      <c r="F101" s="143"/>
      <c r="G101" s="144"/>
      <c r="H101" s="145"/>
    </row>
    <row r="102" spans="1:8">
      <c r="A102" s="139"/>
      <c r="B102" s="139"/>
      <c r="C102" s="140"/>
      <c r="D102" s="141"/>
      <c r="E102" s="142"/>
      <c r="F102" s="143"/>
      <c r="G102" s="144"/>
      <c r="H102" s="145"/>
    </row>
    <row r="103" spans="1:8">
      <c r="A103" s="139"/>
      <c r="B103" s="139"/>
      <c r="C103" s="140"/>
      <c r="D103" s="141"/>
      <c r="E103" s="142"/>
      <c r="F103" s="143"/>
      <c r="G103" s="144"/>
      <c r="H103" s="145"/>
    </row>
    <row r="104" spans="1:8">
      <c r="A104" s="139"/>
      <c r="B104" s="139"/>
      <c r="C104" s="140"/>
      <c r="D104" s="141"/>
      <c r="E104" s="142"/>
      <c r="F104" s="143"/>
      <c r="G104" s="144"/>
      <c r="H104" s="145"/>
    </row>
    <row r="105" spans="1:8">
      <c r="A105" s="139"/>
      <c r="B105" s="139"/>
      <c r="C105" s="140"/>
      <c r="D105" s="141"/>
      <c r="E105" s="142"/>
      <c r="F105" s="143"/>
      <c r="G105" s="144"/>
      <c r="H105" s="145"/>
    </row>
    <row r="106" spans="1:8">
      <c r="A106" s="139"/>
      <c r="B106" s="139"/>
      <c r="C106" s="140"/>
      <c r="D106" s="141"/>
      <c r="E106" s="142"/>
      <c r="F106" s="143"/>
      <c r="G106" s="144"/>
      <c r="H106" s="145"/>
    </row>
    <row r="107" spans="1:8">
      <c r="A107" s="139"/>
      <c r="B107" s="139"/>
      <c r="C107" s="140"/>
      <c r="D107" s="141"/>
      <c r="E107" s="142"/>
      <c r="F107" s="143"/>
      <c r="G107" s="144"/>
      <c r="H107" s="145"/>
    </row>
    <row r="108" spans="1:8">
      <c r="A108" s="139"/>
      <c r="B108" s="139"/>
      <c r="C108" s="140"/>
      <c r="D108" s="141"/>
      <c r="E108" s="142"/>
      <c r="F108" s="143"/>
      <c r="G108" s="144"/>
      <c r="H108" s="145"/>
    </row>
    <row r="109" spans="1:8">
      <c r="A109" s="139"/>
      <c r="B109" s="139"/>
      <c r="C109" s="140"/>
      <c r="D109" s="141"/>
      <c r="E109" s="142"/>
      <c r="F109" s="143"/>
      <c r="G109" s="144"/>
      <c r="H109" s="145"/>
    </row>
    <row r="110" spans="1:8">
      <c r="A110" s="139"/>
      <c r="B110" s="139"/>
      <c r="C110" s="140"/>
      <c r="D110" s="141"/>
      <c r="E110" s="142"/>
      <c r="F110" s="143"/>
      <c r="G110" s="144"/>
      <c r="H110" s="145"/>
    </row>
    <row r="111" spans="1:8">
      <c r="A111" s="139"/>
      <c r="B111" s="139"/>
      <c r="C111" s="140"/>
      <c r="D111" s="141"/>
      <c r="E111" s="142"/>
      <c r="F111" s="143"/>
      <c r="G111" s="144"/>
      <c r="H111" s="145"/>
    </row>
    <row r="112" spans="1:8">
      <c r="A112" s="139"/>
      <c r="B112" s="139"/>
      <c r="C112" s="140"/>
      <c r="D112" s="141"/>
      <c r="E112" s="142"/>
      <c r="F112" s="143"/>
      <c r="G112" s="144"/>
      <c r="H112" s="145"/>
    </row>
    <row r="113" spans="1:8">
      <c r="A113" s="139"/>
      <c r="B113" s="139"/>
      <c r="C113" s="140"/>
      <c r="D113" s="141"/>
      <c r="E113" s="142"/>
      <c r="F113" s="143"/>
      <c r="G113" s="144"/>
      <c r="H113" s="145"/>
    </row>
    <row r="114" spans="1:8">
      <c r="A114" s="139"/>
      <c r="B114" s="139"/>
      <c r="C114" s="140"/>
      <c r="D114" s="141"/>
      <c r="E114" s="142"/>
      <c r="F114" s="143"/>
      <c r="G114" s="144"/>
      <c r="H114" s="145"/>
    </row>
    <row r="115" spans="1:8">
      <c r="A115" s="139"/>
      <c r="B115" s="139"/>
      <c r="C115" s="140"/>
      <c r="D115" s="141"/>
      <c r="E115" s="142"/>
      <c r="F115" s="143"/>
      <c r="G115" s="144"/>
      <c r="H115" s="145"/>
    </row>
    <row r="116" spans="1:8">
      <c r="A116" s="139"/>
      <c r="B116" s="139"/>
      <c r="C116" s="140"/>
      <c r="D116" s="141"/>
      <c r="E116" s="142"/>
      <c r="F116" s="143"/>
      <c r="G116" s="144"/>
      <c r="H116" s="145"/>
    </row>
    <row r="117" spans="1:8">
      <c r="A117" s="139"/>
      <c r="B117" s="139"/>
      <c r="C117" s="140"/>
      <c r="D117" s="141"/>
      <c r="E117" s="142"/>
      <c r="F117" s="143"/>
      <c r="G117" s="144"/>
      <c r="H117" s="145"/>
    </row>
    <row r="118" spans="1:8">
      <c r="A118" s="139"/>
      <c r="B118" s="139"/>
      <c r="C118" s="140"/>
      <c r="D118" s="141"/>
      <c r="E118" s="142"/>
      <c r="F118" s="143"/>
      <c r="G118" s="144"/>
      <c r="H118" s="145"/>
    </row>
    <row r="119" spans="1:8">
      <c r="A119" s="139"/>
      <c r="B119" s="139"/>
      <c r="C119" s="140"/>
      <c r="D119" s="141"/>
      <c r="E119" s="142"/>
      <c r="F119" s="143"/>
      <c r="G119" s="144"/>
      <c r="H119" s="145"/>
    </row>
    <row r="120" spans="1:8">
      <c r="A120" s="139"/>
      <c r="B120" s="139"/>
      <c r="C120" s="140"/>
      <c r="D120" s="141"/>
      <c r="E120" s="142"/>
      <c r="F120" s="143"/>
      <c r="G120" s="144"/>
      <c r="H120" s="145"/>
    </row>
    <row r="121" spans="1:8">
      <c r="A121" s="139"/>
      <c r="B121" s="139"/>
      <c r="C121" s="140"/>
      <c r="D121" s="141"/>
      <c r="E121" s="142"/>
      <c r="F121" s="143"/>
      <c r="G121" s="144"/>
      <c r="H121" s="145"/>
    </row>
    <row r="122" spans="1:8">
      <c r="A122" s="139"/>
      <c r="B122" s="139"/>
      <c r="C122" s="140"/>
      <c r="D122" s="141"/>
      <c r="E122" s="142"/>
      <c r="F122" s="143"/>
      <c r="G122" s="144"/>
      <c r="H122" s="145"/>
    </row>
    <row r="123" spans="1:8">
      <c r="A123" s="139"/>
      <c r="B123" s="139"/>
      <c r="C123" s="140"/>
      <c r="D123" s="141"/>
      <c r="E123" s="142"/>
      <c r="F123" s="143"/>
      <c r="G123" s="144"/>
      <c r="H123" s="145"/>
    </row>
    <row r="124" spans="1:8">
      <c r="A124" s="139"/>
      <c r="B124" s="139"/>
      <c r="C124" s="140"/>
      <c r="D124" s="141"/>
      <c r="E124" s="142"/>
      <c r="F124" s="143"/>
      <c r="G124" s="144"/>
      <c r="H124" s="145"/>
    </row>
    <row r="125" spans="1:8">
      <c r="A125" s="139"/>
      <c r="B125" s="139"/>
      <c r="C125" s="140"/>
      <c r="D125" s="141"/>
      <c r="E125" s="142"/>
      <c r="F125" s="143"/>
      <c r="G125" s="144"/>
      <c r="H125" s="145"/>
    </row>
    <row r="126" spans="1:8">
      <c r="A126" s="139"/>
      <c r="B126" s="139"/>
      <c r="C126" s="140"/>
      <c r="D126" s="141"/>
      <c r="E126" s="142"/>
      <c r="F126" s="143"/>
      <c r="G126" s="144"/>
      <c r="H126" s="145"/>
    </row>
    <row r="127" spans="1:8">
      <c r="A127" s="139"/>
      <c r="B127" s="139"/>
      <c r="C127" s="140"/>
      <c r="D127" s="141"/>
      <c r="E127" s="142"/>
      <c r="F127" s="143"/>
      <c r="G127" s="144"/>
      <c r="H127" s="145"/>
    </row>
    <row r="128" spans="1:8">
      <c r="A128" s="139"/>
      <c r="B128" s="139"/>
      <c r="C128" s="140"/>
      <c r="D128" s="141"/>
      <c r="E128" s="142"/>
      <c r="F128" s="143"/>
      <c r="G128" s="144"/>
      <c r="H128" s="145"/>
    </row>
    <row r="129" spans="1:8">
      <c r="A129" s="139"/>
      <c r="B129" s="139"/>
      <c r="C129" s="140"/>
      <c r="D129" s="141"/>
      <c r="E129" s="142"/>
      <c r="F129" s="143"/>
      <c r="G129" s="144"/>
      <c r="H129" s="145"/>
    </row>
    <row r="130" spans="1:8">
      <c r="A130" s="139"/>
      <c r="B130" s="139"/>
      <c r="C130" s="140"/>
      <c r="D130" s="141"/>
      <c r="E130" s="142"/>
      <c r="F130" s="143"/>
      <c r="G130" s="144"/>
      <c r="H130" s="145"/>
    </row>
    <row r="131" spans="1:8">
      <c r="A131" s="139"/>
      <c r="B131" s="139"/>
      <c r="C131" s="140"/>
      <c r="D131" s="141"/>
      <c r="E131" s="142"/>
      <c r="F131" s="143"/>
      <c r="G131" s="144"/>
      <c r="H131" s="145"/>
    </row>
    <row r="132" spans="1:8">
      <c r="A132" s="139"/>
      <c r="B132" s="139"/>
      <c r="C132" s="140"/>
      <c r="D132" s="141"/>
      <c r="E132" s="142"/>
      <c r="F132" s="143"/>
      <c r="G132" s="144"/>
      <c r="H132" s="145"/>
    </row>
    <row r="133" spans="1:8">
      <c r="A133" s="139"/>
      <c r="B133" s="139"/>
      <c r="C133" s="140"/>
      <c r="D133" s="141"/>
      <c r="E133" s="142"/>
      <c r="F133" s="143"/>
      <c r="G133" s="144"/>
      <c r="H133" s="145"/>
    </row>
    <row r="134" spans="1:8">
      <c r="A134" s="139"/>
      <c r="B134" s="139"/>
      <c r="C134" s="140"/>
      <c r="D134" s="141"/>
      <c r="E134" s="142"/>
      <c r="F134" s="143"/>
      <c r="G134" s="144"/>
      <c r="H134" s="145"/>
    </row>
    <row r="135" spans="1:8">
      <c r="A135" s="139"/>
      <c r="B135" s="139"/>
      <c r="C135" s="140"/>
      <c r="D135" s="141"/>
      <c r="E135" s="142"/>
      <c r="F135" s="143"/>
      <c r="G135" s="144"/>
      <c r="H135" s="145"/>
    </row>
    <row r="136" spans="1:8">
      <c r="A136" s="139"/>
      <c r="B136" s="139"/>
      <c r="C136" s="140"/>
      <c r="D136" s="141"/>
      <c r="E136" s="142"/>
      <c r="F136" s="143"/>
      <c r="G136" s="144"/>
      <c r="H136" s="145"/>
    </row>
    <row r="137" spans="1:8">
      <c r="A137" s="139"/>
      <c r="B137" s="139"/>
      <c r="C137" s="140"/>
      <c r="D137" s="141"/>
      <c r="E137" s="142"/>
      <c r="F137" s="143"/>
      <c r="G137" s="144"/>
      <c r="H137" s="145"/>
    </row>
    <row r="138" spans="1:8">
      <c r="A138" s="139"/>
      <c r="B138" s="139"/>
      <c r="C138" s="140"/>
      <c r="D138" s="141"/>
      <c r="E138" s="142"/>
      <c r="F138" s="143"/>
      <c r="G138" s="144"/>
      <c r="H138" s="145"/>
    </row>
    <row r="139" spans="1:8">
      <c r="A139" s="139"/>
      <c r="B139" s="139"/>
      <c r="C139" s="140"/>
      <c r="D139" s="141"/>
      <c r="E139" s="142"/>
      <c r="F139" s="143"/>
      <c r="G139" s="144"/>
      <c r="H139" s="145"/>
    </row>
    <row r="140" spans="1:8">
      <c r="A140" s="139"/>
      <c r="B140" s="139"/>
      <c r="C140" s="140"/>
      <c r="D140" s="141"/>
      <c r="E140" s="142"/>
      <c r="F140" s="143"/>
      <c r="G140" s="144"/>
      <c r="H140" s="145"/>
    </row>
    <row r="141" spans="1:8">
      <c r="A141" s="139"/>
      <c r="B141" s="139"/>
      <c r="C141" s="140"/>
      <c r="D141" s="141"/>
      <c r="E141" s="142"/>
      <c r="F141" s="143"/>
      <c r="G141" s="144"/>
      <c r="H141" s="145"/>
    </row>
    <row r="142" spans="1:8">
      <c r="A142" s="139"/>
      <c r="B142" s="139"/>
      <c r="C142" s="140"/>
      <c r="D142" s="141"/>
      <c r="E142" s="142"/>
      <c r="F142" s="143"/>
      <c r="G142" s="144"/>
      <c r="H142" s="145"/>
    </row>
    <row r="143" spans="1:8">
      <c r="A143" s="139"/>
      <c r="B143" s="139"/>
      <c r="C143" s="140"/>
      <c r="D143" s="141"/>
      <c r="E143" s="142"/>
      <c r="F143" s="143"/>
      <c r="G143" s="144"/>
      <c r="H143" s="145"/>
    </row>
    <row r="144" spans="1:8">
      <c r="A144" s="139"/>
      <c r="B144" s="139"/>
      <c r="C144" s="140"/>
      <c r="D144" s="141"/>
      <c r="E144" s="142"/>
      <c r="F144" s="143"/>
      <c r="G144" s="144"/>
      <c r="H144" s="145"/>
    </row>
    <row r="145" spans="1:8">
      <c r="A145" s="139"/>
      <c r="B145" s="139"/>
      <c r="C145" s="140"/>
      <c r="D145" s="141"/>
      <c r="E145" s="142"/>
      <c r="F145" s="143"/>
      <c r="G145" s="144"/>
      <c r="H145" s="145"/>
    </row>
    <row r="146" spans="1:8">
      <c r="A146" s="139"/>
      <c r="B146" s="139"/>
      <c r="C146" s="140"/>
      <c r="D146" s="141"/>
      <c r="E146" s="142"/>
      <c r="F146" s="143"/>
      <c r="G146" s="144"/>
      <c r="H146" s="145"/>
    </row>
    <row r="147" spans="1:8">
      <c r="A147" s="139"/>
      <c r="B147" s="139"/>
      <c r="C147" s="140"/>
      <c r="D147" s="141"/>
      <c r="E147" s="142"/>
      <c r="F147" s="143"/>
      <c r="G147" s="144"/>
      <c r="H147" s="145"/>
    </row>
    <row r="148" spans="1:8">
      <c r="A148" s="139"/>
      <c r="B148" s="139"/>
      <c r="C148" s="140"/>
      <c r="D148" s="141"/>
      <c r="E148" s="142"/>
      <c r="F148" s="143"/>
      <c r="G148" s="144"/>
      <c r="H148" s="145"/>
    </row>
    <row r="149" spans="1:8">
      <c r="A149" s="139"/>
      <c r="B149" s="139"/>
      <c r="C149" s="140"/>
      <c r="D149" s="141"/>
      <c r="E149" s="142"/>
      <c r="F149" s="143"/>
      <c r="G149" s="144"/>
      <c r="H149" s="145"/>
    </row>
    <row r="150" spans="1:8">
      <c r="A150" s="139"/>
      <c r="B150" s="139"/>
      <c r="C150" s="140"/>
      <c r="D150" s="141"/>
      <c r="E150" s="142"/>
      <c r="F150" s="143"/>
      <c r="G150" s="144"/>
      <c r="H150" s="145"/>
    </row>
    <row r="151" spans="1:8">
      <c r="A151" s="139"/>
      <c r="B151" s="139"/>
      <c r="C151" s="140"/>
      <c r="D151" s="141"/>
      <c r="E151" s="142"/>
      <c r="F151" s="143"/>
      <c r="G151" s="144"/>
      <c r="H151" s="145"/>
    </row>
    <row r="152" spans="1:8">
      <c r="A152" s="139"/>
      <c r="B152" s="139"/>
      <c r="C152" s="140"/>
      <c r="D152" s="141"/>
      <c r="E152" s="142"/>
      <c r="F152" s="143"/>
      <c r="G152" s="144"/>
      <c r="H152" s="145"/>
    </row>
    <row r="153" spans="1:8">
      <c r="A153" s="139"/>
      <c r="B153" s="139"/>
      <c r="C153" s="140"/>
      <c r="D153" s="141"/>
      <c r="E153" s="142"/>
      <c r="F153" s="143"/>
      <c r="G153" s="144"/>
      <c r="H153" s="145"/>
    </row>
    <row r="154" spans="1:8">
      <c r="A154" s="139"/>
      <c r="B154" s="139"/>
      <c r="C154" s="140"/>
      <c r="D154" s="141"/>
      <c r="E154" s="142"/>
      <c r="F154" s="143"/>
      <c r="G154" s="144"/>
      <c r="H154" s="145"/>
    </row>
    <row r="155" spans="1:8">
      <c r="A155" s="139"/>
      <c r="B155" s="139"/>
      <c r="C155" s="140"/>
      <c r="D155" s="141"/>
      <c r="E155" s="142"/>
      <c r="F155" s="143"/>
      <c r="G155" s="144"/>
      <c r="H155" s="145"/>
    </row>
    <row r="156" spans="1:8">
      <c r="A156" s="139"/>
      <c r="B156" s="139"/>
      <c r="C156" s="140"/>
      <c r="D156" s="141"/>
      <c r="E156" s="142"/>
      <c r="F156" s="143"/>
      <c r="G156" s="144"/>
      <c r="H156" s="145"/>
    </row>
    <row r="157" spans="1:8">
      <c r="A157" s="139"/>
      <c r="B157" s="139"/>
      <c r="C157" s="140"/>
      <c r="D157" s="141"/>
      <c r="E157" s="142"/>
      <c r="F157" s="143"/>
      <c r="G157" s="144"/>
      <c r="H157" s="145"/>
    </row>
    <row r="158" spans="1:8">
      <c r="A158" s="139"/>
      <c r="B158" s="139"/>
      <c r="C158" s="140"/>
      <c r="D158" s="141"/>
      <c r="E158" s="142"/>
      <c r="F158" s="143"/>
      <c r="G158" s="144"/>
      <c r="H158" s="145"/>
    </row>
    <row r="159" spans="1:8">
      <c r="A159" s="139"/>
      <c r="B159" s="139"/>
      <c r="C159" s="140"/>
      <c r="D159" s="141"/>
      <c r="E159" s="142"/>
      <c r="F159" s="143"/>
      <c r="G159" s="144"/>
      <c r="H159" s="145"/>
    </row>
    <row r="160" spans="1:8">
      <c r="A160" s="139"/>
      <c r="B160" s="139"/>
      <c r="C160" s="140"/>
      <c r="D160" s="141"/>
      <c r="E160" s="142"/>
      <c r="F160" s="143"/>
      <c r="G160" s="144"/>
      <c r="H160" s="145"/>
    </row>
    <row r="161" spans="1:8">
      <c r="A161" s="139"/>
      <c r="B161" s="139"/>
      <c r="C161" s="140"/>
      <c r="D161" s="141"/>
      <c r="E161" s="142"/>
      <c r="F161" s="143"/>
      <c r="G161" s="144"/>
      <c r="H161" s="145"/>
    </row>
    <row r="162" spans="1:8">
      <c r="A162" s="139"/>
      <c r="B162" s="139"/>
      <c r="C162" s="140"/>
      <c r="D162" s="141"/>
      <c r="E162" s="142"/>
      <c r="F162" s="143"/>
      <c r="G162" s="144"/>
      <c r="H162" s="145"/>
    </row>
    <row r="163" spans="1:8">
      <c r="A163" s="139"/>
      <c r="B163" s="139"/>
      <c r="C163" s="140"/>
      <c r="D163" s="141"/>
      <c r="E163" s="142"/>
      <c r="F163" s="143"/>
      <c r="G163" s="144"/>
      <c r="H163" s="145"/>
    </row>
    <row r="164" spans="1:8">
      <c r="A164" s="139"/>
      <c r="B164" s="139"/>
      <c r="C164" s="140"/>
      <c r="D164" s="141"/>
      <c r="E164" s="142"/>
      <c r="F164" s="143"/>
      <c r="G164" s="144"/>
      <c r="H164" s="145"/>
    </row>
    <row r="165" spans="1:8">
      <c r="A165" s="139"/>
      <c r="B165" s="139"/>
      <c r="C165" s="140"/>
      <c r="D165" s="141"/>
      <c r="E165" s="142"/>
      <c r="F165" s="143"/>
      <c r="G165" s="144"/>
      <c r="H165" s="145"/>
    </row>
    <row r="166" spans="1:8">
      <c r="A166" s="139"/>
      <c r="B166" s="139"/>
      <c r="C166" s="140"/>
      <c r="D166" s="141"/>
      <c r="E166" s="142"/>
      <c r="F166" s="143"/>
      <c r="G166" s="144"/>
      <c r="H166" s="145"/>
    </row>
    <row r="167" spans="1:8">
      <c r="A167" s="139"/>
      <c r="B167" s="139"/>
      <c r="C167" s="140"/>
      <c r="D167" s="141"/>
      <c r="E167" s="142"/>
      <c r="F167" s="143"/>
      <c r="G167" s="144"/>
      <c r="H167" s="145"/>
    </row>
    <row r="168" spans="1:8">
      <c r="A168" s="139"/>
      <c r="B168" s="139"/>
      <c r="C168" s="140"/>
      <c r="D168" s="141"/>
      <c r="E168" s="142"/>
      <c r="F168" s="143"/>
      <c r="G168" s="144"/>
      <c r="H168" s="145"/>
    </row>
    <row r="169" spans="1:8">
      <c r="A169" s="139"/>
      <c r="B169" s="139"/>
      <c r="C169" s="140"/>
      <c r="D169" s="141"/>
      <c r="E169" s="142"/>
      <c r="F169" s="143"/>
      <c r="G169" s="144"/>
      <c r="H169" s="145"/>
    </row>
    <row r="170" spans="1:8">
      <c r="A170" s="139"/>
      <c r="B170" s="139"/>
      <c r="C170" s="140"/>
      <c r="D170" s="141"/>
      <c r="E170" s="142"/>
      <c r="F170" s="143"/>
      <c r="G170" s="144"/>
      <c r="H170" s="145"/>
    </row>
    <row r="171" spans="1:8">
      <c r="A171" s="139"/>
      <c r="B171" s="139"/>
      <c r="C171" s="140"/>
      <c r="D171" s="141"/>
      <c r="E171" s="142"/>
      <c r="F171" s="143"/>
      <c r="G171" s="144"/>
      <c r="H171" s="145"/>
    </row>
    <row r="172" spans="1:8">
      <c r="A172" s="139"/>
      <c r="B172" s="139"/>
      <c r="C172" s="140"/>
      <c r="D172" s="141"/>
      <c r="E172" s="142"/>
      <c r="F172" s="143"/>
      <c r="G172" s="144"/>
      <c r="H172" s="145"/>
    </row>
    <row r="173" spans="1:8">
      <c r="A173" s="139"/>
      <c r="B173" s="139"/>
      <c r="C173" s="140"/>
      <c r="D173" s="141"/>
      <c r="E173" s="142"/>
      <c r="F173" s="143"/>
      <c r="G173" s="144"/>
      <c r="H173" s="145"/>
    </row>
    <row r="174" spans="1:8">
      <c r="A174" s="139"/>
      <c r="B174" s="139"/>
      <c r="C174" s="140"/>
      <c r="D174" s="141"/>
      <c r="E174" s="142"/>
      <c r="F174" s="143"/>
      <c r="G174" s="144"/>
      <c r="H174" s="145"/>
    </row>
    <row r="175" spans="1:8">
      <c r="A175" s="139"/>
      <c r="B175" s="139"/>
      <c r="C175" s="140"/>
      <c r="D175" s="141"/>
      <c r="E175" s="142"/>
      <c r="F175" s="143"/>
      <c r="G175" s="144"/>
      <c r="H175" s="145"/>
    </row>
    <row r="176" spans="1:8">
      <c r="A176" s="139"/>
      <c r="B176" s="139"/>
      <c r="C176" s="140"/>
      <c r="D176" s="141"/>
      <c r="E176" s="142"/>
      <c r="F176" s="143"/>
      <c r="G176" s="144"/>
      <c r="H176" s="145"/>
    </row>
    <row r="177" spans="1:8">
      <c r="A177" s="139"/>
      <c r="B177" s="139"/>
      <c r="C177" s="140"/>
      <c r="D177" s="141"/>
      <c r="E177" s="142"/>
      <c r="F177" s="143"/>
      <c r="G177" s="144"/>
      <c r="H177" s="145"/>
    </row>
    <row r="178" spans="1:8">
      <c r="A178" s="139"/>
      <c r="B178" s="139"/>
      <c r="C178" s="140"/>
      <c r="D178" s="141"/>
      <c r="E178" s="142"/>
      <c r="F178" s="143"/>
      <c r="G178" s="144"/>
      <c r="H178" s="145"/>
    </row>
    <row r="179" spans="1:8">
      <c r="A179" s="139"/>
      <c r="B179" s="139"/>
      <c r="C179" s="140"/>
      <c r="D179" s="141"/>
      <c r="E179" s="142"/>
      <c r="F179" s="143"/>
      <c r="G179" s="144"/>
      <c r="H179" s="145"/>
    </row>
    <row r="180" spans="1:8">
      <c r="A180" s="139"/>
      <c r="B180" s="139"/>
      <c r="C180" s="140"/>
      <c r="D180" s="141"/>
      <c r="E180" s="142"/>
      <c r="F180" s="143"/>
      <c r="G180" s="144"/>
      <c r="H180" s="145"/>
    </row>
    <row r="181" spans="1:8">
      <c r="A181" s="139"/>
      <c r="B181" s="139"/>
      <c r="C181" s="140"/>
      <c r="D181" s="141"/>
      <c r="E181" s="142"/>
      <c r="F181" s="143"/>
      <c r="G181" s="144"/>
      <c r="H181" s="145"/>
    </row>
    <row r="182" spans="1:8">
      <c r="A182" s="139"/>
      <c r="B182" s="139"/>
      <c r="C182" s="140"/>
      <c r="D182" s="141"/>
      <c r="E182" s="142"/>
      <c r="F182" s="143"/>
      <c r="G182" s="144"/>
      <c r="H182" s="145"/>
    </row>
    <row r="183" spans="1:8">
      <c r="A183" s="139"/>
      <c r="B183" s="139"/>
      <c r="C183" s="140"/>
      <c r="D183" s="141"/>
      <c r="E183" s="142"/>
      <c r="F183" s="143"/>
      <c r="G183" s="144"/>
      <c r="H183" s="145"/>
    </row>
    <row r="184" spans="1:8">
      <c r="A184" s="139"/>
      <c r="B184" s="139"/>
      <c r="C184" s="140"/>
      <c r="D184" s="141"/>
      <c r="E184" s="142"/>
      <c r="F184" s="143"/>
      <c r="G184" s="144"/>
      <c r="H184" s="145"/>
    </row>
    <row r="185" spans="1:8">
      <c r="A185" s="139"/>
      <c r="B185" s="139"/>
      <c r="C185" s="140"/>
      <c r="D185" s="141"/>
      <c r="E185" s="142"/>
      <c r="F185" s="143"/>
      <c r="G185" s="144"/>
      <c r="H185" s="145"/>
    </row>
    <row r="186" spans="1:8">
      <c r="A186" s="139"/>
      <c r="B186" s="139"/>
      <c r="C186" s="140"/>
      <c r="D186" s="141"/>
      <c r="E186" s="142"/>
      <c r="F186" s="143"/>
      <c r="G186" s="144"/>
      <c r="H186" s="145"/>
    </row>
    <row r="187" spans="1:8">
      <c r="A187" s="139"/>
      <c r="B187" s="139"/>
      <c r="C187" s="140"/>
      <c r="D187" s="141"/>
      <c r="E187" s="142"/>
      <c r="F187" s="143"/>
      <c r="G187" s="144"/>
      <c r="H187" s="145"/>
    </row>
    <row r="188" spans="1:8">
      <c r="A188" s="139"/>
      <c r="B188" s="139"/>
      <c r="C188" s="140"/>
      <c r="D188" s="141"/>
      <c r="E188" s="142"/>
      <c r="F188" s="143"/>
      <c r="G188" s="144"/>
      <c r="H188" s="145"/>
    </row>
    <row r="189" spans="1:8">
      <c r="A189" s="139"/>
      <c r="B189" s="139"/>
      <c r="C189" s="140"/>
      <c r="D189" s="141"/>
      <c r="E189" s="142"/>
      <c r="F189" s="143"/>
      <c r="G189" s="144"/>
      <c r="H189" s="145"/>
    </row>
    <row r="190" spans="1:8">
      <c r="A190" s="139"/>
      <c r="B190" s="139"/>
      <c r="C190" s="140"/>
      <c r="D190" s="141"/>
      <c r="E190" s="142"/>
      <c r="F190" s="143"/>
      <c r="G190" s="144"/>
      <c r="H190" s="145"/>
    </row>
    <row r="191" spans="1:8">
      <c r="A191" s="139"/>
      <c r="B191" s="139"/>
      <c r="C191" s="140"/>
      <c r="D191" s="141"/>
      <c r="E191" s="142"/>
      <c r="F191" s="143"/>
      <c r="G191" s="144"/>
      <c r="H191" s="145"/>
    </row>
    <row r="192" spans="1:8">
      <c r="A192" s="139"/>
      <c r="B192" s="139"/>
      <c r="C192" s="140"/>
      <c r="D192" s="141"/>
      <c r="E192" s="142"/>
      <c r="F192" s="143"/>
      <c r="G192" s="144"/>
      <c r="H192" s="145"/>
    </row>
    <row r="193" spans="1:8">
      <c r="A193" s="139"/>
      <c r="B193" s="139"/>
      <c r="C193" s="140"/>
      <c r="D193" s="141"/>
      <c r="E193" s="142"/>
      <c r="F193" s="143"/>
      <c r="G193" s="144"/>
      <c r="H193" s="145"/>
    </row>
    <row r="194" spans="1:8">
      <c r="A194" s="139"/>
      <c r="B194" s="139"/>
      <c r="C194" s="140"/>
      <c r="D194" s="141"/>
      <c r="E194" s="142"/>
      <c r="F194" s="143"/>
      <c r="G194" s="144"/>
      <c r="H194" s="145"/>
    </row>
    <row r="195" spans="1:8">
      <c r="A195" s="139"/>
      <c r="B195" s="139"/>
      <c r="C195" s="140"/>
      <c r="D195" s="141"/>
      <c r="E195" s="142"/>
      <c r="F195" s="143"/>
      <c r="G195" s="144"/>
      <c r="H195" s="145"/>
    </row>
    <row r="196" spans="1:8">
      <c r="A196" s="139"/>
      <c r="B196" s="139"/>
      <c r="C196" s="140"/>
      <c r="D196" s="141"/>
      <c r="E196" s="142"/>
      <c r="F196" s="143"/>
      <c r="G196" s="144"/>
      <c r="H196" s="145"/>
    </row>
    <row r="197" spans="1:8">
      <c r="A197" s="139"/>
      <c r="B197" s="139"/>
      <c r="C197" s="140"/>
      <c r="D197" s="141"/>
      <c r="E197" s="142"/>
      <c r="F197" s="143"/>
      <c r="G197" s="144"/>
      <c r="H197" s="145"/>
    </row>
    <row r="198" spans="1:8">
      <c r="A198" s="139"/>
      <c r="B198" s="139"/>
      <c r="C198" s="140"/>
      <c r="D198" s="141"/>
      <c r="E198" s="142"/>
      <c r="F198" s="143"/>
      <c r="G198" s="144"/>
      <c r="H198" s="145"/>
    </row>
    <row r="199" spans="1:8">
      <c r="A199" s="139"/>
      <c r="B199" s="139"/>
      <c r="C199" s="140"/>
      <c r="D199" s="141"/>
      <c r="E199" s="142"/>
      <c r="F199" s="143"/>
      <c r="G199" s="144"/>
      <c r="H199" s="145"/>
    </row>
    <row r="200" spans="1:8">
      <c r="A200" s="139"/>
      <c r="B200" s="139"/>
      <c r="C200" s="140"/>
      <c r="D200" s="141"/>
      <c r="E200" s="142"/>
      <c r="F200" s="143"/>
      <c r="G200" s="144"/>
      <c r="H200" s="145"/>
    </row>
    <row r="201" spans="1:8">
      <c r="A201" s="139"/>
      <c r="B201" s="139"/>
      <c r="C201" s="140"/>
      <c r="D201" s="141"/>
      <c r="E201" s="142"/>
      <c r="F201" s="143"/>
      <c r="G201" s="144"/>
      <c r="H201" s="145"/>
    </row>
    <row r="202" spans="1:8">
      <c r="A202" s="139"/>
      <c r="B202" s="139"/>
      <c r="C202" s="140"/>
      <c r="D202" s="141"/>
      <c r="E202" s="142"/>
      <c r="F202" s="143"/>
      <c r="G202" s="144"/>
      <c r="H202" s="145"/>
    </row>
    <row r="203" spans="1:8">
      <c r="A203" s="139"/>
      <c r="B203" s="139"/>
      <c r="C203" s="140"/>
      <c r="D203" s="141"/>
      <c r="E203" s="142"/>
      <c r="F203" s="143"/>
      <c r="G203" s="144"/>
      <c r="H203" s="145"/>
    </row>
    <row r="204" spans="1:8">
      <c r="A204" s="139"/>
      <c r="B204" s="139"/>
      <c r="C204" s="140"/>
      <c r="D204" s="141"/>
      <c r="E204" s="142"/>
      <c r="F204" s="143"/>
      <c r="G204" s="144"/>
      <c r="H204" s="145"/>
    </row>
    <row r="205" spans="1:8">
      <c r="A205" s="139"/>
      <c r="B205" s="139"/>
      <c r="C205" s="140"/>
      <c r="D205" s="141"/>
      <c r="E205" s="142"/>
      <c r="F205" s="143"/>
      <c r="G205" s="144"/>
      <c r="H205" s="145"/>
    </row>
    <row r="206" spans="1:8">
      <c r="A206" s="139"/>
      <c r="B206" s="139"/>
      <c r="C206" s="140"/>
      <c r="D206" s="141"/>
      <c r="E206" s="142"/>
      <c r="F206" s="143"/>
      <c r="G206" s="144"/>
      <c r="H206" s="145"/>
    </row>
    <row r="207" spans="1:8">
      <c r="A207" s="139"/>
      <c r="B207" s="139"/>
      <c r="C207" s="140"/>
      <c r="D207" s="141"/>
      <c r="E207" s="142"/>
      <c r="F207" s="143"/>
      <c r="G207" s="144"/>
      <c r="H207" s="145"/>
    </row>
    <row r="208" spans="1:8">
      <c r="A208" s="139"/>
      <c r="B208" s="139"/>
      <c r="C208" s="140"/>
      <c r="D208" s="141"/>
      <c r="E208" s="142"/>
      <c r="F208" s="143"/>
      <c r="G208" s="144"/>
      <c r="H208" s="145"/>
    </row>
    <row r="209" spans="1:8">
      <c r="A209" s="139"/>
      <c r="B209" s="139"/>
      <c r="C209" s="140"/>
      <c r="D209" s="141"/>
      <c r="E209" s="142"/>
      <c r="F209" s="143"/>
      <c r="G209" s="144"/>
      <c r="H209" s="145"/>
    </row>
    <row r="210" spans="1:8">
      <c r="A210" s="139"/>
      <c r="B210" s="139"/>
      <c r="C210" s="140"/>
      <c r="D210" s="141"/>
      <c r="E210" s="142"/>
      <c r="F210" s="143"/>
      <c r="G210" s="144"/>
      <c r="H210" s="145"/>
    </row>
    <row r="211" spans="1:8">
      <c r="A211" s="139"/>
      <c r="B211" s="139"/>
      <c r="C211" s="140"/>
      <c r="D211" s="141"/>
      <c r="E211" s="142"/>
      <c r="F211" s="143"/>
      <c r="G211" s="144"/>
      <c r="H211" s="145"/>
    </row>
    <row r="212" spans="1:8">
      <c r="A212" s="139"/>
      <c r="B212" s="139"/>
      <c r="C212" s="140"/>
      <c r="D212" s="141"/>
      <c r="E212" s="142"/>
      <c r="F212" s="143"/>
      <c r="G212" s="144"/>
      <c r="H212" s="145"/>
    </row>
    <row r="213" spans="1:8">
      <c r="A213" s="139"/>
      <c r="B213" s="139"/>
      <c r="C213" s="140"/>
      <c r="D213" s="141"/>
      <c r="E213" s="142"/>
      <c r="F213" s="143"/>
      <c r="G213" s="144"/>
      <c r="H213" s="145"/>
    </row>
    <row r="214" spans="1:8">
      <c r="A214" s="139"/>
      <c r="B214" s="139"/>
      <c r="C214" s="140"/>
      <c r="D214" s="141"/>
      <c r="E214" s="142"/>
      <c r="F214" s="143"/>
      <c r="G214" s="144"/>
      <c r="H214" s="145"/>
    </row>
    <row r="215" spans="1:8">
      <c r="A215" s="139"/>
      <c r="B215" s="139"/>
      <c r="C215" s="140"/>
      <c r="D215" s="141"/>
      <c r="E215" s="142"/>
      <c r="F215" s="143"/>
      <c r="G215" s="144"/>
      <c r="H215" s="145"/>
    </row>
    <row r="216" spans="1:8">
      <c r="A216" s="139"/>
      <c r="B216" s="139"/>
      <c r="C216" s="140"/>
      <c r="D216" s="141"/>
      <c r="E216" s="142"/>
      <c r="F216" s="143"/>
      <c r="G216" s="144"/>
      <c r="H216" s="145"/>
    </row>
    <row r="217" spans="1:8">
      <c r="A217" s="139"/>
      <c r="B217" s="139"/>
      <c r="C217" s="140"/>
      <c r="D217" s="141"/>
      <c r="E217" s="142"/>
      <c r="F217" s="143"/>
      <c r="G217" s="144"/>
      <c r="H217" s="145"/>
    </row>
    <row r="218" spans="1:8">
      <c r="A218" s="139"/>
      <c r="B218" s="139"/>
      <c r="C218" s="140"/>
      <c r="D218" s="141"/>
      <c r="E218" s="142"/>
      <c r="F218" s="143"/>
      <c r="G218" s="144"/>
      <c r="H218" s="145"/>
    </row>
    <row r="219" spans="1:8">
      <c r="A219" s="139"/>
      <c r="B219" s="139"/>
      <c r="C219" s="140"/>
      <c r="D219" s="141"/>
      <c r="E219" s="142"/>
      <c r="F219" s="143"/>
      <c r="G219" s="144"/>
      <c r="H219" s="145"/>
    </row>
    <row r="220" spans="1:8">
      <c r="A220" s="139"/>
      <c r="B220" s="139"/>
      <c r="C220" s="140"/>
      <c r="D220" s="141"/>
      <c r="E220" s="142"/>
      <c r="F220" s="143"/>
      <c r="G220" s="144"/>
      <c r="H220" s="145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3451-8179-4874-A75C-0799E3991746}">
  <dimension ref="A1:P51"/>
  <sheetViews>
    <sheetView workbookViewId="0">
      <selection activeCell="L3" sqref="L3"/>
    </sheetView>
  </sheetViews>
  <sheetFormatPr defaultRowHeight="13.2"/>
  <cols>
    <col min="1" max="1" width="6.33203125" customWidth="1"/>
    <col min="2" max="2" width="0.88671875" customWidth="1"/>
    <col min="3" max="4" width="3.21875" customWidth="1"/>
    <col min="5" max="5" width="13.33203125" customWidth="1"/>
    <col min="6" max="6" width="39.44140625" customWidth="1"/>
    <col min="7" max="7" width="5.77734375" customWidth="1"/>
    <col min="8" max="8" width="10.88671875" hidden="1" customWidth="1"/>
    <col min="9" max="9" width="12.21875" hidden="1" customWidth="1"/>
    <col min="10" max="10" width="17.21875" hidden="1" customWidth="1"/>
  </cols>
  <sheetData>
    <row r="1" spans="1:16">
      <c r="A1" s="84"/>
      <c r="B1" s="85"/>
      <c r="C1" s="83" t="s">
        <v>279</v>
      </c>
      <c r="D1" s="84"/>
      <c r="E1" s="84"/>
      <c r="F1" s="86" t="e">
        <f>IF(#REF!="","",#REF!)</f>
        <v>#REF!</v>
      </c>
      <c r="G1" s="84"/>
      <c r="H1" s="84"/>
      <c r="I1" s="83" t="s">
        <v>280</v>
      </c>
      <c r="J1" s="89" t="e">
        <f>#REF!</f>
        <v>#REF!</v>
      </c>
      <c r="K1" t="s">
        <v>1352</v>
      </c>
    </row>
    <row r="2" spans="1:16">
      <c r="A2" s="84"/>
      <c r="B2" s="85"/>
      <c r="C2" s="84"/>
      <c r="D2" s="84"/>
      <c r="E2" s="84"/>
      <c r="F2" s="84"/>
      <c r="G2" s="84"/>
      <c r="H2" s="84"/>
      <c r="I2" s="84"/>
      <c r="J2" s="84"/>
    </row>
    <row r="3" spans="1:16" ht="22.8">
      <c r="A3" s="15"/>
      <c r="B3" s="90"/>
      <c r="C3" s="91" t="s">
        <v>282</v>
      </c>
      <c r="D3" s="92" t="s">
        <v>283</v>
      </c>
      <c r="E3" s="92" t="s">
        <v>284</v>
      </c>
      <c r="F3" s="92" t="s">
        <v>285</v>
      </c>
      <c r="G3" s="92" t="s">
        <v>11</v>
      </c>
      <c r="H3" s="92" t="s">
        <v>10</v>
      </c>
      <c r="I3" s="92" t="s">
        <v>286</v>
      </c>
      <c r="J3" s="93" t="s">
        <v>281</v>
      </c>
    </row>
    <row r="4" spans="1:16" ht="15.6">
      <c r="A4" s="84"/>
      <c r="B4" s="85"/>
      <c r="C4" s="94" t="s">
        <v>287</v>
      </c>
      <c r="D4" s="84"/>
      <c r="E4" s="84"/>
      <c r="F4" s="84"/>
      <c r="G4" s="84"/>
      <c r="H4" s="84"/>
      <c r="I4" s="84"/>
      <c r="J4" s="95">
        <f>BK4</f>
        <v>0</v>
      </c>
    </row>
    <row r="5" spans="1:16" ht="15">
      <c r="A5" s="96"/>
      <c r="B5" s="97"/>
      <c r="C5" s="96"/>
      <c r="D5" s="98" t="s">
        <v>288</v>
      </c>
      <c r="E5" s="99" t="s">
        <v>289</v>
      </c>
      <c r="F5" s="99" t="s">
        <v>290</v>
      </c>
      <c r="G5" s="96"/>
      <c r="H5" s="96"/>
      <c r="I5" s="100"/>
      <c r="J5" s="101">
        <f>BK5</f>
        <v>0</v>
      </c>
    </row>
    <row r="6" spans="1:16">
      <c r="A6" s="96"/>
      <c r="B6" s="97"/>
      <c r="C6" s="96"/>
      <c r="D6" s="98" t="s">
        <v>288</v>
      </c>
      <c r="E6" s="102" t="s">
        <v>291</v>
      </c>
      <c r="F6" s="102" t="s">
        <v>292</v>
      </c>
      <c r="G6" s="96"/>
      <c r="H6" s="96"/>
      <c r="I6" s="100"/>
      <c r="J6" s="103">
        <f>BK6</f>
        <v>0</v>
      </c>
    </row>
    <row r="7" spans="1:16" ht="22.8">
      <c r="A7" s="84"/>
      <c r="B7" s="85"/>
      <c r="C7" s="104" t="s">
        <v>293</v>
      </c>
      <c r="D7" s="104" t="s">
        <v>294</v>
      </c>
      <c r="E7" s="105" t="s">
        <v>295</v>
      </c>
      <c r="F7" s="106" t="s">
        <v>296</v>
      </c>
      <c r="G7" s="107" t="s">
        <v>15</v>
      </c>
      <c r="H7" s="108">
        <v>700</v>
      </c>
      <c r="I7" s="109">
        <v>45</v>
      </c>
      <c r="J7" s="110">
        <f t="shared" ref="J7:J28" si="0">ROUND(I7*H7,2)</f>
        <v>31500</v>
      </c>
      <c r="K7">
        <v>120</v>
      </c>
    </row>
    <row r="8" spans="1:16">
      <c r="A8" s="84"/>
      <c r="B8" s="85"/>
      <c r="C8" s="111" t="s">
        <v>297</v>
      </c>
      <c r="D8" s="111" t="s">
        <v>298</v>
      </c>
      <c r="E8" s="112" t="s">
        <v>299</v>
      </c>
      <c r="F8" s="113" t="s">
        <v>300</v>
      </c>
      <c r="G8" s="114" t="s">
        <v>301</v>
      </c>
      <c r="H8" s="115">
        <v>700</v>
      </c>
      <c r="I8" s="116">
        <v>30</v>
      </c>
      <c r="J8" s="117">
        <f t="shared" si="0"/>
        <v>21000</v>
      </c>
      <c r="K8">
        <v>150</v>
      </c>
    </row>
    <row r="9" spans="1:16" ht="22.8">
      <c r="A9" s="84"/>
      <c r="B9" s="85"/>
      <c r="C9" s="111" t="s">
        <v>302</v>
      </c>
      <c r="D9" s="111" t="s">
        <v>298</v>
      </c>
      <c r="E9" s="112" t="s">
        <v>303</v>
      </c>
      <c r="F9" s="113" t="s">
        <v>304</v>
      </c>
      <c r="G9" s="114" t="s">
        <v>277</v>
      </c>
      <c r="H9" s="115">
        <v>200</v>
      </c>
      <c r="I9" s="116">
        <v>20</v>
      </c>
      <c r="J9" s="117">
        <f t="shared" si="0"/>
        <v>4000</v>
      </c>
      <c r="K9">
        <v>40</v>
      </c>
    </row>
    <row r="10" spans="1:16" ht="22.8">
      <c r="A10" s="84"/>
      <c r="B10" s="85"/>
      <c r="C10" s="104" t="s">
        <v>305</v>
      </c>
      <c r="D10" s="104" t="s">
        <v>294</v>
      </c>
      <c r="E10" s="105" t="s">
        <v>306</v>
      </c>
      <c r="F10" s="157" t="s">
        <v>307</v>
      </c>
      <c r="G10" s="158" t="s">
        <v>15</v>
      </c>
      <c r="H10" s="159">
        <v>850</v>
      </c>
      <c r="I10" s="160">
        <v>150</v>
      </c>
      <c r="J10" s="161">
        <f t="shared" si="0"/>
        <v>127500</v>
      </c>
      <c r="K10" s="46"/>
    </row>
    <row r="11" spans="1:16">
      <c r="A11" s="84"/>
      <c r="B11" s="85"/>
      <c r="C11" s="111" t="s">
        <v>308</v>
      </c>
      <c r="D11" s="111" t="s">
        <v>298</v>
      </c>
      <c r="E11" s="112" t="s">
        <v>309</v>
      </c>
      <c r="F11" s="156" t="s">
        <v>310</v>
      </c>
      <c r="G11" s="162" t="s">
        <v>301</v>
      </c>
      <c r="H11" s="163">
        <v>850</v>
      </c>
      <c r="I11" s="164">
        <v>100</v>
      </c>
      <c r="J11" s="165">
        <f t="shared" si="0"/>
        <v>85000</v>
      </c>
      <c r="K11" s="46"/>
      <c r="P11" t="s">
        <v>1345</v>
      </c>
    </row>
    <row r="12" spans="1:16">
      <c r="A12" s="84"/>
      <c r="B12" s="85"/>
      <c r="C12" s="111" t="s">
        <v>311</v>
      </c>
      <c r="D12" s="111" t="s">
        <v>298</v>
      </c>
      <c r="E12" s="112" t="s">
        <v>312</v>
      </c>
      <c r="F12" s="113" t="s">
        <v>313</v>
      </c>
      <c r="G12" s="114" t="s">
        <v>277</v>
      </c>
      <c r="H12" s="115">
        <v>850</v>
      </c>
      <c r="I12" s="116">
        <v>30</v>
      </c>
      <c r="J12" s="117">
        <f t="shared" si="0"/>
        <v>25500</v>
      </c>
      <c r="K12">
        <v>120</v>
      </c>
    </row>
    <row r="13" spans="1:16" ht="22.8">
      <c r="A13" s="84"/>
      <c r="B13" s="85"/>
      <c r="C13" s="111" t="s">
        <v>34</v>
      </c>
      <c r="D13" s="111" t="s">
        <v>298</v>
      </c>
      <c r="E13" s="112" t="s">
        <v>314</v>
      </c>
      <c r="F13" s="113" t="s">
        <v>315</v>
      </c>
      <c r="G13" s="114" t="s">
        <v>277</v>
      </c>
      <c r="H13" s="115">
        <v>200</v>
      </c>
      <c r="I13" s="116">
        <v>20</v>
      </c>
      <c r="J13" s="117">
        <f t="shared" si="0"/>
        <v>4000</v>
      </c>
      <c r="K13">
        <v>40</v>
      </c>
    </row>
    <row r="14" spans="1:16">
      <c r="A14" s="84"/>
      <c r="B14" s="85"/>
      <c r="C14" s="111" t="s">
        <v>316</v>
      </c>
      <c r="D14" s="111" t="s">
        <v>298</v>
      </c>
      <c r="E14" s="112" t="s">
        <v>317</v>
      </c>
      <c r="F14" s="113" t="s">
        <v>318</v>
      </c>
      <c r="G14" s="114" t="s">
        <v>277</v>
      </c>
      <c r="H14" s="115">
        <v>12</v>
      </c>
      <c r="I14" s="116">
        <v>25</v>
      </c>
      <c r="J14" s="117">
        <f t="shared" si="0"/>
        <v>300</v>
      </c>
      <c r="K14">
        <v>6</v>
      </c>
    </row>
    <row r="15" spans="1:16">
      <c r="A15" s="84"/>
      <c r="B15" s="85"/>
      <c r="C15" s="111" t="s">
        <v>319</v>
      </c>
      <c r="D15" s="111" t="s">
        <v>298</v>
      </c>
      <c r="E15" s="112" t="s">
        <v>320</v>
      </c>
      <c r="F15" s="113" t="s">
        <v>321</v>
      </c>
      <c r="G15" s="114" t="s">
        <v>277</v>
      </c>
      <c r="H15" s="115">
        <v>67</v>
      </c>
      <c r="I15" s="116">
        <v>20</v>
      </c>
      <c r="J15" s="117">
        <f t="shared" si="0"/>
        <v>1340</v>
      </c>
      <c r="K15">
        <v>14</v>
      </c>
    </row>
    <row r="16" spans="1:16" ht="22.8">
      <c r="A16" s="84"/>
      <c r="B16" s="85"/>
      <c r="C16" s="111" t="s">
        <v>322</v>
      </c>
      <c r="D16" s="111" t="s">
        <v>298</v>
      </c>
      <c r="E16" s="112" t="s">
        <v>323</v>
      </c>
      <c r="F16" s="113" t="s">
        <v>324</v>
      </c>
      <c r="G16" s="114" t="s">
        <v>277</v>
      </c>
      <c r="H16" s="115">
        <v>72</v>
      </c>
      <c r="I16" s="116">
        <v>25</v>
      </c>
      <c r="J16" s="117">
        <f t="shared" si="0"/>
        <v>1800</v>
      </c>
      <c r="K16">
        <v>6</v>
      </c>
    </row>
    <row r="17" spans="1:11">
      <c r="A17" s="84"/>
      <c r="B17" s="85"/>
      <c r="C17" s="111" t="s">
        <v>325</v>
      </c>
      <c r="D17" s="111" t="s">
        <v>298</v>
      </c>
      <c r="E17" s="112" t="s">
        <v>326</v>
      </c>
      <c r="F17" s="113" t="s">
        <v>327</v>
      </c>
      <c r="G17" s="114" t="s">
        <v>277</v>
      </c>
      <c r="H17" s="115">
        <v>24</v>
      </c>
      <c r="I17" s="116">
        <v>20</v>
      </c>
      <c r="J17" s="117">
        <f t="shared" si="0"/>
        <v>480</v>
      </c>
      <c r="K17">
        <v>6</v>
      </c>
    </row>
    <row r="18" spans="1:11" ht="22.8">
      <c r="A18" s="84"/>
      <c r="B18" s="85"/>
      <c r="C18" s="104" t="s">
        <v>328</v>
      </c>
      <c r="D18" s="104" t="s">
        <v>294</v>
      </c>
      <c r="E18" s="105" t="s">
        <v>306</v>
      </c>
      <c r="F18" s="106" t="s">
        <v>307</v>
      </c>
      <c r="G18" s="107" t="s">
        <v>15</v>
      </c>
      <c r="H18" s="108">
        <v>250</v>
      </c>
      <c r="I18" s="109">
        <v>150</v>
      </c>
      <c r="J18" s="110">
        <f t="shared" si="0"/>
        <v>37500</v>
      </c>
      <c r="K18">
        <v>60</v>
      </c>
    </row>
    <row r="19" spans="1:11">
      <c r="A19" s="84"/>
      <c r="B19" s="85"/>
      <c r="C19" s="111" t="s">
        <v>329</v>
      </c>
      <c r="D19" s="111" t="s">
        <v>298</v>
      </c>
      <c r="E19" s="112" t="s">
        <v>330</v>
      </c>
      <c r="F19" s="113" t="s">
        <v>331</v>
      </c>
      <c r="G19" s="114" t="s">
        <v>301</v>
      </c>
      <c r="H19" s="115">
        <v>250</v>
      </c>
      <c r="I19" s="116">
        <v>200</v>
      </c>
      <c r="J19" s="117">
        <f t="shared" si="0"/>
        <v>50000</v>
      </c>
      <c r="K19">
        <v>20</v>
      </c>
    </row>
    <row r="20" spans="1:11">
      <c r="A20" s="84"/>
      <c r="B20" s="85"/>
      <c r="C20" s="104" t="s">
        <v>332</v>
      </c>
      <c r="D20" s="104" t="s">
        <v>294</v>
      </c>
      <c r="E20" s="105" t="s">
        <v>333</v>
      </c>
      <c r="F20" s="106" t="s">
        <v>334</v>
      </c>
      <c r="G20" s="107" t="s">
        <v>277</v>
      </c>
      <c r="H20" s="108">
        <v>59</v>
      </c>
      <c r="I20" s="109">
        <v>120</v>
      </c>
      <c r="J20" s="110">
        <f t="shared" si="0"/>
        <v>7080</v>
      </c>
      <c r="K20">
        <v>20</v>
      </c>
    </row>
    <row r="21" spans="1:11">
      <c r="A21" s="84"/>
      <c r="B21" s="85"/>
      <c r="C21" s="111" t="s">
        <v>335</v>
      </c>
      <c r="D21" s="111" t="s">
        <v>298</v>
      </c>
      <c r="E21" s="112" t="s">
        <v>336</v>
      </c>
      <c r="F21" s="113" t="s">
        <v>337</v>
      </c>
      <c r="G21" s="114" t="s">
        <v>277</v>
      </c>
      <c r="H21" s="115">
        <v>59</v>
      </c>
      <c r="I21" s="116">
        <v>70</v>
      </c>
      <c r="J21" s="117">
        <f t="shared" si="0"/>
        <v>4130</v>
      </c>
      <c r="K21">
        <v>6</v>
      </c>
    </row>
    <row r="22" spans="1:11">
      <c r="A22" s="84"/>
      <c r="B22" s="85"/>
      <c r="C22" s="104" t="s">
        <v>338</v>
      </c>
      <c r="D22" s="104" t="s">
        <v>294</v>
      </c>
      <c r="E22" s="105" t="s">
        <v>333</v>
      </c>
      <c r="F22" s="106" t="s">
        <v>334</v>
      </c>
      <c r="G22" s="107" t="s">
        <v>277</v>
      </c>
      <c r="H22" s="108">
        <v>24</v>
      </c>
      <c r="I22" s="109">
        <v>120</v>
      </c>
      <c r="J22" s="110">
        <f t="shared" si="0"/>
        <v>2880</v>
      </c>
      <c r="K22">
        <v>6</v>
      </c>
    </row>
    <row r="23" spans="1:11" ht="22.8">
      <c r="A23" s="84"/>
      <c r="B23" s="85"/>
      <c r="C23" s="111" t="s">
        <v>339</v>
      </c>
      <c r="D23" s="111" t="s">
        <v>298</v>
      </c>
      <c r="E23" s="112" t="s">
        <v>340</v>
      </c>
      <c r="F23" s="113" t="s">
        <v>341</v>
      </c>
      <c r="G23" s="114" t="s">
        <v>277</v>
      </c>
      <c r="H23" s="115">
        <v>24</v>
      </c>
      <c r="I23" s="116">
        <v>1000</v>
      </c>
      <c r="J23" s="117">
        <f t="shared" si="0"/>
        <v>24000</v>
      </c>
      <c r="K23">
        <v>6</v>
      </c>
    </row>
    <row r="24" spans="1:11" ht="22.8">
      <c r="A24" s="84"/>
      <c r="B24" s="85"/>
      <c r="C24" s="104" t="s">
        <v>342</v>
      </c>
      <c r="D24" s="104" t="s">
        <v>294</v>
      </c>
      <c r="E24" s="105" t="s">
        <v>343</v>
      </c>
      <c r="F24" s="106" t="s">
        <v>344</v>
      </c>
      <c r="G24" s="107" t="s">
        <v>277</v>
      </c>
      <c r="H24" s="108">
        <v>24</v>
      </c>
      <c r="I24" s="109">
        <v>60</v>
      </c>
      <c r="J24" s="110">
        <f t="shared" si="0"/>
        <v>1440</v>
      </c>
      <c r="K24">
        <v>6</v>
      </c>
    </row>
    <row r="25" spans="1:11">
      <c r="A25" s="84"/>
      <c r="B25" s="85"/>
      <c r="C25" s="111" t="s">
        <v>345</v>
      </c>
      <c r="D25" s="111" t="s">
        <v>298</v>
      </c>
      <c r="E25" s="112" t="s">
        <v>346</v>
      </c>
      <c r="F25" s="113" t="s">
        <v>347</v>
      </c>
      <c r="G25" s="114" t="s">
        <v>277</v>
      </c>
      <c r="H25" s="115">
        <v>24</v>
      </c>
      <c r="I25" s="116">
        <v>10</v>
      </c>
      <c r="J25" s="117">
        <f t="shared" si="0"/>
        <v>240</v>
      </c>
      <c r="K25">
        <v>6</v>
      </c>
    </row>
    <row r="26" spans="1:11">
      <c r="A26" s="84"/>
      <c r="B26" s="85"/>
      <c r="C26" s="104" t="s">
        <v>348</v>
      </c>
      <c r="D26" s="104" t="s">
        <v>294</v>
      </c>
      <c r="E26" s="105" t="s">
        <v>349</v>
      </c>
      <c r="F26" s="106" t="s">
        <v>350</v>
      </c>
      <c r="G26" s="107" t="s">
        <v>277</v>
      </c>
      <c r="H26" s="108">
        <v>12</v>
      </c>
      <c r="I26" s="109">
        <v>600</v>
      </c>
      <c r="J26" s="110">
        <f t="shared" si="0"/>
        <v>7200</v>
      </c>
      <c r="K26">
        <v>5</v>
      </c>
    </row>
    <row r="27" spans="1:11">
      <c r="A27" s="84"/>
      <c r="B27" s="85"/>
      <c r="C27" s="111" t="s">
        <v>351</v>
      </c>
      <c r="D27" s="111" t="s">
        <v>298</v>
      </c>
      <c r="E27" s="112" t="s">
        <v>352</v>
      </c>
      <c r="F27" s="113" t="s">
        <v>353</v>
      </c>
      <c r="G27" s="114" t="s">
        <v>13</v>
      </c>
      <c r="H27" s="115">
        <v>12</v>
      </c>
      <c r="I27" s="116">
        <v>500</v>
      </c>
      <c r="J27" s="117">
        <f t="shared" si="0"/>
        <v>6000</v>
      </c>
      <c r="K27">
        <v>1</v>
      </c>
    </row>
    <row r="28" spans="1:11" ht="22.8">
      <c r="A28" s="84"/>
      <c r="B28" s="85"/>
      <c r="C28" s="104" t="s">
        <v>354</v>
      </c>
      <c r="D28" s="104" t="s">
        <v>294</v>
      </c>
      <c r="E28" s="105" t="s">
        <v>355</v>
      </c>
      <c r="F28" s="106" t="s">
        <v>356</v>
      </c>
      <c r="G28" s="107" t="s">
        <v>277</v>
      </c>
      <c r="H28" s="108">
        <v>6</v>
      </c>
      <c r="I28" s="109">
        <v>5000</v>
      </c>
      <c r="J28" s="110">
        <f t="shared" si="0"/>
        <v>30000</v>
      </c>
      <c r="K28">
        <v>1</v>
      </c>
    </row>
    <row r="29" spans="1:11">
      <c r="A29" s="84"/>
      <c r="B29" s="87"/>
      <c r="C29" s="88"/>
      <c r="D29" s="88"/>
      <c r="E29" s="88"/>
      <c r="F29" s="88"/>
      <c r="G29" s="88"/>
      <c r="H29" s="88"/>
      <c r="I29" s="88"/>
      <c r="J29" s="88"/>
    </row>
    <row r="30" spans="1:11">
      <c r="A30" s="128"/>
      <c r="B30" s="166"/>
      <c r="C30" s="166"/>
      <c r="D30" s="166"/>
      <c r="E30" s="166"/>
      <c r="F30" s="167" t="s">
        <v>1346</v>
      </c>
      <c r="G30" s="166"/>
      <c r="H30" s="166"/>
      <c r="I30" s="166"/>
      <c r="J30" s="166"/>
    </row>
    <row r="31" spans="1:11">
      <c r="F31" s="118" t="s">
        <v>364</v>
      </c>
      <c r="G31" t="s">
        <v>277</v>
      </c>
      <c r="K31">
        <v>16</v>
      </c>
    </row>
    <row r="32" spans="1:11">
      <c r="F32" s="118" t="s">
        <v>357</v>
      </c>
      <c r="G32" t="s">
        <v>277</v>
      </c>
      <c r="K32">
        <v>1</v>
      </c>
    </row>
    <row r="33" spans="6:11">
      <c r="F33" s="118" t="s">
        <v>358</v>
      </c>
      <c r="G33" t="s">
        <v>15</v>
      </c>
      <c r="K33">
        <v>25</v>
      </c>
    </row>
    <row r="34" spans="6:11">
      <c r="F34" s="118" t="s">
        <v>359</v>
      </c>
      <c r="G34" t="s">
        <v>15</v>
      </c>
      <c r="K34">
        <v>40</v>
      </c>
    </row>
    <row r="35" spans="6:11">
      <c r="F35" s="118" t="s">
        <v>360</v>
      </c>
      <c r="G35" t="s">
        <v>15</v>
      </c>
      <c r="K35">
        <v>60</v>
      </c>
    </row>
    <row r="36" spans="6:11">
      <c r="F36" s="118" t="s">
        <v>361</v>
      </c>
      <c r="G36" t="s">
        <v>277</v>
      </c>
      <c r="K36">
        <v>10</v>
      </c>
    </row>
    <row r="37" spans="6:11">
      <c r="F37" s="118" t="s">
        <v>362</v>
      </c>
      <c r="G37" t="s">
        <v>277</v>
      </c>
      <c r="K37">
        <v>6</v>
      </c>
    </row>
    <row r="38" spans="6:11">
      <c r="F38" s="118" t="s">
        <v>363</v>
      </c>
      <c r="G38" t="s">
        <v>277</v>
      </c>
      <c r="K38">
        <v>6</v>
      </c>
    </row>
    <row r="40" spans="6:11">
      <c r="F40" s="118" t="s">
        <v>366</v>
      </c>
    </row>
    <row r="41" spans="6:11">
      <c r="F41" s="118" t="s">
        <v>365</v>
      </c>
      <c r="G41" t="s">
        <v>277</v>
      </c>
      <c r="K41">
        <v>1</v>
      </c>
    </row>
    <row r="42" spans="6:11">
      <c r="F42" s="118" t="s">
        <v>367</v>
      </c>
      <c r="G42" t="s">
        <v>277</v>
      </c>
      <c r="K42">
        <v>4</v>
      </c>
    </row>
    <row r="43" spans="6:11">
      <c r="F43" s="118" t="s">
        <v>368</v>
      </c>
      <c r="G43" t="s">
        <v>277</v>
      </c>
      <c r="K43">
        <v>10</v>
      </c>
    </row>
    <row r="44" spans="6:11">
      <c r="F44" s="118" t="s">
        <v>369</v>
      </c>
      <c r="G44" t="s">
        <v>277</v>
      </c>
      <c r="K44">
        <v>15</v>
      </c>
    </row>
    <row r="46" spans="6:11">
      <c r="F46" s="113" t="s">
        <v>371</v>
      </c>
      <c r="G46" t="s">
        <v>277</v>
      </c>
      <c r="K46">
        <v>2</v>
      </c>
    </row>
    <row r="47" spans="6:11">
      <c r="F47" s="113" t="s">
        <v>370</v>
      </c>
      <c r="G47" t="s">
        <v>277</v>
      </c>
      <c r="K47">
        <v>2</v>
      </c>
    </row>
    <row r="48" spans="6:11">
      <c r="F48" s="119" t="s">
        <v>372</v>
      </c>
      <c r="G48" t="s">
        <v>277</v>
      </c>
      <c r="K48">
        <v>2</v>
      </c>
    </row>
    <row r="49" spans="6:11">
      <c r="F49" s="119" t="s">
        <v>373</v>
      </c>
      <c r="G49" t="s">
        <v>277</v>
      </c>
      <c r="K49">
        <v>2</v>
      </c>
    </row>
    <row r="50" spans="6:11">
      <c r="F50" s="119" t="s">
        <v>374</v>
      </c>
      <c r="G50" t="s">
        <v>277</v>
      </c>
    </row>
    <row r="51" spans="6:11" ht="39.6">
      <c r="F51" s="119" t="s">
        <v>375</v>
      </c>
      <c r="K51">
        <v>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DA9198FDC1A67499D1F0DC585C8806F" ma:contentTypeVersion="8" ma:contentTypeDescription="Vytvoří nový dokument" ma:contentTypeScope="" ma:versionID="0f49b71b8aab75016043457e0e4526dd">
  <xsd:schema xmlns:xsd="http://www.w3.org/2001/XMLSchema" xmlns:xs="http://www.w3.org/2001/XMLSchema" xmlns:p="http://schemas.microsoft.com/office/2006/metadata/properties" xmlns:ns2="356c7bce-1f2c-421b-a54a-4615779fc3cc" targetNamespace="http://schemas.microsoft.com/office/2006/metadata/properties" ma:root="true" ma:fieldsID="68d3192629ebd4bc2412387c7cc794da" ns2:_="">
    <xsd:import namespace="356c7bce-1f2c-421b-a54a-4615779fc3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6c7bce-1f2c-421b-a54a-4615779fc3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EEB81C-8D54-45C0-BEA3-0EDEEA1F79AB}">
  <ds:schemaRefs>
    <ds:schemaRef ds:uri="http://schemas.microsoft.com/office/2006/metadata/properties"/>
    <ds:schemaRef ds:uri="356c7bce-1f2c-421b-a54a-4615779fc3cc"/>
    <ds:schemaRef ds:uri="http://schemas.microsoft.com/office/2006/documentManagement/types"/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4653299-6A7B-4C12-81F4-66116FB540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75A827-F778-4ADC-81C1-A1A1257D1E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6c7bce-1f2c-421b-a54a-4615779fc3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dd66dd6-0730-47ae-b2f3-ba1f625c6192}" enabled="0" method="" siteId="{0dd66dd6-0730-47ae-b2f3-ba1f625c619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8</vt:i4>
      </vt:variant>
    </vt:vector>
  </HeadingPairs>
  <TitlesOfParts>
    <vt:vector size="8" baseType="lpstr">
      <vt:lpstr>Krycí list </vt:lpstr>
      <vt:lpstr>Silnoproud</vt:lpstr>
      <vt:lpstr>Slaboproud</vt:lpstr>
      <vt:lpstr>ZTI</vt:lpstr>
      <vt:lpstr>Vytapění</vt:lpstr>
      <vt:lpstr> chlazení</vt:lpstr>
      <vt:lpstr>VZT</vt:lpstr>
      <vt:lpstr>UZEM HROM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Oleksandra Liuba</dc:creator>
  <cp:keywords/>
  <dc:description/>
  <cp:lastModifiedBy>Viktoriia Kuzmenko</cp:lastModifiedBy>
  <cp:revision/>
  <dcterms:created xsi:type="dcterms:W3CDTF">2025-10-29T09:34:50Z</dcterms:created>
  <dcterms:modified xsi:type="dcterms:W3CDTF">2026-05-10T17:45:10Z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0x0101001DA9198FDC1A67499D1F0DC585C8806F</vt:lpwstr>
  </property>
</Properties>
</file>
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rokopovo\Documents\ROZPOČTOVÁNÍ\15-26 Libušská\ODĚVZDÁNÍ\"/>
    </mc:Choice>
  </mc:AlternateContent>
  <xr:revisionPtr revIDLastSave="0" documentId="8_{2BC8BB07-2AA3-43F9-BA23-C523FCDA968A}" xr6:coauthVersionLast="47" xr6:coauthVersionMax="47" xr10:uidLastSave="{00000000-0000-0000-0000-000000000000}"/>
  <bookViews>
    <workbookView xWindow="14970" yWindow="-16440" windowWidth="29040" windowHeight="15720" xr2:uid="{CF6DDD4E-4F6F-4EFE-AF6E-CC3B9B391240}"/>
  </bookViews>
  <sheets>
    <sheet name="Krycí list " sheetId="1" r:id="rId1"/>
    <sheet name="Silnoproud" sheetId="2" r:id="rId2"/>
    <sheet name="Slaboproud" sheetId="5" r:id="rId3"/>
    <sheet name="ZTI" sheetId="8" r:id="rId4"/>
    <sheet name="Vytapění" sheetId="9" r:id="rId5"/>
    <sheet name=" Chlazení" sheetId="10" r:id="rId6"/>
    <sheet name="VZT" sheetId="14" r:id="rId7"/>
    <sheet name="Uzemnění, Hromosvod" sheetId="13" r:id="rId8"/>
    <sheet name="Vnitřní kanalizace" sheetId="1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2" l="1"/>
  <c r="S31" i="2"/>
  <c r="J50" i="15"/>
  <c r="J22" i="15"/>
  <c r="J23" i="15"/>
  <c r="J24" i="15"/>
  <c r="J26" i="15"/>
  <c r="J27" i="15"/>
  <c r="J28" i="15"/>
  <c r="J29" i="15"/>
  <c r="J30" i="15"/>
  <c r="J31" i="15"/>
  <c r="J32" i="15"/>
  <c r="J33" i="15"/>
  <c r="J34" i="15"/>
  <c r="J36" i="15"/>
  <c r="J37" i="15"/>
  <c r="J38" i="15"/>
  <c r="J40" i="15"/>
  <c r="J41" i="15"/>
  <c r="J42" i="15"/>
  <c r="J43" i="15"/>
  <c r="J44" i="15"/>
  <c r="J45" i="15"/>
  <c r="J46" i="15"/>
  <c r="J47" i="15"/>
  <c r="J48" i="15"/>
  <c r="J49" i="15"/>
  <c r="J51" i="15"/>
  <c r="J52" i="15"/>
  <c r="J54" i="15"/>
  <c r="J55" i="15"/>
  <c r="J56" i="15"/>
  <c r="J57" i="15"/>
  <c r="J59" i="15"/>
  <c r="J60" i="15"/>
  <c r="J61" i="15"/>
  <c r="J62" i="15"/>
  <c r="J64" i="15"/>
  <c r="J65" i="15"/>
  <c r="J66" i="15"/>
  <c r="J67" i="15"/>
  <c r="J69" i="15"/>
  <c r="J70" i="15"/>
  <c r="J71" i="15"/>
  <c r="J72" i="15"/>
  <c r="J73" i="15"/>
  <c r="J74" i="15"/>
  <c r="J75" i="15"/>
  <c r="J76" i="15"/>
  <c r="J77" i="15"/>
  <c r="J79" i="15"/>
  <c r="J21" i="15"/>
  <c r="C13" i="15"/>
  <c r="C12" i="15"/>
  <c r="C10" i="15"/>
  <c r="B4" i="15"/>
  <c r="J9" i="14"/>
  <c r="J6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40" i="10"/>
  <c r="J41" i="10"/>
  <c r="J42" i="10"/>
  <c r="J43" i="10"/>
  <c r="J45" i="10"/>
  <c r="J46" i="10"/>
  <c r="J47" i="10"/>
  <c r="J48" i="10"/>
  <c r="J49" i="10"/>
  <c r="J5" i="10"/>
  <c r="K40" i="9"/>
  <c r="K15" i="9"/>
  <c r="K16" i="9"/>
  <c r="K17" i="9"/>
  <c r="K18" i="9"/>
  <c r="K19" i="9"/>
  <c r="K20" i="9"/>
  <c r="K21" i="9"/>
  <c r="K22" i="9"/>
  <c r="K25" i="9"/>
  <c r="K32" i="9"/>
  <c r="K33" i="9"/>
  <c r="K34" i="9"/>
  <c r="K35" i="9"/>
  <c r="K36" i="9"/>
  <c r="K38" i="9"/>
  <c r="K39" i="9"/>
  <c r="K41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1" i="9"/>
  <c r="K62" i="9"/>
  <c r="K66" i="9"/>
  <c r="K70" i="9"/>
  <c r="K74" i="9"/>
  <c r="K75" i="9"/>
  <c r="K79" i="9"/>
  <c r="K83" i="9"/>
  <c r="K90" i="9"/>
  <c r="K91" i="9"/>
  <c r="K92" i="9"/>
  <c r="K93" i="9"/>
  <c r="K95" i="9"/>
  <c r="K96" i="9"/>
  <c r="K98" i="9"/>
  <c r="K99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7" i="9"/>
  <c r="K118" i="9"/>
  <c r="K119" i="9"/>
  <c r="K120" i="9"/>
  <c r="K121" i="9"/>
  <c r="K122" i="9"/>
  <c r="K123" i="9"/>
  <c r="K124" i="9"/>
  <c r="K127" i="9"/>
  <c r="K128" i="9"/>
  <c r="K130" i="9"/>
  <c r="K131" i="9"/>
  <c r="K132" i="9"/>
  <c r="K133" i="9"/>
  <c r="K134" i="9"/>
  <c r="K135" i="9"/>
  <c r="K136" i="9"/>
  <c r="K137" i="9"/>
  <c r="K138" i="9"/>
  <c r="K140" i="9"/>
  <c r="K141" i="9"/>
  <c r="K142" i="9"/>
  <c r="K143" i="9"/>
  <c r="K144" i="9"/>
  <c r="K145" i="9"/>
  <c r="K146" i="9"/>
  <c r="K149" i="9"/>
  <c r="K150" i="9"/>
  <c r="K151" i="9"/>
  <c r="K152" i="9"/>
  <c r="K153" i="9"/>
  <c r="K158" i="9"/>
  <c r="K159" i="9"/>
  <c r="K160" i="9"/>
  <c r="K161" i="9"/>
  <c r="K165" i="9"/>
  <c r="K166" i="9"/>
  <c r="K168" i="9"/>
  <c r="K169" i="9"/>
  <c r="K170" i="9"/>
  <c r="K171" i="9"/>
  <c r="K172" i="9"/>
  <c r="K173" i="9"/>
  <c r="K174" i="9"/>
  <c r="K175" i="9"/>
  <c r="K177" i="9"/>
  <c r="K178" i="9"/>
  <c r="K179" i="9"/>
  <c r="K180" i="9"/>
  <c r="K181" i="9"/>
  <c r="K182" i="9"/>
  <c r="K183" i="9"/>
  <c r="K189" i="9"/>
  <c r="K194" i="9"/>
  <c r="K5" i="9"/>
  <c r="J83" i="9"/>
  <c r="J22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3" i="8"/>
  <c r="J24" i="8"/>
  <c r="J25" i="8"/>
  <c r="J27" i="8"/>
  <c r="J29" i="8"/>
  <c r="J31" i="8"/>
  <c r="J33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5" i="8"/>
  <c r="J4" i="5"/>
  <c r="J5" i="5"/>
  <c r="J6" i="5"/>
  <c r="J7" i="5"/>
  <c r="J9" i="5"/>
  <c r="J11" i="5"/>
  <c r="J12" i="5"/>
  <c r="J13" i="5"/>
  <c r="J15" i="5"/>
  <c r="J16" i="5"/>
  <c r="J19" i="5"/>
  <c r="J20" i="5"/>
  <c r="J21" i="5"/>
  <c r="J22" i="5"/>
  <c r="J24" i="5"/>
  <c r="J25" i="5"/>
  <c r="J26" i="5"/>
  <c r="J28" i="5"/>
  <c r="J29" i="5"/>
  <c r="J30" i="5"/>
  <c r="J31" i="5"/>
  <c r="J32" i="5"/>
  <c r="J33" i="5"/>
  <c r="J34" i="5"/>
  <c r="J35" i="5"/>
  <c r="J36" i="5"/>
  <c r="J38" i="5"/>
  <c r="J39" i="5"/>
  <c r="J40" i="5"/>
  <c r="J41" i="5"/>
  <c r="J43" i="5"/>
  <c r="J44" i="5"/>
  <c r="J45" i="5"/>
  <c r="J46" i="5"/>
  <c r="J47" i="5"/>
  <c r="J49" i="5"/>
  <c r="J50" i="5"/>
  <c r="J52" i="5"/>
  <c r="J53" i="5"/>
  <c r="J55" i="5"/>
  <c r="J56" i="5"/>
  <c r="J57" i="5"/>
  <c r="J58" i="5"/>
  <c r="J59" i="5"/>
  <c r="J60" i="5"/>
  <c r="J61" i="5"/>
  <c r="J62" i="5"/>
  <c r="J63" i="5"/>
  <c r="J64" i="5"/>
  <c r="J65" i="5"/>
  <c r="J66" i="5"/>
  <c r="J68" i="5"/>
  <c r="J69" i="5"/>
  <c r="J70" i="5"/>
  <c r="J73" i="5"/>
  <c r="J74" i="5"/>
  <c r="J75" i="5"/>
  <c r="J76" i="5"/>
  <c r="J77" i="5"/>
  <c r="J79" i="5"/>
  <c r="J80" i="5"/>
  <c r="J81" i="5"/>
  <c r="J82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9" i="5"/>
  <c r="J100" i="5"/>
  <c r="J101" i="5"/>
  <c r="J102" i="5"/>
  <c r="J104" i="5"/>
  <c r="J105" i="5"/>
  <c r="J107" i="5"/>
  <c r="J110" i="5"/>
  <c r="J111" i="5"/>
  <c r="J112" i="5"/>
  <c r="J113" i="5"/>
  <c r="J114" i="5"/>
  <c r="J115" i="5"/>
  <c r="J116" i="5"/>
  <c r="J117" i="5"/>
  <c r="J118" i="5"/>
  <c r="J120" i="5"/>
  <c r="J3" i="5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6" i="2"/>
  <c r="V57" i="2"/>
  <c r="V58" i="2"/>
  <c r="V59" i="2"/>
  <c r="V60" i="2"/>
  <c r="V61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4" i="2"/>
  <c r="V135" i="2"/>
  <c r="V136" i="2"/>
  <c r="V137" i="2"/>
  <c r="V138" i="2"/>
  <c r="V139" i="2"/>
  <c r="V140" i="2"/>
  <c r="V141" i="2"/>
  <c r="V142" i="2"/>
  <c r="V144" i="2"/>
  <c r="V145" i="2"/>
  <c r="V146" i="2"/>
  <c r="V147" i="2"/>
  <c r="V148" i="2"/>
  <c r="V149" i="2"/>
  <c r="V150" i="2"/>
  <c r="V151" i="2"/>
  <c r="V152" i="2"/>
  <c r="V153" i="2"/>
  <c r="V154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3" i="2"/>
  <c r="J68" i="14"/>
  <c r="J7" i="14"/>
  <c r="J8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5" i="14"/>
  <c r="J26" i="14"/>
  <c r="J27" i="14"/>
  <c r="J28" i="14"/>
  <c r="J29" i="14"/>
  <c r="J30" i="14"/>
  <c r="J31" i="14"/>
  <c r="J33" i="14"/>
  <c r="J35" i="14"/>
  <c r="J36" i="14"/>
  <c r="J37" i="14"/>
  <c r="J38" i="14"/>
  <c r="J39" i="14"/>
  <c r="J40" i="14"/>
  <c r="J41" i="14"/>
  <c r="J42" i="14"/>
  <c r="J43" i="14"/>
  <c r="J44" i="14"/>
  <c r="J45" i="14"/>
  <c r="J47" i="14"/>
  <c r="J49" i="14"/>
  <c r="J50" i="14"/>
  <c r="J51" i="14"/>
  <c r="J52" i="14"/>
  <c r="J53" i="14"/>
  <c r="J54" i="14"/>
  <c r="J55" i="14"/>
  <c r="J56" i="14"/>
  <c r="J57" i="14"/>
  <c r="J58" i="14"/>
  <c r="J60" i="14"/>
  <c r="J61" i="14"/>
  <c r="J62" i="14"/>
  <c r="J65" i="14"/>
  <c r="J66" i="14"/>
  <c r="J67" i="14"/>
  <c r="J5" i="14"/>
  <c r="J51" i="10"/>
  <c r="J15" i="9" l="1"/>
  <c r="J16" i="9"/>
  <c r="J17" i="9"/>
  <c r="J18" i="9"/>
  <c r="J19" i="9"/>
  <c r="J20" i="9"/>
  <c r="J21" i="9"/>
  <c r="J22" i="9"/>
  <c r="J25" i="9"/>
  <c r="J32" i="9"/>
  <c r="J33" i="9"/>
  <c r="J34" i="9"/>
  <c r="J35" i="9"/>
  <c r="J38" i="9"/>
  <c r="J39" i="9"/>
  <c r="J41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7" i="9"/>
  <c r="J58" i="9"/>
  <c r="J59" i="9"/>
  <c r="J61" i="9"/>
  <c r="J62" i="9"/>
  <c r="J66" i="9"/>
  <c r="J70" i="9"/>
  <c r="J74" i="9"/>
  <c r="J75" i="9"/>
  <c r="J79" i="9"/>
  <c r="J90" i="9"/>
  <c r="J91" i="9"/>
  <c r="J92" i="9"/>
  <c r="J93" i="9"/>
  <c r="J95" i="9"/>
  <c r="J96" i="9"/>
  <c r="J98" i="9"/>
  <c r="J99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7" i="9"/>
  <c r="J118" i="9"/>
  <c r="J119" i="9"/>
  <c r="J120" i="9"/>
  <c r="J121" i="9"/>
  <c r="J122" i="9"/>
  <c r="J123" i="9"/>
  <c r="J124" i="9"/>
  <c r="J127" i="9"/>
  <c r="J128" i="9"/>
  <c r="J130" i="9"/>
  <c r="J131" i="9"/>
  <c r="J132" i="9"/>
  <c r="J133" i="9"/>
  <c r="J134" i="9"/>
  <c r="J135" i="9"/>
  <c r="J136" i="9"/>
  <c r="J137" i="9"/>
  <c r="J138" i="9"/>
  <c r="J140" i="9"/>
  <c r="J141" i="9"/>
  <c r="J142" i="9"/>
  <c r="J143" i="9"/>
  <c r="J144" i="9"/>
  <c r="J145" i="9"/>
  <c r="J149" i="9"/>
  <c r="J150" i="9"/>
  <c r="J151" i="9"/>
  <c r="J152" i="9"/>
  <c r="J153" i="9"/>
  <c r="J158" i="9"/>
  <c r="J159" i="9"/>
  <c r="J160" i="9"/>
  <c r="J165" i="9"/>
  <c r="J166" i="9"/>
  <c r="J168" i="9"/>
  <c r="J169" i="9"/>
  <c r="J170" i="9"/>
  <c r="J171" i="9"/>
  <c r="J172" i="9"/>
  <c r="J173" i="9"/>
  <c r="J174" i="9"/>
  <c r="J175" i="9"/>
  <c r="J177" i="9"/>
  <c r="J178" i="9"/>
  <c r="J179" i="9"/>
  <c r="J180" i="9"/>
  <c r="J181" i="9"/>
  <c r="J182" i="9"/>
  <c r="J5" i="9"/>
  <c r="J50" i="10"/>
  <c r="G28" i="13" l="1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4" i="13"/>
  <c r="V3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Viktoriia Kuzmenko</author>
  </authors>
  <commentList>
    <comment ref="G25" authorId="0" shapeId="0" xr:uid="{3D10E5CD-57C0-46AA-A8A2-5FAA34D7E48C}">
      <text>
        <r>
          <rPr>
            <b/>
            <sz val="9"/>
            <color indexed="81"/>
            <rFont val="Tahoma"/>
            <family val="2"/>
            <charset val="238"/>
          </rPr>
          <t>Viktoriia Kuzmenko:</t>
        </r>
        <r>
          <rPr>
            <sz val="9"/>
            <color indexed="81"/>
            <rFont val="Tahoma"/>
            <family val="2"/>
            <charset val="238"/>
          </rPr>
          <t xml:space="preserve">
pro chlazení
</t>
        </r>
      </text>
    </comment>
  </commentList>
</comments>
</file>

<file path=xl/sharedStrings.xml><?xml version="1.0" encoding="utf-8"?>
<sst xmlns="http://schemas.openxmlformats.org/spreadsheetml/2006/main" count="2284" uniqueCount="1217">
  <si>
    <t>Informace o projektu:</t>
  </si>
  <si>
    <t>9.2.2026 mail od investora</t>
  </si>
  <si>
    <t>Profesí</t>
  </si>
  <si>
    <t>Silnoproud</t>
  </si>
  <si>
    <t>Slaboproud</t>
  </si>
  <si>
    <t>Vodovod</t>
  </si>
  <si>
    <t>Chlazení</t>
  </si>
  <si>
    <t>MJ</t>
  </si>
  <si>
    <t>Množství</t>
  </si>
  <si>
    <t>1PP</t>
  </si>
  <si>
    <t>1NP</t>
  </si>
  <si>
    <t>2 NP</t>
  </si>
  <si>
    <t>3 NP</t>
  </si>
  <si>
    <t>Strecha</t>
  </si>
  <si>
    <t>A1</t>
  </si>
  <si>
    <t>Vestavné interiérové svítidlo LED do SDK</t>
  </si>
  <si>
    <t>ks</t>
  </si>
  <si>
    <t>A2</t>
  </si>
  <si>
    <t>B1</t>
  </si>
  <si>
    <t>Přisazené interiérové svítidlo LED</t>
  </si>
  <si>
    <t>B1.1</t>
  </si>
  <si>
    <t>Vodič 3x0,75 2000mm</t>
  </si>
  <si>
    <t>B1.2</t>
  </si>
  <si>
    <t>Lankový závěs 2000mm</t>
  </si>
  <si>
    <t>18*2 'Přepočtené koeficientem množství</t>
  </si>
  <si>
    <t>B1.3</t>
  </si>
  <si>
    <t>Kalíšek stropní 80x80x32mm</t>
  </si>
  <si>
    <t>P1</t>
  </si>
  <si>
    <t>LINEA 2.4ft 6400/840,svítidlo interiérové přisazené s modulem LED 2x3200 lm, spektrum 840</t>
  </si>
  <si>
    <t>pro cely dům</t>
  </si>
  <si>
    <t>P2</t>
  </si>
  <si>
    <t>LINEA 2.4ft 8800/840,svítidlo interiérové přisazené s modulem LED 2x4400 lm, spektrum 840</t>
  </si>
  <si>
    <t>P3</t>
  </si>
  <si>
    <t>LINEA ROUND 3600/840,svítidlo interiérové přisazené s modulem LED 3600 lm, spektrum 840</t>
  </si>
  <si>
    <t>N1</t>
  </si>
  <si>
    <t>Nouzové svítidlo LED piktogram, vlastní baterie 1H doba nouzového svícení,autotest</t>
  </si>
  <si>
    <t>N2</t>
  </si>
  <si>
    <t>Vestavné  nouzové svítidlo, optika Area, Autotest, 1H</t>
  </si>
  <si>
    <t>N3</t>
  </si>
  <si>
    <t>Vestavné nouzové svítidlo optika route 7W LED, 260lm,autotest</t>
  </si>
  <si>
    <t>N4</t>
  </si>
  <si>
    <t>Přisazené svítidlo NO, area, barva černá, autotest</t>
  </si>
  <si>
    <t>N5</t>
  </si>
  <si>
    <t>Přisazené/nástěnné nouzové svítidlo-Piktogram</t>
  </si>
  <si>
    <t>N6</t>
  </si>
  <si>
    <t>Přisazené nouzové svítidlo-optika route</t>
  </si>
  <si>
    <t>N7</t>
  </si>
  <si>
    <t>Přisazené nouzové svítidlo-Piktogram</t>
  </si>
  <si>
    <t>N7.1</t>
  </si>
  <si>
    <t>Components Flag for doublesided version (for Ontec S)</t>
  </si>
  <si>
    <t>N8</t>
  </si>
  <si>
    <t>Přisazené nouzové svítidlo-optika area</t>
  </si>
  <si>
    <t>NVO</t>
  </si>
  <si>
    <t>Nouzové svítidlo Outdoor 3x1W 1h IP66, barva černá</t>
  </si>
  <si>
    <t>OS20</t>
  </si>
  <si>
    <t>Vestavné svítidlo 43,2W LED 3000K, barva bílá, opálový difuzor</t>
  </si>
  <si>
    <t>OS21</t>
  </si>
  <si>
    <t>Vestavné svítidlo DEEP 1.0 PAR16 W GU10, barva bílá, IP44</t>
  </si>
  <si>
    <t>OS22</t>
  </si>
  <si>
    <t>LED žárovka GU10 P7WDIM stmívatelná</t>
  </si>
  <si>
    <t>ZRC</t>
  </si>
  <si>
    <t>Svítidlo nad Zrcadlo</t>
  </si>
  <si>
    <t>OS23</t>
  </si>
  <si>
    <t>Přisazené/závěsné svítidlo LED</t>
  </si>
  <si>
    <t>OS23.1</t>
  </si>
  <si>
    <t>Sada pro zavěšení 4000mm, lanka 3ks, kabel 4x0,75mm, kalíšek</t>
  </si>
  <si>
    <t>KUCH LINKA</t>
  </si>
  <si>
    <t>LED pásek v profilu s opálovým difuzorem, včetně nápajení nestmívatelné, výkon pásku a typ profilu se bude dále specifikovat</t>
  </si>
  <si>
    <t>m</t>
  </si>
  <si>
    <t>OS04</t>
  </si>
  <si>
    <t>TAIO ROUND IP65 WALL SURFACE 1.0 LED 10.5W CRI90 3000K BLACK</t>
  </si>
  <si>
    <t>OSV</t>
  </si>
  <si>
    <t>Montáž svítidel</t>
  </si>
  <si>
    <t>Přístroje</t>
  </si>
  <si>
    <t/>
  </si>
  <si>
    <t>741112061</t>
  </si>
  <si>
    <t>Montáž krabice přístrojová zapuštěná plastová kruhová</t>
  </si>
  <si>
    <t>kus</t>
  </si>
  <si>
    <t>34571511</t>
  </si>
  <si>
    <t>krabice přístrojová instalační 500V, D 69mmx30mm</t>
  </si>
  <si>
    <t>741112101</t>
  </si>
  <si>
    <t>Montáž rozvodka zapuštěná plastová kruhová</t>
  </si>
  <si>
    <t>34571519</t>
  </si>
  <si>
    <t>krabice univerzální odbočná z PH s víčkem, D 73,5mmx43mm</t>
  </si>
  <si>
    <t>Pol109</t>
  </si>
  <si>
    <t>svorkovnice krabicová 273-102 4x1-2,5mm2</t>
  </si>
  <si>
    <t>Pol110</t>
  </si>
  <si>
    <t>svorkovnice krabicová 273-103 8x1-2,5mm2</t>
  </si>
  <si>
    <t>Pol111</t>
  </si>
  <si>
    <t>svorkovnice krabicová 273-104 3x1-2,5mm2</t>
  </si>
  <si>
    <t>Pol112</t>
  </si>
  <si>
    <t>svorkovnice krabicová 273-105 5x1-2,5mm2</t>
  </si>
  <si>
    <t>Pol114</t>
  </si>
  <si>
    <t>ekvipotenciální svorkovnice</t>
  </si>
  <si>
    <t>741310201</t>
  </si>
  <si>
    <t>Montáž vypínač (polo)zapuštěný šroubové připojení 1-jednopólový</t>
  </si>
  <si>
    <t>34535512</t>
  </si>
  <si>
    <t>spínač jednopólový 10A bílý, komplet včetně rámečku</t>
  </si>
  <si>
    <t>741310206</t>
  </si>
  <si>
    <t>Montáž ¨termostat</t>
  </si>
  <si>
    <t>term</t>
  </si>
  <si>
    <t>Termostat digitální</t>
  </si>
  <si>
    <t>741310221</t>
  </si>
  <si>
    <t>Montáž spínač (polo)zapuštěný šroubové připojení řazení 2-pro žaluzie</t>
  </si>
  <si>
    <t>sp1</t>
  </si>
  <si>
    <t>Spínač žaluziový bílý, komplet včetně rámečku</t>
  </si>
  <si>
    <t>741310231</t>
  </si>
  <si>
    <t>Montáž přepínač (polo)zapuštěný šroubové připojení 5-seriový</t>
  </si>
  <si>
    <t>34535573</t>
  </si>
  <si>
    <t>spínač řazení 5 10A bílý, komplet včetně rámečku</t>
  </si>
  <si>
    <t>741310233</t>
  </si>
  <si>
    <t>Montáž přepínač (polo)zapuštěný šroubové připojení 6-střídavý</t>
  </si>
  <si>
    <t>sp2</t>
  </si>
  <si>
    <t>Spínač řazení 6 bílý, komplet včetně rámečku</t>
  </si>
  <si>
    <t>741310239</t>
  </si>
  <si>
    <t>Montáž přepínač (polo)zapuštěný šroubové připojení 7-křížový</t>
  </si>
  <si>
    <t>sp3</t>
  </si>
  <si>
    <t>Spínač řazení 7 bílý, komplet včetěn rámečku</t>
  </si>
  <si>
    <t>34535054</t>
  </si>
  <si>
    <t>spínač nástěnný jednopólový, řazení 1, IP54, šroubové svorky</t>
  </si>
  <si>
    <t>741311004</t>
  </si>
  <si>
    <t>Montáž čidlo pohybu nástěnné se zapojením vodičů</t>
  </si>
  <si>
    <t>čid</t>
  </si>
  <si>
    <t>Pohybové čidlo nástěnné 360°</t>
  </si>
  <si>
    <t>741313002</t>
  </si>
  <si>
    <t>Montáž zásuvka (polo)zapuštěná bezšroubové připojení 2P+PE dvojí zapojení - průběžná</t>
  </si>
  <si>
    <t>34555100</t>
  </si>
  <si>
    <t>zásuvka 1násobná 16A bílá</t>
  </si>
  <si>
    <t>RMAT0042</t>
  </si>
  <si>
    <t>zásuvka kompletní 16A/230V IP44</t>
  </si>
  <si>
    <t>741313008</t>
  </si>
  <si>
    <t>Montáž zásuvek domovních se zapojením vodičů bezšroubové připojení nástěnných nebo do parapetních kanálů 2x (2P + PE) dvojnásobná</t>
  </si>
  <si>
    <t>Rozváděče</t>
  </si>
  <si>
    <t>Rozv1</t>
  </si>
  <si>
    <t>Rozváděč bytový</t>
  </si>
  <si>
    <t>Rozv3-m</t>
  </si>
  <si>
    <t>REA-RED - montář rozváděč elektroměrový skříňový včetně požárních dveří</t>
  </si>
  <si>
    <t>Rozv3</t>
  </si>
  <si>
    <t>REA - Rozváděč elektroměrový nástěnný včetně požárních dveří</t>
  </si>
  <si>
    <t>Rozv7</t>
  </si>
  <si>
    <t>RS - Rozváděč pro společné prostory nástěnný včetně požárních dveří (RS-D)</t>
  </si>
  <si>
    <t>1*4 'Přepočtené koeficientem množství</t>
  </si>
  <si>
    <t>Rozv8</t>
  </si>
  <si>
    <t>RKOT - rozváděč pro kotelnu</t>
  </si>
  <si>
    <t>Rozv9</t>
  </si>
  <si>
    <t>RCEP- rozváděč pro čerpání</t>
  </si>
  <si>
    <t>Rozv10</t>
  </si>
  <si>
    <t>UPS 10kW 45min</t>
  </si>
  <si>
    <t>Rozv4</t>
  </si>
  <si>
    <t>REB - Rozváděč elektroměrový nástěnný včetně požárních dveří</t>
  </si>
  <si>
    <t>Rozv5</t>
  </si>
  <si>
    <t>REC - Rozváděč elektroměrový nástěnný včetně požárních dveří</t>
  </si>
  <si>
    <t>Rozv6</t>
  </si>
  <si>
    <t>RED - Rozváděč elektroměrový nástěnný včetně požárních dveří</t>
  </si>
  <si>
    <t>Rozv4-m</t>
  </si>
  <si>
    <t>RS - montáž rozváděče pro splečné prostory včetně požárních dveří</t>
  </si>
  <si>
    <t>Rozv5-m</t>
  </si>
  <si>
    <t>Rkot- montáž rozváděče kotelny</t>
  </si>
  <si>
    <t>Rozv6-m</t>
  </si>
  <si>
    <t>Rcep- montáž rozváděče pro čerpadla</t>
  </si>
  <si>
    <t>rozv-m</t>
  </si>
  <si>
    <t>Montáž rozcáděče bytového včetně zapojení vodičů</t>
  </si>
  <si>
    <t>Rozvo2-m</t>
  </si>
  <si>
    <t xml:space="preserve">RE - Montáž rozváděč elektroměrový pod omítkou </t>
  </si>
  <si>
    <t>Rozv2</t>
  </si>
  <si>
    <t>RE - rozváděč elektroměrový pod omítkou nepřímé měření</t>
  </si>
  <si>
    <t>Rozv12</t>
  </si>
  <si>
    <t>Rozv13</t>
  </si>
  <si>
    <t>Rozv11</t>
  </si>
  <si>
    <t>NAB</t>
  </si>
  <si>
    <t>Nabíjecí stanice venkvoní na stěnu 22kW</t>
  </si>
  <si>
    <t>Rozvaděč podohrev vody RV</t>
  </si>
  <si>
    <t>Kabely</t>
  </si>
  <si>
    <t>741410072</t>
  </si>
  <si>
    <t>Montáž pospojování ochranné konstrukce ostatní vodičem do 16 mm2 uloženým pevně</t>
  </si>
  <si>
    <t>34140825</t>
  </si>
  <si>
    <t>vodič silový s Cu jádrem 4mm2 (CY H07 V-U)</t>
  </si>
  <si>
    <t>34140826</t>
  </si>
  <si>
    <t>vodič silový s Cu jádrem 6mm2 (CY)</t>
  </si>
  <si>
    <t>741130001</t>
  </si>
  <si>
    <t>Ukončení vodič izolovaný do 2,5 mm2 v rozváděči nebo na přístroji</t>
  </si>
  <si>
    <t>741130003</t>
  </si>
  <si>
    <t>Ukončení vodič izolovaný do 4 mm2 v rozváděči nebo na přístroji</t>
  </si>
  <si>
    <t>741130005</t>
  </si>
  <si>
    <t>Ukončení vodič izolovaný do 10 mm2 v rozváděči nebo na přístroji</t>
  </si>
  <si>
    <t>741130008</t>
  </si>
  <si>
    <t>Ukončení vodič izolovaný do 35 mm2 v rozváděči nebo na přístroji</t>
  </si>
  <si>
    <t>741130012</t>
  </si>
  <si>
    <t>Ukončení vodič izolovaný do 70 mm2 v rozváděči nebo na přístroji</t>
  </si>
  <si>
    <t>741130014</t>
  </si>
  <si>
    <t>Ukončení vodič izolovaný do 120 mm2 v rozváděči nebo na přístroji</t>
  </si>
  <si>
    <t>741122641</t>
  </si>
  <si>
    <t>Montáž kabel Cu plný kulatý žíla 5x1,5 až 2,5 mm2 uložený pevně (např. CYKY)</t>
  </si>
  <si>
    <t>34111090</t>
  </si>
  <si>
    <t>kabel silový s Cu jádrem 1kV 5x1,5mm2 (CYKY)</t>
  </si>
  <si>
    <t>10510*1,3 'Přepočtené koeficientem množství</t>
  </si>
  <si>
    <t>34111094</t>
  </si>
  <si>
    <t>kabel silový s Cu jádrem 1kV 5x2,5mm2 (CYKY)</t>
  </si>
  <si>
    <t>2250*1,3 'Přepočtené koeficientem množství</t>
  </si>
  <si>
    <t>741122011</t>
  </si>
  <si>
    <t>Montáž kabel Cu bez ukončení uložený pod omítku plný kulatý 3x1,5 až 2,5 mm2 (např. CYKY)</t>
  </si>
  <si>
    <t>34111030</t>
  </si>
  <si>
    <t>kabel silový s Cu jádrem 1kV 3x1,5mm2 (CYKY)</t>
  </si>
  <si>
    <t>17700*1,2 'Přepočtené koeficientem množství</t>
  </si>
  <si>
    <t>34111036</t>
  </si>
  <si>
    <t>kabel silový s Cu jádrem 1kV 3x2,5mm2 (CYKY)</t>
  </si>
  <si>
    <t>26490*1,2 'Přepočtené koeficientem množství</t>
  </si>
  <si>
    <t>741122032</t>
  </si>
  <si>
    <t>Montáž kabel Cu bez ukončení uložený pod omítku plný kulatý 5x4 až 6 mm2 (např. CYKY)</t>
  </si>
  <si>
    <t>34111098</t>
  </si>
  <si>
    <t>kabel silový s Cu jádrem 1kV 5x4mm2 (CYKY)</t>
  </si>
  <si>
    <t>320*1,2 'Přepočtené koeficientem množství</t>
  </si>
  <si>
    <t>741122033</t>
  </si>
  <si>
    <t>Montáž kabel Cu bez ukončení uložený pod omítku plný kulatý 5x10 mm2 (např. CYKY)</t>
  </si>
  <si>
    <t>34111076</t>
  </si>
  <si>
    <t>kabel silový s Cu jádrem 1kV 5x10mm2 (CYKY)</t>
  </si>
  <si>
    <t>1200*1,3 'Přepočtené koeficientem množství</t>
  </si>
  <si>
    <t>741122625</t>
  </si>
  <si>
    <t>Montáž kabel Cu plný kulatý žíla 5x35 mm2 uložený pevně (např. CYKY)</t>
  </si>
  <si>
    <t>34111620</t>
  </si>
  <si>
    <t>kabel silový s Cu jádrem 1kV 5x35mm2 (1-CYKY)</t>
  </si>
  <si>
    <t>50*1,2 'Přepočtené koeficientem množství</t>
  </si>
  <si>
    <t>741122625-1</t>
  </si>
  <si>
    <t>Montáž kabel Cu plný kulatý žíla 4x35 mm2 uložený pevně (např. CYKY)</t>
  </si>
  <si>
    <t>34111620-1</t>
  </si>
  <si>
    <t>kabel silový s Cu jádrem 1kV 4x35mm2 (1-CYKY)</t>
  </si>
  <si>
    <t>300*1,2 'Přepočtené koeficientem množství</t>
  </si>
  <si>
    <t>741122631</t>
  </si>
  <si>
    <t>Montáž kabel Cu plný kulatý žíla 5x25 mm2 uložený pevně (např. CYKY)</t>
  </si>
  <si>
    <t>34111610</t>
  </si>
  <si>
    <t>kabel silový s Cu jádrem 1kV 5x25mm2 (1-CYKY)</t>
  </si>
  <si>
    <t>741122644</t>
  </si>
  <si>
    <t>Montáž kabel Cu plný kulatý žíla 5x16 mm2 uložený pevně (např. CYKY)</t>
  </si>
  <si>
    <t>260*1,3 'Přepočtené koeficientem množství</t>
  </si>
  <si>
    <t>34111080</t>
  </si>
  <si>
    <t>kabel silový s Cu jádrem 1kV 5x16mm2 (CYKY)</t>
  </si>
  <si>
    <t>741124601</t>
  </si>
  <si>
    <t>Montáž kabel Cu topný volné délky uložený do podlahy nebo stěny</t>
  </si>
  <si>
    <t>top2</t>
  </si>
  <si>
    <t>Topný kabel do rampy</t>
  </si>
  <si>
    <t>1200*1,2 'Přepočtené koeficientem množství</t>
  </si>
  <si>
    <t>top3</t>
  </si>
  <si>
    <t>Čidla do rampy + regulace</t>
  </si>
  <si>
    <t>741124603</t>
  </si>
  <si>
    <t>Montáž kabel Cu topný volné délky uložený na konstrukci</t>
  </si>
  <si>
    <t>top1</t>
  </si>
  <si>
    <t>Topný kabel samoregulační pro otápění potrubí 30W/m</t>
  </si>
  <si>
    <t>741124733</t>
  </si>
  <si>
    <t>Montáž kabel Cu stíněný ovládací žíly 2 až 19x1 mm2 uložený pevně (např. JYTY)</t>
  </si>
  <si>
    <t>kab1</t>
  </si>
  <si>
    <t>Kabel JYTY 7x1</t>
  </si>
  <si>
    <t>4200*1,2 'Přepočtené koeficientem množství</t>
  </si>
  <si>
    <t>Ulož</t>
  </si>
  <si>
    <t>Úložný systém</t>
  </si>
  <si>
    <t>741910413</t>
  </si>
  <si>
    <t>Montáž žlab kovový šířky do 125 mm bez víka</t>
  </si>
  <si>
    <t>34575493</t>
  </si>
  <si>
    <t>žlab kabelový pozinkovaný 2m/ks 100X125</t>
  </si>
  <si>
    <t>741910303</t>
  </si>
  <si>
    <t>Montáž rošt a lávka typová se stojinou,výložníky a odbočkami pozinkovaná - stoupačka</t>
  </si>
  <si>
    <t>lávka</t>
  </si>
  <si>
    <t>Kabelová lávka 500x60</t>
  </si>
  <si>
    <t>741910611</t>
  </si>
  <si>
    <t>Montáž příchytka kovová pro kabelové lávky a žebříky kabel D do 40 mm</t>
  </si>
  <si>
    <t>přích</t>
  </si>
  <si>
    <t>příchytka kabelu na Lávku</t>
  </si>
  <si>
    <t>741110042</t>
  </si>
  <si>
    <t>Montáž trubka plastová ohebná D přes 23 do 35 mm uložená pevně</t>
  </si>
  <si>
    <t>34571065</t>
  </si>
  <si>
    <t>trubka elektroinstalační ohebná z PVC (ČSN) 2336</t>
  </si>
  <si>
    <t>34571073</t>
  </si>
  <si>
    <t>trubka elektroinstalační ohebná z PVC (EN) 2325</t>
  </si>
  <si>
    <t>Ostatní</t>
  </si>
  <si>
    <t>HZS4211</t>
  </si>
  <si>
    <t>Hodinová zúčtovací sazba revizní technik</t>
  </si>
  <si>
    <t>hod</t>
  </si>
  <si>
    <t>HZS4232</t>
  </si>
  <si>
    <t>Hodinová zúčtovací sazba technik odborný</t>
  </si>
  <si>
    <t>Pol337</t>
  </si>
  <si>
    <t>Ostatní nespecifikovaný drobný montážní a upevňovací materiál</t>
  </si>
  <si>
    <t>kpl</t>
  </si>
  <si>
    <t>MECH</t>
  </si>
  <si>
    <t>Mechanizační prostředky</t>
  </si>
  <si>
    <t>741810003</t>
  </si>
  <si>
    <t>Celková prohlídka elektrického rozvodu a zařízení do 1 milionu Kč</t>
  </si>
  <si>
    <t>741810011</t>
  </si>
  <si>
    <t>Příplatek k celkové prohlídce za každých dalších 500 000,- Kč</t>
  </si>
  <si>
    <t>OST2</t>
  </si>
  <si>
    <t>Požární ucpávky</t>
  </si>
  <si>
    <t>m2</t>
  </si>
  <si>
    <t>OST3</t>
  </si>
  <si>
    <t>Zaškolení obsluhy</t>
  </si>
  <si>
    <t>OST4</t>
  </si>
  <si>
    <t>Stavební přípomoci</t>
  </si>
  <si>
    <t>OST5</t>
  </si>
  <si>
    <t>Úklid pracoviště, pomocné lešení, mechanizace</t>
  </si>
  <si>
    <t>468101121</t>
  </si>
  <si>
    <t>Vysekání rýh pro montáž trubek a kabelů v kamenných nebo betonových zdech hloubky přes 3 do 5 cm a šířky do 5 cm</t>
  </si>
  <si>
    <t>VZT - 230V, 1-ot., doběhové relé, připojení  a odzkoušení</t>
  </si>
  <si>
    <t>VZT - rekuperace, vývody 230V, tlačítka/boost - příprava</t>
  </si>
  <si>
    <t>Ústředna RWA - napájení, přívod 230V</t>
  </si>
  <si>
    <t>Příprava pro kuchyňské linky</t>
  </si>
  <si>
    <t>Vývod pro rozvaděč SLP</t>
  </si>
  <si>
    <t>Vývod pro HWAT-R</t>
  </si>
  <si>
    <t>Vývod pro rolety (volný konec kabelu v kaslíku s rez. 1,5m)</t>
  </si>
  <si>
    <t>ZTI - vyhřívané vpusti - připojení a odzkoušení</t>
  </si>
  <si>
    <t>UT - vývod 230V pro rozdělovače podlahového topení</t>
  </si>
  <si>
    <t xml:space="preserve">EZS - vývod 230V </t>
  </si>
  <si>
    <t>ZTI/AZS - příprava, vývod 230V, propojení do šachty</t>
  </si>
  <si>
    <t xml:space="preserve">Chlazení bytů - 230V </t>
  </si>
  <si>
    <t>Vyvod pro zapojeni filtru z proplachem</t>
  </si>
  <si>
    <t>Pol1</t>
  </si>
  <si>
    <t>Trubka  1423, 320N, pod omítku/do podlahy, vč. zasekání</t>
  </si>
  <si>
    <t>Pol2</t>
  </si>
  <si>
    <t>Trubka  1436, 320N, pod omítku/do podlahy, vč. zasekání</t>
  </si>
  <si>
    <t>Pol3</t>
  </si>
  <si>
    <t>Trubka  1416, 320N, pod omítku/do podlahy, vč. zasekání</t>
  </si>
  <si>
    <t>Pol4</t>
  </si>
  <si>
    <t>Trubka 1250, 750N, vč. příchytky (do stoupacích vedení a podhledů)</t>
  </si>
  <si>
    <t>Pol5</t>
  </si>
  <si>
    <t>Krabice přístrojová pod omítku</t>
  </si>
  <si>
    <t>D3</t>
  </si>
  <si>
    <t>Pol6</t>
  </si>
  <si>
    <t>Kabel UTP 4páry kat. 5e, AWG24</t>
  </si>
  <si>
    <t>D4</t>
  </si>
  <si>
    <t>Rozvaděče, zásuvky, ukončovací hw</t>
  </si>
  <si>
    <t>Pol7</t>
  </si>
  <si>
    <t>Plastová rozvodnice pod omítku  24 modulů , bílé dveře,  délka 446/ šířka 346/ hloubka 88mm</t>
  </si>
  <si>
    <t>Pol8</t>
  </si>
  <si>
    <t>Kompletní datová zásuvka 1x RJ45 bílá pro rozvod domovní instalace internetu (Design zásuvek sjednotit se zásuvkami 230V)</t>
  </si>
  <si>
    <t>Pol9</t>
  </si>
  <si>
    <t>Modul na DIN lištu pro jeden keystone kat. 5e, plastový</t>
  </si>
  <si>
    <t>D5</t>
  </si>
  <si>
    <t>Pol10</t>
  </si>
  <si>
    <t>Zednické přípomoce a pomocné montážní práce</t>
  </si>
  <si>
    <t>Pol11</t>
  </si>
  <si>
    <t>Měření metalické kabeláže, vč. měřícího protokolu</t>
  </si>
  <si>
    <t>D6</t>
  </si>
  <si>
    <t>Přístupový systém (EKV)</t>
  </si>
  <si>
    <t>D2</t>
  </si>
  <si>
    <t>Instalační materiál</t>
  </si>
  <si>
    <t>Pol12</t>
  </si>
  <si>
    <t>Pol13</t>
  </si>
  <si>
    <t>Pol14</t>
  </si>
  <si>
    <t>Pol15</t>
  </si>
  <si>
    <t>Pol16</t>
  </si>
  <si>
    <t>FTP Cat.5e LSZH, 4pár, drát, 24 AWG</t>
  </si>
  <si>
    <t>Pol17</t>
  </si>
  <si>
    <t>Kabel 2x1</t>
  </si>
  <si>
    <t>Pol18</t>
  </si>
  <si>
    <t>CYA 6 zelenožlutý ( pro uzemnění rozvodnic)</t>
  </si>
  <si>
    <t>D7</t>
  </si>
  <si>
    <t>Zařízení EKV</t>
  </si>
  <si>
    <t>Pol19</t>
  </si>
  <si>
    <t>Řídící a kontrolní jednotka pro 4 dveře (4 čtečky) + SW + plechový box se zámkem a prostorem pro aku; Připojení max. 4 čteček (Anti-passback) + 4 odchodových tlačítek; max 20000 uživatelů; max.100 000 událostí v paměti; otvírání dveří na dálku; použitelné</t>
  </si>
  <si>
    <t>Pol20</t>
  </si>
  <si>
    <t>Čtečka RFID čipů (karet) v odolném zpracování (antivandal tělo); IP66; Napájení: 12 V DC;  Typ RFID karet: MIFARE 13,56 Mhz; Výstupní formát: Wiegand 26-34 bit (34 bit přednastaveno); Čtecí vzdálenost karty: 2 - 6 cm; optická signalizace: LED dioda (červe</t>
  </si>
  <si>
    <t>Pol21</t>
  </si>
  <si>
    <t>Tlačítko nouzového otevření dveří - zelené, reset pomocí klíčku, výklopný kryt</t>
  </si>
  <si>
    <t>Pol22</t>
  </si>
  <si>
    <t>Bezkontaktní přívěšek</t>
  </si>
  <si>
    <t>Pol23</t>
  </si>
  <si>
    <t>el. otvírač, nízkoodběrový, 12V DC/230mA; vč. čelní plech krátký</t>
  </si>
  <si>
    <t>Pol24</t>
  </si>
  <si>
    <t>elektromechanický  zámek</t>
  </si>
  <si>
    <t>Pol25</t>
  </si>
  <si>
    <t>6m kabel pro zámky</t>
  </si>
  <si>
    <t>Pol26</t>
  </si>
  <si>
    <t>kabelová průchodka kovová zadlab.</t>
  </si>
  <si>
    <t>Pol27</t>
  </si>
  <si>
    <t>protiplech</t>
  </si>
  <si>
    <t>Pol28</t>
  </si>
  <si>
    <t>Pol29</t>
  </si>
  <si>
    <t>Oživení a nastavení systému</t>
  </si>
  <si>
    <t>Pol30</t>
  </si>
  <si>
    <t>Revize</t>
  </si>
  <si>
    <t>Pol31</t>
  </si>
  <si>
    <t>Funkční zkouška, uvedení systému do provozu, zaškolení obsluhy</t>
  </si>
  <si>
    <t>D8</t>
  </si>
  <si>
    <t>Domácí telefon (DT)</t>
  </si>
  <si>
    <t>Pol32</t>
  </si>
  <si>
    <t>Pol33</t>
  </si>
  <si>
    <t>Pol34</t>
  </si>
  <si>
    <t>Pol35</t>
  </si>
  <si>
    <t>Pol36</t>
  </si>
  <si>
    <t>Pol37</t>
  </si>
  <si>
    <t>D9</t>
  </si>
  <si>
    <t>Rozvaděče, propojovací hw, zdroje napájení</t>
  </si>
  <si>
    <t>Pol38</t>
  </si>
  <si>
    <t>Nástěnná ocelopl. Skříň 600/600/200, IP40, vč. dveří se zámkem, kabel. Průchodkami, DIN lišta, mont. Deska</t>
  </si>
  <si>
    <t>Pol39</t>
  </si>
  <si>
    <t>Zemnící svorkovnice</t>
  </si>
  <si>
    <t>D10</t>
  </si>
  <si>
    <t>Zařízení DT</t>
  </si>
  <si>
    <t>Pol40</t>
  </si>
  <si>
    <t>AUDIO telefon</t>
  </si>
  <si>
    <t>Pol41</t>
  </si>
  <si>
    <t>Zvonkové tlačítko (stejný design jako přístroje 230V)</t>
  </si>
  <si>
    <t>Pol42</t>
  </si>
  <si>
    <t>ZDROJ-2VOD AV SYSTEM 6DIN</t>
  </si>
  <si>
    <t>Pol43</t>
  </si>
  <si>
    <t>VIDEOROZBOČOVAČ 2 VOD</t>
  </si>
  <si>
    <t>Pol44</t>
  </si>
  <si>
    <t>ZAKONČOVACÍ ODPOR</t>
  </si>
  <si>
    <t>Pol45</t>
  </si>
  <si>
    <t>INSTAL. KRABICE DO ZDI 3M</t>
  </si>
  <si>
    <t>Pol46</t>
  </si>
  <si>
    <t>KONFIGURÁTOR, 10KS</t>
  </si>
  <si>
    <t>Pol47</t>
  </si>
  <si>
    <t>RÁM + ŠASÍ 3M</t>
  </si>
  <si>
    <t>Pol48</t>
  </si>
  <si>
    <t>BAR. AUD/VIDEO JEDN.</t>
  </si>
  <si>
    <t>Pol49</t>
  </si>
  <si>
    <t>TLAČ.MODUL 8TLAČ</t>
  </si>
  <si>
    <t>Pol50</t>
  </si>
  <si>
    <t>KABEL PRO PANELY 620MM</t>
  </si>
  <si>
    <t>Pol51</t>
  </si>
  <si>
    <t>RELE ZAP.PRO TLACITKA 2NO</t>
  </si>
  <si>
    <t>Pol52</t>
  </si>
  <si>
    <t>Pol53</t>
  </si>
  <si>
    <t>Pol54</t>
  </si>
  <si>
    <t>Funkční zkouška, uvedení systému do provozu</t>
  </si>
  <si>
    <t>D11</t>
  </si>
  <si>
    <t>Společná televizní anténa (STA)</t>
  </si>
  <si>
    <t>Pol55</t>
  </si>
  <si>
    <t>Pol56</t>
  </si>
  <si>
    <t>Trubka  1436, 320N, pod omítku/do podlahy, vč. Zasekání</t>
  </si>
  <si>
    <t>Pol57</t>
  </si>
  <si>
    <t>Pol58</t>
  </si>
  <si>
    <t>Pol59</t>
  </si>
  <si>
    <t>D12</t>
  </si>
  <si>
    <t xml:space="preserve">Kabely </t>
  </si>
  <si>
    <t>Pol60</t>
  </si>
  <si>
    <t>Koaxiální kabel 75 Ohm H125 , vnější</t>
  </si>
  <si>
    <t>Pol61</t>
  </si>
  <si>
    <t>Koaxiální kabel 75 Ohm H121 , vnitřní</t>
  </si>
  <si>
    <t>Pol62</t>
  </si>
  <si>
    <t>Propojovací kabely 250 mm F konektory</t>
  </si>
  <si>
    <t>Pol63</t>
  </si>
  <si>
    <t>Vodič CYA 6 zelenožlutý</t>
  </si>
  <si>
    <t>D13</t>
  </si>
  <si>
    <t>Rozvaděče, pasivní, aktivní prvky</t>
  </si>
  <si>
    <t>Pol64</t>
  </si>
  <si>
    <t>trojnožka 60/3-2000-650U na dlaždice, zinek žár.</t>
  </si>
  <si>
    <t>gumová podložka</t>
  </si>
  <si>
    <t>betonová dlaždice 50 x 50 x 5cm</t>
  </si>
  <si>
    <t>držák antény (na stožár 25-89mm), trubka 28/2mm, zinek žár.</t>
  </si>
  <si>
    <t>Anténa venkovní, příjem DVB-T2, zisk 16 dBi, frekvenční rozsah 470-790 MHz, integrovaný LTE/4G filtr</t>
  </si>
  <si>
    <t>Pol67</t>
  </si>
  <si>
    <t>Anténa venkovní kombinovaná venkovní anténa pro příjem rozhlasového vysílání v pásku FM a DAB/DAB+; Frekvenční rozsah: FM 87,5 ~ 108 MHz, DAB 174 ~ 230 MHz; Zisk: 1-2 Db; Š. paprsku: 360 °</t>
  </si>
  <si>
    <t>Pol68</t>
  </si>
  <si>
    <t>Konektor F na koax.kabel</t>
  </si>
  <si>
    <t>Pol69</t>
  </si>
  <si>
    <t>Rozváděč Plast PC/ABS , instalace na omítku (pro osazení přepěťové ochrany)</t>
  </si>
  <si>
    <t>Pol70</t>
  </si>
  <si>
    <t>Přepěťová ochrana TV pro koax.kabel</t>
  </si>
  <si>
    <t>Pol71</t>
  </si>
  <si>
    <t>Zásuvka koncová TV / R  včetně rámečku (Design zásuvek nutno sjednotit se zásuvkami 230V.)</t>
  </si>
  <si>
    <t>Pol72</t>
  </si>
  <si>
    <t>Zakončovací odpor 75 Ohm do zásuvek / 10 ks</t>
  </si>
  <si>
    <t>Pol73</t>
  </si>
  <si>
    <t>Vícepásmový zesil. 24 dB se  zdrojem, regulace zisku, DVB-T2</t>
  </si>
  <si>
    <t>Pol74</t>
  </si>
  <si>
    <t>Multipřepínač pro distribuci pozemních a satelitních signálů pro 12 účastníků, včetně pozemních digitálních rádiových a televizních programů; zabudovaný napájecí zdroj; zemnící svorka;</t>
  </si>
  <si>
    <t>Pol75</t>
  </si>
  <si>
    <t>Pol76</t>
  </si>
  <si>
    <t>Měření  signálu před a po instalaci</t>
  </si>
  <si>
    <t>Pol77</t>
  </si>
  <si>
    <t>Oživení systému, zaškolení obsluhy</t>
  </si>
  <si>
    <t>Pol78</t>
  </si>
  <si>
    <t>Výchozí revize, provední funkční zkoušky systému, uvedení do provozu, zaškolení obsluhy</t>
  </si>
  <si>
    <t>D14</t>
  </si>
  <si>
    <t>Autonomní detekce požáru (ADP)</t>
  </si>
  <si>
    <t>D15</t>
  </si>
  <si>
    <t>Zařízení autonomní detekce</t>
  </si>
  <si>
    <t>Pol79</t>
  </si>
  <si>
    <t>Opticko kouřový hlásič požáru napájený z 9 V baterie s 85 decibelovou sirénou,v souladu s EN14604. Další doporučené je vybavení testovací tlačítko a tlačítko pro vypnutí signalizace</t>
  </si>
  <si>
    <t>Pol80</t>
  </si>
  <si>
    <t>D16</t>
  </si>
  <si>
    <t>Společné kabelové trasy</t>
  </si>
  <si>
    <t>D17</t>
  </si>
  <si>
    <t>Hlavní horizontální a vertikální trasy</t>
  </si>
  <si>
    <t>Pol81</t>
  </si>
  <si>
    <t>Žlab kovový 250/ 100 EKZS, 2m, vč. spojky a víka žlabu</t>
  </si>
  <si>
    <t>Pol82</t>
  </si>
  <si>
    <t>Tvarové prvky a příslušenství pro žlab kovový 250/ 100 EKZS</t>
  </si>
  <si>
    <t>Pol83</t>
  </si>
  <si>
    <t>Nosník/závěs pro žlab 250/ 100,  vč. Montážního příslušenství</t>
  </si>
  <si>
    <t>Pol84</t>
  </si>
  <si>
    <t>Kov. dělící přepážka na kabel. žlabu v.100mm (pro oddělení vedení jednotlivých systémů)</t>
  </si>
  <si>
    <t>Pol85</t>
  </si>
  <si>
    <t>Žlab kovový 125/ 50 EKZS, 2m, vč. spojky a víka žlabu</t>
  </si>
  <si>
    <t>Pol86</t>
  </si>
  <si>
    <t>Tvarové prvky a příslušenství pro žlab kovový 125/ 50 EKZS</t>
  </si>
  <si>
    <t>Pol87</t>
  </si>
  <si>
    <t>Nosník/závěs pro žlab 125/ 50,  vč. Montážního příslušenství</t>
  </si>
  <si>
    <t>Pol88</t>
  </si>
  <si>
    <t>Kov. dělící přepážka na kabel. žlabu v.50mm (pro oddělení vedení jednotlivých systémů)</t>
  </si>
  <si>
    <t>Pol89</t>
  </si>
  <si>
    <t>Požární ucpávky materiál, včetně označení dle ČSN, prostup do 250/250</t>
  </si>
  <si>
    <t>Pol90</t>
  </si>
  <si>
    <t>MAR</t>
  </si>
  <si>
    <t>řízení VZT zařízení (AHU)</t>
  </si>
  <si>
    <t>MaR – časový program VZT</t>
  </si>
  <si>
    <t>MaR – signalizace poruch a filtrů</t>
  </si>
  <si>
    <t>MaR – řízení ventilátoru</t>
  </si>
  <si>
    <t>MaR – oživení, zaregulování a uvedení do provozu</t>
  </si>
  <si>
    <t>D</t>
  </si>
  <si>
    <t>04</t>
  </si>
  <si>
    <t>ZDRAVOTECHNIKA</t>
  </si>
  <si>
    <t>D1</t>
  </si>
  <si>
    <t>Zařizovací předměty</t>
  </si>
  <si>
    <t>K</t>
  </si>
  <si>
    <t>Pol001</t>
  </si>
  <si>
    <t>D-dřez kuchyňský,nerezový +baterie dřezová,stojánková + sifon + příslušenství</t>
  </si>
  <si>
    <t>Pol119</t>
  </si>
  <si>
    <t>U-umyvadlo keramické, Laufen Pro S+ baterie stojánková+ sifon, Laufen+umyvadlová výpusť + příslušenství</t>
  </si>
  <si>
    <t>Pol120</t>
  </si>
  <si>
    <t>Um-umývátko keramické, Laufen Pro S+ baterie stojánková+ sifon, Laufen+umyvadlová výpusť + příslušenství</t>
  </si>
  <si>
    <t>Pol121</t>
  </si>
  <si>
    <t>WC-závěsný keramický záchod, Laufen Pro S, montážní prvek geberit (geberit zahrnut viz kanalizace D1.410) se splachovací nádržkou, ovládací tlačítko, sedátko s poklopem + příslušenství</t>
  </si>
  <si>
    <t>Pol122</t>
  </si>
  <si>
    <t>V-vana 800x1700 mm, Laufen Pro, nástěnná páková baterie pro vany - Hansgrohe Talis E, sifon - Laufen, vypoustěcí a přepadová souprava, kontrolní dvířka + příslušenství</t>
  </si>
  <si>
    <t>Pol123</t>
  </si>
  <si>
    <t>V2-vana 700/1600 mm, Laufen Pro, nástěnná páková baterie pro vany- Hansgrohe Talis E, sifon - Laufen, vypoustěcí a přepadová souprava, kontrolní dvířka + příslušenství</t>
  </si>
  <si>
    <t>Pol124</t>
  </si>
  <si>
    <t>V3-800x1700 mm, Laufen Pro, nástěnná páková baterie pro vany- Hansgrohe Talis E, sifon - Laufen, vypoustěcí a přepadová souprava, kontrolní dvířka + příslušenství</t>
  </si>
  <si>
    <t>Pol125</t>
  </si>
  <si>
    <t>S1-sprchová vanička 800x1350mm, Laufen Pro, nástěnná páková baterie pro sprchy s ruční sprchou- Hansgrohe Talis E+ příslušenství,sprchová stěna,  odpadová souprava se sifónem, Laufen + příslušenství</t>
  </si>
  <si>
    <t>Pol126</t>
  </si>
  <si>
    <t>S2- sprchová vanička 800x960 mm, Laufen Pro, nástěnná páková baterie pro sprchy s ruční sprchou- Hansgrohe Talis E+ příslušenství,sprchová stěna,  odpadová souprava se sifónem, Laufen + příslušenství</t>
  </si>
  <si>
    <t>Pol127</t>
  </si>
  <si>
    <t>S3-sprchová vanička 800x1000 mm, Laufen Pro, nástěnná páková baterie pro sprchy s ruční sprchou- Hansgrohe Talis E+ příslušenství,sprchová stěna,  odpadová souprava se sifónem, Laufen + příslušenství</t>
  </si>
  <si>
    <t>Pol128</t>
  </si>
  <si>
    <t>S4-sprchová vanička 900x900 mm, Laufen Pro, nástěnná páková baterie pro sprchy s ruční sprchou- Hansgrohe Talis E+ příslušenství,sprchová stěna,  odpadová souprava se sifónem, Laufen + příslušenství</t>
  </si>
  <si>
    <t>Pol129</t>
  </si>
  <si>
    <t>S5-sprchová vanička 800x900 mm, Laufen Pro, nástěnná páková baterie pro sprchy s ruční sprchou- Hansgrohe Talis E+ příslušenství,sprchová stěna,  odpadová souprava se sifónem, Laufen + příslušenství</t>
  </si>
  <si>
    <t>Pol130</t>
  </si>
  <si>
    <t>S6-sprchová vanička 800/1600 mm, Laufen Pro, nástěnná páková baterie pro sprchy s ruční sprchou- Hansgrohe Talis E+ příslušenství,sprchová stěna,  odpadová souprava se sifónem, Laufen + příslušenství</t>
  </si>
  <si>
    <t>Pol131</t>
  </si>
  <si>
    <t>VL-výlevka, nástěnná baterie + příslušenství</t>
  </si>
  <si>
    <t>Pol132</t>
  </si>
  <si>
    <t>H19-vnitřní hydrant, tvarově stálá hadice 30m-DN19</t>
  </si>
  <si>
    <t>Pol133</t>
  </si>
  <si>
    <t>H25-vnitřní hydrant,  tvarově stálá hadice 30m-DN19</t>
  </si>
  <si>
    <t>Pol134</t>
  </si>
  <si>
    <t>AP-automatická pračka (*napojení viz. výkaz vodovodu/kanalizace)</t>
  </si>
  <si>
    <t>Pol135</t>
  </si>
  <si>
    <t>M-myčka nádobí (*napojení viz. výkaz vodovodu/kanalizace)</t>
  </si>
  <si>
    <t>Pol136</t>
  </si>
  <si>
    <t>ZV- zahradní ventil (*zahrnuto ve VV vodovod)</t>
  </si>
  <si>
    <t>HWAT systém</t>
  </si>
  <si>
    <t>Pol137</t>
  </si>
  <si>
    <t>Hlavní páteřní rozvod + stoupací potrubí na objektu A</t>
  </si>
  <si>
    <t>P</t>
  </si>
  <si>
    <t>Poznámka k položce:_x000D_
Samoregulační topný kabel HWAT R (12W/m při 70°C)_x000D_
Napojovací a zakončovací sada CE25-01 (kabel / krabice)_x000D_
Svorkovnicová instalační krabice JB16-02_x000D_
Instalační konzole JB-SB-08_x000D_
Hliníková samolepící páska ATE-180 bal.55m_x000D_
Fixační sklotextilní páska GT-66 bal. 20m_x000D_
Kompletní rozvaděč SBS-R-HWAT-3X20A pro max. 3 okruhy vč. řídící jednotky_x000D_
Výstražné štítky ETL-CZ</t>
  </si>
  <si>
    <t>Pol138</t>
  </si>
  <si>
    <t>Hlavní páteřní rozvod + stoupací potrubí na objektu B</t>
  </si>
  <si>
    <t>Pol139</t>
  </si>
  <si>
    <t>Hlavní páteřní rozvod + stoupací potrubí na objektu C</t>
  </si>
  <si>
    <t>Poznámka k položce:_x000D_
Samoregulační topný kabel HWAT R (12W/m při 70°C)_x000D_
Napojovací a zakončovací sada CE25-01 (kabel / krabice)_x000D_
Rozbočovací souprava RAYCLIC-T-02_x000D_
Svorkovnicová instalační krabice JB16-02_x000D_
Instalační konzole JB-SB-08_x000D_
Hliníková samolepící páska ATE-180 bal.55m_x000D_
Fixační sklotextilní páska GT-66 bal. 20m_x000D_
Kompletní rozvaděč SBS-R-HWAT-3X16A pro max. 3 okruhy vč. řídící jednotky_x000D_
Výstražné štítky ETL-CZ</t>
  </si>
  <si>
    <t>Pol140</t>
  </si>
  <si>
    <t>Hlavní páteřní rozvod + stoupací potrubí na objektu D</t>
  </si>
  <si>
    <t>Poznámka k položce:_x000D_
Samoregulační topný kabel HWAT R (12W/m při 70°C)_x000D_
Napojovací a zakončovací sada CE25-01 (kabel / krabice)_x000D_
Rozbočovací souprava RAYCLIC-T-02_x000D_
Svorkovnicová instalační krabice JB16-02_x000D_
Instalační konzole JB-SB-08_x000D_
Hliníková samolepící páska ATE-180 bal.55m_x000D_
Fixační sklotextilní páska GT-66 bal. 20m_x000D_
Kompletní rozvaděč SBS-R-HWAT-3X20A pro max. 3 okruhy vč. řídící jednotky_x000D_
Výstražné štítky ETL-CZ</t>
  </si>
  <si>
    <t>Pol141</t>
  </si>
  <si>
    <t>Poznámka k položce:_x000D_
Montáž topného systému, instalace kabelů, osazení rozvaděčů Raychem, zprovoznění a zaškolení_x000D_
Technická dokumentace_x000D_
Ostatní pomocný materiál_x000D_
Doprava</t>
  </si>
  <si>
    <t>Potrubí vodovodní z plastových trub - Ø20, PEX-PN10-pro pitnou vodu  (včetně fitinek, úchytů, podchytávek, vodorovných a svislých závěsů, pružných pryžových objímek, kompenzátorů, protipožárních ucpávek/manžet, prostupů a drážek)</t>
  </si>
  <si>
    <t>Potrubí vodovodní z plastových trub - Ø25, PEX-PN10-pro pitnou vodu  (včetně fitinek, úchytů, podchytávek, vodorovných a svislých závěsů, pružných pryžových objímek, kompenzátorů, protipožárních ucpávek/manžet, prostupů a drážek)</t>
  </si>
  <si>
    <t>Potrubí vodovodní z plastových trub - Ø32, PEX-PN10-pro pitnou vodu  (včetně fitinek, úchytů, podchytávek, vodorovných a svislých závěsů, pružných pryžových objímek, kompenzátorů, protipožárních ucpávek/manžet, prostupů a drážek</t>
  </si>
  <si>
    <t>Potrubí vodovodní z plastových trub - Ø40, PEX-PN10-pro pitnou vodu  (včetně fitinek, úchytů, podchytávek, vodorovných a svislých závěsů, pružných pryžových objímek, kompenzátorů, protipožárních ucpávek/manžet, prostupů a drážek</t>
  </si>
  <si>
    <t>Potrubí vodovodní z plastových trub - Ø50,PEX-PN10-pro pitnou vodu  (včetně fitinek, úchytů, podchytávek, vodorovných a svislých závěsů, pružných pryžových objímek, kompenzátorů, protipožárních ucpávek/manžet, prostupů a drážek</t>
  </si>
  <si>
    <t>Potrubí vodovodní z plastových trub - Ø63,PEX-PN10-pro pitnou vodu  (včetně fitinek, úchytů, podchytávek, vodorovných a svislých závěsů, pružných pryžových objímek, kompenzátorů, protipožárních ucpávek/manžet, prostupů a drážek</t>
  </si>
  <si>
    <t>Ocel pozinkovaná DN25</t>
  </si>
  <si>
    <t>Ocel pozinkovaná DN32</t>
  </si>
  <si>
    <t>Ocel pozinkovaná DN40</t>
  </si>
  <si>
    <t>Ocel pozinkovaná DN50</t>
  </si>
  <si>
    <t>PEHD 10, SDR11, 63x5,8mm (včetně zemních prací a stavebních přípomocí)</t>
  </si>
  <si>
    <t>Pol65</t>
  </si>
  <si>
    <t>Tepelná izolace potrubí z pěnového PE tl. 9 mm Ø20</t>
  </si>
  <si>
    <t>Pol66</t>
  </si>
  <si>
    <t>Tepelná izolace potrubí z pěnového PE tl. 9 mm Ø25</t>
  </si>
  <si>
    <t>Tepelná izolace potrubí z pěnového PE tl. 9 mm Ø32</t>
  </si>
  <si>
    <t>Tepelná izolace potrubí na SV tl.20 mm Ø20-Mirelon</t>
  </si>
  <si>
    <t>Tepelná izolace potrubí na SV tl.20 mm Ø25-Mirelon</t>
  </si>
  <si>
    <t>Tepelná izolace potrubí na SV tl.20 mm Ø32-Mirelon</t>
  </si>
  <si>
    <t>Tepelná izolace potrubí na SV tl.20 mm Ø40-Mirelon</t>
  </si>
  <si>
    <t>Tepelná izolace potrubí na SV tl.20 mm Ø50-Mirelon</t>
  </si>
  <si>
    <t>Tepelná izolace potrubí na SV tl.20 mm Ø63-Mirelon</t>
  </si>
  <si>
    <t>Tepelná izolace potrubí na TV tl.40 mm Ø20-Rockwool</t>
  </si>
  <si>
    <t>Tepelná izolace potrubí na TV tl.40 mm Ø25-Rockwool</t>
  </si>
  <si>
    <t>Tepelná izolace potrubí na TV tl.50 mm Ø32-Rockwool</t>
  </si>
  <si>
    <t>Tepelná izolace potrubí na TV tl.60mm Ø40-Rockwool</t>
  </si>
  <si>
    <t>Tepelná izolace potrubí na TV tl.50 mm Ø50-Rockwool</t>
  </si>
  <si>
    <t>Tepelná izolace potrubí na TV tl.70 mm Ø63-Rockwool</t>
  </si>
  <si>
    <t>Tepelná izolace 9mm na požárním potrubí DN25-Mirelon</t>
  </si>
  <si>
    <t>Tepelná izolace 9mm na požárním potrubí DN32-Mirelon</t>
  </si>
  <si>
    <t>Tepelná izolace 9mm na požárním potrubí DN40-Mirelon</t>
  </si>
  <si>
    <t>Tepelná izolace 9mm na požárním potrubí DN50-Mirelon</t>
  </si>
  <si>
    <t>Podružný vodoměr s dálkovým odečtem DN15</t>
  </si>
  <si>
    <t>Rohový ventil DN15</t>
  </si>
  <si>
    <t>Kulový kohout DN15</t>
  </si>
  <si>
    <t>Kulový kohout DN20</t>
  </si>
  <si>
    <t>Kulový kohout DN25</t>
  </si>
  <si>
    <t>Výtokový ventil pračkový se zpětnou klapkou a přivzdušněním (pro pračku a myčku)</t>
  </si>
  <si>
    <t>Pol91</t>
  </si>
  <si>
    <t>Zahradní, nezámrzný ventil DN15, se ZK a přivzdušněním</t>
  </si>
  <si>
    <t>Pol92</t>
  </si>
  <si>
    <t>Revizní dvířka pro zahradní ventil</t>
  </si>
  <si>
    <t>Pol93</t>
  </si>
  <si>
    <t>Zpětná armatura typu EA</t>
  </si>
  <si>
    <t>Pol94</t>
  </si>
  <si>
    <t>Uzavírací ventil s odvodněním DN15</t>
  </si>
  <si>
    <t>Pol95</t>
  </si>
  <si>
    <t>Uzavírací ventil s odvodněním DN20</t>
  </si>
  <si>
    <t>Pol96</t>
  </si>
  <si>
    <t>Uzavírací ventil s odvodněním DN25</t>
  </si>
  <si>
    <t>Pol97</t>
  </si>
  <si>
    <t>Uzavírací ventil s odvodněním DN32</t>
  </si>
  <si>
    <t>Pol98</t>
  </si>
  <si>
    <t>Uzavírací ventil s odvodněním DN40</t>
  </si>
  <si>
    <t>Pol99</t>
  </si>
  <si>
    <t>Uzavírací ventil s odvodněním DN50</t>
  </si>
  <si>
    <t>Pol100</t>
  </si>
  <si>
    <t>Uzavírací ventil DN25</t>
  </si>
  <si>
    <t>Pol101</t>
  </si>
  <si>
    <t>Uzavírací ventil DN32</t>
  </si>
  <si>
    <t>Pol102</t>
  </si>
  <si>
    <t>Uzavírací ventil DN50</t>
  </si>
  <si>
    <t>Pol103</t>
  </si>
  <si>
    <t>Filtr DN50 s automatickým proplachem</t>
  </si>
  <si>
    <t>Pol104</t>
  </si>
  <si>
    <t>Redukční ventil DN50</t>
  </si>
  <si>
    <t>Pol105</t>
  </si>
  <si>
    <t>Zpětná armatura typu-DN50</t>
  </si>
  <si>
    <t>Pol106</t>
  </si>
  <si>
    <t>Vzorkovací armatura DN15</t>
  </si>
  <si>
    <t>Pol107</t>
  </si>
  <si>
    <t>Podružný vodoměr s dálkovým odečtem pro TV DN32, Q4=10m3/hod</t>
  </si>
  <si>
    <t>Pol108</t>
  </si>
  <si>
    <t>Tlakoměr</t>
  </si>
  <si>
    <t>Zpětná klapka DN50</t>
  </si>
  <si>
    <t>Pojistný ventil DN20,tlak 6bar</t>
  </si>
  <si>
    <t>Expanzní nádoba -REFLEX Refix 300</t>
  </si>
  <si>
    <t>Teploměr</t>
  </si>
  <si>
    <t>Pol113</t>
  </si>
  <si>
    <t>Zpětná klapka DN15 (***VYTÁPĚNÍ)</t>
  </si>
  <si>
    <t>Výtokový ventil DN15</t>
  </si>
  <si>
    <t>Pol115</t>
  </si>
  <si>
    <t>Požární prostup do D50</t>
  </si>
  <si>
    <t>Pol116</t>
  </si>
  <si>
    <t>Požární prostup nad D50</t>
  </si>
  <si>
    <t>Pol117</t>
  </si>
  <si>
    <t>Tlaková zkouška, proplach a desinfekce potrubí</t>
  </si>
  <si>
    <t>Modul dálkového odečtu</t>
  </si>
  <si>
    <t>Kulový kohout k vodoměru DN15</t>
  </si>
  <si>
    <t>Kulový kohout DN50 s vypouštěním</t>
  </si>
  <si>
    <t>Zásobník TV 750 l</t>
  </si>
  <si>
    <t>zapojení zásobníku (armatury komplet)</t>
  </si>
  <si>
    <t>Potrubí požární DN32–DN50</t>
  </si>
  <si>
    <t>Rozvaděč HWAT (SBS-R-HWAT)</t>
  </si>
  <si>
    <t>Kód</t>
  </si>
  <si>
    <t>Popis</t>
  </si>
  <si>
    <t>D530</t>
  </si>
  <si>
    <t>DODÁVKY A MONTÁŽE ZAŘÍZENÍ ÚT</t>
  </si>
  <si>
    <t>1.  Zdroj tepla (ZT)</t>
  </si>
  <si>
    <t>Pol250</t>
  </si>
  <si>
    <t>VIESSMANN VITODENS 200-W, P=12-98 kW (80/60°C), verze se 2 kotly</t>
  </si>
  <si>
    <t>na cely dům</t>
  </si>
  <si>
    <t>Poznámka k položce:</t>
  </si>
  <si>
    <t>Plynový závěsný kondenzační kotel VITODENS 200-W, P=10,9-45 kW (80/60°C), PN 4 bary, 1,2-4,8 m3 ZP/h, 230 V, 62 W</t>
  </si>
  <si>
    <t>Vitotronic 100 HC1B obslužná jednotka</t>
  </si>
  <si>
    <t>Vitotronic 300-K MW2B</t>
  </si>
  <si>
    <t>Kaskádovy modul</t>
  </si>
  <si>
    <t>Připojovací sada topného okruhu vč. oběhového čerpadla 230 V, 8-140 W; bočného krytu pro připojovací sadu</t>
  </si>
  <si>
    <t>Plynový uzavírací kohout 3/4 s TAE</t>
  </si>
  <si>
    <t>Držák na stěnu 2-kotl. zař.; stěn. konzole pro Vitotronic</t>
  </si>
  <si>
    <t xml:space="preserve">Příslušenství: </t>
  </si>
  <si>
    <t>Pol251</t>
  </si>
  <si>
    <t>Hydraulická výhybka DN 80, PN 6, dod. Viessmann</t>
  </si>
  <si>
    <t>Pol252</t>
  </si>
  <si>
    <t>Plynový filtr Rp 3/4</t>
  </si>
  <si>
    <t>Pol253</t>
  </si>
  <si>
    <t>Rozšíření pro 2.+3. TO MW2B</t>
  </si>
  <si>
    <t>Pol254</t>
  </si>
  <si>
    <t>Čidlo výstupní teploty NTC Nr.2 l=5800</t>
  </si>
  <si>
    <t>Pol255</t>
  </si>
  <si>
    <t>Vitodens 200-W spal. kaskáda 2x49/60 kW</t>
  </si>
  <si>
    <t>Pol256</t>
  </si>
  <si>
    <t>Pojistná skupina podle ČSN 73 66 60</t>
  </si>
  <si>
    <t>Pol257</t>
  </si>
  <si>
    <t>Vitotronic 200-H, HK1B</t>
  </si>
  <si>
    <t>Pol258</t>
  </si>
  <si>
    <t>2x komunikační modul LON, vč. spoj. kabel, zakončovací odpor (2ks), konektor č. "20" a "52" (3ks)</t>
  </si>
  <si>
    <t>Poznámka: Viz nabídka firmy Viessmann č. 9720116052 z 8.10.2021</t>
  </si>
  <si>
    <t>Pol259</t>
  </si>
  <si>
    <t>Odkouření kotle a přívod spalovacího vzduchu ke kotli - plastový spalinový systém :</t>
  </si>
  <si>
    <t>Společný koax. kouřovod  Ø225/160 mm veden svisle v instal. šachtě (výška cca 17 m)</t>
  </si>
  <si>
    <t>2x přípojky od kotlů Ø125/80 mm (délka cca 0,75 m)</t>
  </si>
  <si>
    <t>Kouřovody vedeny ve spádu, zakončení střešní hlavicí, vč. kontrolních otvorů (kolena, T- kusy), zpětných klapek</t>
  </si>
  <si>
    <t>Poznámka: Odkouření kotlů a sání spalovacího vzduchu bude komplexní dodávkou specializované firmy. Konečné provedení odkouření bude specifikováno na základě zaměření na místě  a konzultace s projektantem ÚT a bude předmětem cenové nabídky spec. firmy.</t>
  </si>
  <si>
    <t>2.  Strojní zařízení</t>
  </si>
  <si>
    <t>Pol260</t>
  </si>
  <si>
    <t>Doplňovací a oddělovací souprava REFLEX Fillcontrol Plus Compact, zásuvka 230 V, 10 A</t>
  </si>
  <si>
    <t>Pol261</t>
  </si>
  <si>
    <t>Rozdělovač a sběrač topné vody, DN 80, PN 6, vč. tepelné izolace 80 mm + Al plech 0,8 mm</t>
  </si>
  <si>
    <t>Pol262</t>
  </si>
  <si>
    <t>Zásobníkový ohřívač TUV VIESSMANN VITOCELL 100-V CVA 750 l, topná vložka 3,7 m2, PN 10</t>
  </si>
  <si>
    <t>Pol263</t>
  </si>
  <si>
    <t>Membránová expanzní nádoba NG 140/6, 140 l, PN 6 bar, vč. servisního kohoutu</t>
  </si>
  <si>
    <t>Pol264</t>
  </si>
  <si>
    <t>Změkčovací filtr, bez regenerace, výměnné náplně</t>
  </si>
  <si>
    <t>3.  Oběhová čerpadla samoregulační, nátrubková, mokroběžná</t>
  </si>
  <si>
    <t>Pol265</t>
  </si>
  <si>
    <t>Oběhové čerpadlo GRUNDFOS MAGNA1 25-80, 230 V, 128 W, 1,03 A, 3 m3/h, 62 kPa</t>
  </si>
  <si>
    <t>Pol266</t>
  </si>
  <si>
    <t>Oběhové čerpadlo GRUNDFOS ALPHA2 25-80, 230 V, 50 W, 0,44 A, 2 m3/h, 45 kPa</t>
  </si>
  <si>
    <t>4.  El. regul. armatury</t>
  </si>
  <si>
    <t>Pol267</t>
  </si>
  <si>
    <t>3- cestný el. regulační ventil, DN 25, kv=10, PN 16, vč. el. servopohonu 230 V, 3- bodové ovládání</t>
  </si>
  <si>
    <t>5.  Armatury závitové - kotelna</t>
  </si>
  <si>
    <t>Pol268</t>
  </si>
  <si>
    <t>Pojistný ventil DUCO, DN 15 (1/2" x 3/4"), Pot=400 kPa</t>
  </si>
  <si>
    <t>Pol269</t>
  </si>
  <si>
    <t>Kulový kohout DN 20, PN 25</t>
  </si>
  <si>
    <t>Pol270</t>
  </si>
  <si>
    <t>Kulový kohout DN 25, PN 25</t>
  </si>
  <si>
    <t>Pol271</t>
  </si>
  <si>
    <t>Kulový kohout DN 32, PN 25</t>
  </si>
  <si>
    <t>Pol272</t>
  </si>
  <si>
    <t>Kulový kohout DN 40, PN 25</t>
  </si>
  <si>
    <t>Pol273</t>
  </si>
  <si>
    <t>Vyvažovací ventil TA Stad, závitový, DN 25, PN 20, vč. tlak. odběrů a vypouštení</t>
  </si>
  <si>
    <t>Pol274</t>
  </si>
  <si>
    <t>Vyvažovací ventil TA Stad, závitový, DN 40, PN 20, vč. tlak. odběrů a vypouštení</t>
  </si>
  <si>
    <t>Pol275</t>
  </si>
  <si>
    <t>Zpětný ventil závitový Giacomini R60, DN 32, PN 10</t>
  </si>
  <si>
    <t>Pol276</t>
  </si>
  <si>
    <t>Filtr závitový DN 32, PN 6</t>
  </si>
  <si>
    <t>Pol277</t>
  </si>
  <si>
    <t>Filtr závitový DN 40, PN 6</t>
  </si>
  <si>
    <t>Pol278</t>
  </si>
  <si>
    <t>Šroubení radiátorové standardní, DN 40, přímé</t>
  </si>
  <si>
    <t>Pol279</t>
  </si>
  <si>
    <t>Vypouštěcí kulový kohout DN 15</t>
  </si>
  <si>
    <t>Pol280</t>
  </si>
  <si>
    <t>Automatický odvzdušňovací ventil Flamco</t>
  </si>
  <si>
    <t>6.  Armatury závitové - patrní rozvody</t>
  </si>
  <si>
    <t>7. Patrové rozdělovače / Sestava MEIBES LOGOfloor - typ 2</t>
  </si>
  <si>
    <t xml:space="preserve">Patrový rozdělovač - připojení na levé straně R+S </t>
  </si>
  <si>
    <t>Pol281</t>
  </si>
  <si>
    <t>2 bytové okruhy</t>
  </si>
  <si>
    <t xml:space="preserve">Rozdělovač s izolací, odvzdušnění, vypouštění, montážní konzole, kulové kohouty DN15 s jímkou pro napojení čidla měřiče tepla </t>
  </si>
  <si>
    <t>Sběrač s izolací, odvzdušnění, vypouštění, montážní konzole, mezikus pro měřič tepla, regulační zónový ventil, kulový kohout DN15</t>
  </si>
  <si>
    <t>Pol282</t>
  </si>
  <si>
    <t>3 bytové okruhy</t>
  </si>
  <si>
    <t>Pol283</t>
  </si>
  <si>
    <t>4 bytové okruhy</t>
  </si>
  <si>
    <t>Patrový rozdělovač - připojení na pravé straně R+S</t>
  </si>
  <si>
    <t>Pol284</t>
  </si>
  <si>
    <t>Ultrazvukový měřič, elektrotermický pohon, prostorový termostat</t>
  </si>
  <si>
    <t xml:space="preserve">Ultrazvukový měřič tepla Multical 302 0,6 m3/h, vč. M-bus modul </t>
  </si>
  <si>
    <t>Elektrotermický pohon ON/OFF, bez proudu vypnuto 230 V</t>
  </si>
  <si>
    <t>Prostorový termostat Meibes TAMP s týdenním programem, připojení řeší EL</t>
  </si>
  <si>
    <t>D110</t>
  </si>
  <si>
    <t>ARMATURY A OTOPNÁ TĚLESA</t>
  </si>
  <si>
    <t>Armatury závitové na vstupu a výstupu patrového rozdělovače:</t>
  </si>
  <si>
    <t>Pol285</t>
  </si>
  <si>
    <t>Filtr závitový DN 20, PN 6</t>
  </si>
  <si>
    <t>Pol286</t>
  </si>
  <si>
    <t>Regulačně uzavírací ventil TA Stad, závitový, DN 15, PN 20</t>
  </si>
  <si>
    <t>8.  Armatury měřicí</t>
  </si>
  <si>
    <t>Pol287</t>
  </si>
  <si>
    <t>Tlakoměr typ 312, ∅100 mm, 0-400 kPa, vč. kulového kohoutu DN 15</t>
  </si>
  <si>
    <t>Pol288</t>
  </si>
  <si>
    <t>Teploměr kruhový přímý, ∅63 mm, 0-120°C, stonek 100 mm, vč, jímky</t>
  </si>
  <si>
    <t>9.  Otopná tělesa ocelová desková - RADIK KLASIK, vč. připevňovacích prvků</t>
  </si>
  <si>
    <t>Pol289</t>
  </si>
  <si>
    <t>33-090060-50-</t>
  </si>
  <si>
    <t>Pol290</t>
  </si>
  <si>
    <t>33-090070-50-</t>
  </si>
  <si>
    <t>10.  Otopná tělesa ocelová desková - RADIK VENTIL KOMPAKT (pravé spodní připojení), vč. připevňovací</t>
  </si>
  <si>
    <t>Pol291</t>
  </si>
  <si>
    <t>11-060040-60-</t>
  </si>
  <si>
    <t>Pol292</t>
  </si>
  <si>
    <t>11-060050-60-</t>
  </si>
  <si>
    <t>Pol293</t>
  </si>
  <si>
    <t>11-060060-60-</t>
  </si>
  <si>
    <t>Pol294</t>
  </si>
  <si>
    <t>11-060070-60-</t>
  </si>
  <si>
    <t>Pol295</t>
  </si>
  <si>
    <t>11-060080-60-</t>
  </si>
  <si>
    <t>Pol296</t>
  </si>
  <si>
    <t>11-060100-60-</t>
  </si>
  <si>
    <t>Pol297</t>
  </si>
  <si>
    <t>11-090040-60-</t>
  </si>
  <si>
    <t>Pol298</t>
  </si>
  <si>
    <t>11-090050-60-</t>
  </si>
  <si>
    <t>Pol299</t>
  </si>
  <si>
    <t>11-090060-60-</t>
  </si>
  <si>
    <t>Pol300</t>
  </si>
  <si>
    <t>11-090080-60-</t>
  </si>
  <si>
    <t>Pol301</t>
  </si>
  <si>
    <t>21-090050-60-</t>
  </si>
  <si>
    <t>Pol302</t>
  </si>
  <si>
    <t>21-090060-60-</t>
  </si>
  <si>
    <t>Pol303</t>
  </si>
  <si>
    <t>21-090080-60-</t>
  </si>
  <si>
    <t>Pol304</t>
  </si>
  <si>
    <t>22-060070-60-</t>
  </si>
  <si>
    <t>Pol305</t>
  </si>
  <si>
    <t>22-060080-60-</t>
  </si>
  <si>
    <t>11.  Podlahový konvektor - KORADO KORAFLEX Basic FKB provedení Economic, vč. krycí mřížky</t>
  </si>
  <si>
    <t>Pol306</t>
  </si>
  <si>
    <t>180-09-26 (délka - hloubka - šířka [cm])</t>
  </si>
  <si>
    <t>Pol307</t>
  </si>
  <si>
    <t>190-09-26</t>
  </si>
  <si>
    <t>Pol308</t>
  </si>
  <si>
    <t>200-09-26</t>
  </si>
  <si>
    <t>Pol309</t>
  </si>
  <si>
    <t>210-09-26</t>
  </si>
  <si>
    <t>Pol310</t>
  </si>
  <si>
    <t>230-09-26</t>
  </si>
  <si>
    <t>Pol311</t>
  </si>
  <si>
    <t>240-09-26</t>
  </si>
  <si>
    <t>Pol312</t>
  </si>
  <si>
    <t>300-09-26</t>
  </si>
  <si>
    <t>Poznámka: materiál krycí mřížky bude stanoven dle požadavků architekta, pro účely rozpočtu naceněn materiál hliník elox stříbrný</t>
  </si>
  <si>
    <t>12.  Otopná tělesa trubková KORALUX LINEAR CLASSIC - M,  vč. připevňovacích prvků</t>
  </si>
  <si>
    <t>Pol313</t>
  </si>
  <si>
    <t>KLCM1500.450</t>
  </si>
  <si>
    <t>Pol314</t>
  </si>
  <si>
    <t>KLCM1500.600</t>
  </si>
  <si>
    <t>13.  Regulační armatury OT (včetně svěrného šroubení na plast. trubku 16x2 mm)</t>
  </si>
  <si>
    <t>Pol315</t>
  </si>
  <si>
    <t>Regulační ventil HEIMEIER V-exakt II, rohový, DN 15</t>
  </si>
  <si>
    <t>Pol316</t>
  </si>
  <si>
    <t>Regulační ventil HEIMEIER Multilux, rohový</t>
  </si>
  <si>
    <t>Pol317</t>
  </si>
  <si>
    <t>Uzavírací šroubení HEIMEIER Vekolux, rohové (připojení OT VK)</t>
  </si>
  <si>
    <t>Pol318</t>
  </si>
  <si>
    <t>Regulačně uzavírací šroubení HEIMEIER Regulux , DN 15</t>
  </si>
  <si>
    <t>Pol319</t>
  </si>
  <si>
    <t>Termostatická hlavice HEIMEIER K</t>
  </si>
  <si>
    <t>Pol320</t>
  </si>
  <si>
    <t>Termostatická hlavice HEIMEIER K, provedení pro veřejné prostory - proti zcizení</t>
  </si>
  <si>
    <t>Pol321</t>
  </si>
  <si>
    <t>Elektrické topné těleso, výkon 400 W</t>
  </si>
  <si>
    <t>Pol322</t>
  </si>
  <si>
    <t>Elektrické topné těleso, výkon 500 W</t>
  </si>
  <si>
    <t>Pol323</t>
  </si>
  <si>
    <t>Prostorový termostat ovládaní el. patrony žebříku s časovým programem, kabel. připojení řeší EL</t>
  </si>
  <si>
    <t>D18</t>
  </si>
  <si>
    <t>Armatury pro připojení podlahových konvektorů (PK):</t>
  </si>
  <si>
    <t>Pol324</t>
  </si>
  <si>
    <t>Regulační ventil HEIMEIER V-exakt II, DN 15, přímý, připojení na plastové potrubí 16x2mm, vč. svěrného šroubení</t>
  </si>
  <si>
    <t>Pol325</t>
  </si>
  <si>
    <t>Regulačně uzavírací šroubení HEIMEIER Regulux , DN 15, přimé, připojení na plastové potrubí 16x2mm, vč. svěrného šroubení</t>
  </si>
  <si>
    <t>Pol326</t>
  </si>
  <si>
    <t>Pancéřová hadice DN 15, l= cca 200 mm, příslušenství PK</t>
  </si>
  <si>
    <t>D19</t>
  </si>
  <si>
    <t>Termostatická hlavice Heimeier F s dálkovým ovládáním  (HDO) - včetně kapiláry a chráničky (husího k</t>
  </si>
  <si>
    <t>Pol327</t>
  </si>
  <si>
    <t>Délka kapiláry 2m</t>
  </si>
  <si>
    <t>Pol328</t>
  </si>
  <si>
    <t>Délka kapiláry 5m</t>
  </si>
  <si>
    <t>Pol329</t>
  </si>
  <si>
    <t>Délka kapiláry 10m</t>
  </si>
  <si>
    <t>D200</t>
  </si>
  <si>
    <t>POTRUBÍ, IZOLACE, NÁTĚRY, OSTATNÍ</t>
  </si>
  <si>
    <t>D20</t>
  </si>
  <si>
    <t>14.  Potrubí ÚT - ocelové trubky závitové, běžné, bezešvé, jakost 11353.0</t>
  </si>
  <si>
    <t>Pol330</t>
  </si>
  <si>
    <t>DN 15 – Ø 1/2“</t>
  </si>
  <si>
    <t>Pol331</t>
  </si>
  <si>
    <t>DN 20 – Ø 3/4“</t>
  </si>
  <si>
    <t>Pol332</t>
  </si>
  <si>
    <t>DN 25 – Ø 1“</t>
  </si>
  <si>
    <t>Pol333</t>
  </si>
  <si>
    <t>DN 32 – Ø 5/4“</t>
  </si>
  <si>
    <t>Pol334</t>
  </si>
  <si>
    <t>DN 40 – Ø 6/4“</t>
  </si>
  <si>
    <t>- dodávka a montáž potrubí včetně kolen,nebo oblouků, přechodů, přírub, redukcí, spojek, mezikusů, přechodových kusů, pomocných prací a materiálu, spojovacího materiálu, těsnění, uzemnění dle ČSN, čištění potrubí a lešení, požární ucpávky v případě průchodu požárně odolnou konstrukcí.</t>
  </si>
  <si>
    <t>Poznámka:  uvedené metráže jsou bez přídavku na prořez</t>
  </si>
  <si>
    <t>D21</t>
  </si>
  <si>
    <t>15.  Plastové potrubí typu AlPex (Henco)</t>
  </si>
  <si>
    <t>Pol335</t>
  </si>
  <si>
    <t>16 x 2 mm</t>
  </si>
  <si>
    <t>Pol336</t>
  </si>
  <si>
    <t>18 x 2 mm</t>
  </si>
  <si>
    <t>20 x 2 mm</t>
  </si>
  <si>
    <t>Pol338</t>
  </si>
  <si>
    <t>Potrubní lisovací tvarovky, doplňkový materiál - závěsy, upevnění</t>
  </si>
  <si>
    <t>D22</t>
  </si>
  <si>
    <t>16.  Potrubí SV z plastových trubek (PPR) - EKOPLASTIK PN 16, PN 20</t>
  </si>
  <si>
    <t>Pol339</t>
  </si>
  <si>
    <t>Ø 25 / 3,5 mm, PN 20, vč. tep. izolace</t>
  </si>
  <si>
    <t>Pol340</t>
  </si>
  <si>
    <t>Potrubní tvarovky EKOPLASTIK, doplňkový materiál - závěsy, upevnění</t>
  </si>
  <si>
    <t>D23</t>
  </si>
  <si>
    <t>17.  Tepelná izolace potrubí ÚT - hadicová Tubolit DG (tloušťky dle vyhl. č. 193/2007 Sb. MPO)</t>
  </si>
  <si>
    <t>Pol341</t>
  </si>
  <si>
    <t>tl. 9 mm, plast. potr. 16 x 2 mm</t>
  </si>
  <si>
    <t>Pol342</t>
  </si>
  <si>
    <t>tl. 9 mm, plast. potr. 18 x 2 mm</t>
  </si>
  <si>
    <t>Pol343</t>
  </si>
  <si>
    <t>tl. 9 mm, plast. potr. 20 x 2 mm</t>
  </si>
  <si>
    <t>Pol344</t>
  </si>
  <si>
    <t>tl. 20 mm, plast. potr. 16 x 2 mm (veřejná chodba)</t>
  </si>
  <si>
    <t>Pol345</t>
  </si>
  <si>
    <t>tl. 20 mm, plast. potr. 18 x 2 mm (veřejná chodba)</t>
  </si>
  <si>
    <t>Pol346</t>
  </si>
  <si>
    <t>tl. 20 mm, plast. potr. 20 x 2 mm (veřejná chodba)</t>
  </si>
  <si>
    <t>Pol347</t>
  </si>
  <si>
    <t>tl. 20 mm, DN 20</t>
  </si>
  <si>
    <t>Pol348</t>
  </si>
  <si>
    <t>tl. 20 mm, DN 25</t>
  </si>
  <si>
    <t>D24</t>
  </si>
  <si>
    <t>18.  Tepelná izolace potrubí ÚT z minerální vaty Al. folií</t>
  </si>
  <si>
    <t>Pol349</t>
  </si>
  <si>
    <t>tl. 60 mm, Al folie,  potrubí DN 15 (nevytápěný suterén)</t>
  </si>
  <si>
    <t>Pol350</t>
  </si>
  <si>
    <t>tl. 60 mm, Al folie,  potrubí DN 20 (nevytápěný suterén)</t>
  </si>
  <si>
    <t>Pol351</t>
  </si>
  <si>
    <t>tl. 60 mm, Al folie,  potrubí DN 25 (nevytápěný suterén)</t>
  </si>
  <si>
    <t>Pol352</t>
  </si>
  <si>
    <t>tl. 60 mm, Al folie,  potrubí DN 32 (nevytápěný suterén)</t>
  </si>
  <si>
    <t>Pol353</t>
  </si>
  <si>
    <t>tl. 60 mm, Al folie,  potrubí DN 40 (nevytápěný suterén)</t>
  </si>
  <si>
    <t>D25</t>
  </si>
  <si>
    <t>19. Nátěry</t>
  </si>
  <si>
    <t>Pol354</t>
  </si>
  <si>
    <t>Nátěry</t>
  </si>
  <si>
    <t>Syntetický základní nátěr Fe potrubí ÚT (pod tep. izolaci)</t>
  </si>
  <si>
    <t xml:space="preserve">Syntetický nátěr potrubí ÚT - základní, s 2-násobným emailováním (nezaizolované úseky) </t>
  </si>
  <si>
    <t>Syntetický nátěr ocelových konstrukcí - základní, s 2-násobným emailováním</t>
  </si>
  <si>
    <t>D26</t>
  </si>
  <si>
    <t>20. Doplňkový materiál</t>
  </si>
  <si>
    <t>Pol355</t>
  </si>
  <si>
    <t>Doplňkový materiál</t>
  </si>
  <si>
    <t>Závěsy potrubí, konzole, objímky (WEMEFA, HILTI),  pomocný montážní materiál apod.</t>
  </si>
  <si>
    <t>Požární ucpávky prostupů potrubí stavebními konstrukcemi odělujícími požární úseky, Intumex</t>
  </si>
  <si>
    <t>D27</t>
  </si>
  <si>
    <t>21. Značení potrubí + zřízení ÚT</t>
  </si>
  <si>
    <t>Pol356</t>
  </si>
  <si>
    <t>Značení potrubí + zařízení ÚT</t>
  </si>
  <si>
    <t>Identifikační štítky, šipky toku média apod.</t>
  </si>
  <si>
    <t>OBJEKT D</t>
  </si>
  <si>
    <t>Venkovní jednotky chlazení, příslušenství - DAIKIN</t>
  </si>
  <si>
    <t>Dodávka - Venkovní kondenzační jednotka DAIKIN RXYQ20U; chladící/topný výkon 52,0/45,3 kW</t>
  </si>
  <si>
    <t>Montáž poz.1.1</t>
  </si>
  <si>
    <t>Vnitřní jednotky chlazení, příslušenství - DAIKIN</t>
  </si>
  <si>
    <t>Dodávka - Nástěnná jednotka DAIKIN PERFERA, Qchl=2,5kW, Qtop=2,8kW, Daikin FTXM25R</t>
  </si>
  <si>
    <t>ve vykresach FTXM25N</t>
  </si>
  <si>
    <t>Montáž poz.2.1</t>
  </si>
  <si>
    <t>Dodávka - Nástěnná jednotka DAIKIN PERFERA, Qchl=2,0kW, Qtop=2,5kW, Daikin FTXM20R</t>
  </si>
  <si>
    <t>Montáž poz.2.2</t>
  </si>
  <si>
    <t>Dodávka - Třiportový BS box pro VRV IV DAIKIN BPMKS967A3</t>
  </si>
  <si>
    <t>Montáž poz.2.3</t>
  </si>
  <si>
    <t>Dodávka - Dvouportový BS box pro VRV IV DAIKIN BPMKS967A2</t>
  </si>
  <si>
    <t>Montáž poz.2.4</t>
  </si>
  <si>
    <t>Dodávka - Rozbočovač potrubí - refnet DAIKIN KHRQ22M20T</t>
  </si>
  <si>
    <t>Montáž poz.2.5</t>
  </si>
  <si>
    <t>Dodávka - Rozbočovač potrubí - refnet DAIKIN KHRQ22M64T</t>
  </si>
  <si>
    <t>Montáž poz.2.6</t>
  </si>
  <si>
    <t>Dodávka - Rozbočovač potrubí - refnet DAIKIN KHRQ22M29T9</t>
  </si>
  <si>
    <t>Montáž poz.2.7</t>
  </si>
  <si>
    <t>Potrubí pro chladivo včetně izolaci tepelná vodivost max 0,038W/mK R410A</t>
  </si>
  <si>
    <t>Dodávka - Cu potrubí Ø6,4mm</t>
  </si>
  <si>
    <t>Dodávka - Cu potrubí Ø9,5mm</t>
  </si>
  <si>
    <t>Dodávka - Cu potrubí Ø12,7mm</t>
  </si>
  <si>
    <t>Dodávka - Cu potrubí Ø15,88mm</t>
  </si>
  <si>
    <t>Dodávka - Cu potrubí Ø19,1mm</t>
  </si>
  <si>
    <t>Dodávka - Cu potrubí Ø22,2mm</t>
  </si>
  <si>
    <t>Dodávka - Cu potrubí Ø25,4mm</t>
  </si>
  <si>
    <t>Dodávka - Cu potrubí Ø31,8mm</t>
  </si>
  <si>
    <t>Montáž poz.2.8</t>
  </si>
  <si>
    <t>Pomocný a montážní materiál</t>
  </si>
  <si>
    <t>Montážní materiál na zhotovení závěsů, spojovací a těsnící materiál, podkladová rýhovaná guma pod jednotky a na závěsy vč. značení a popisků.</t>
  </si>
  <si>
    <t>Montáž poz.3.1</t>
  </si>
  <si>
    <t>Chladivo R410a (přesné množství upřesněno v průběhu realizace)</t>
  </si>
  <si>
    <t>kg</t>
  </si>
  <si>
    <t>Montáž poz.3.2</t>
  </si>
  <si>
    <t>Práce nutné pro kompletaci díla</t>
  </si>
  <si>
    <t>Dodávka, individuální zkoušky, školení obsluhy, komplexní zkoušky, uvedení do provozu ( oživení zařízení)</t>
  </si>
  <si>
    <t>Prostupy a drážky ve zdivu + jejich opětovné zapravení, do DN100</t>
  </si>
  <si>
    <t>✔ Technická zpráva chlazení NEpožaduje drážky ve zdivu.
✔ Potrubí VRV má být vedeno v podhledech nebo v instalačních šachtách.</t>
  </si>
  <si>
    <t>Likvidace odpadového materiálu</t>
  </si>
  <si>
    <t>Lešení případně plošiny pro montáž potrubí ve výškách</t>
  </si>
  <si>
    <t>Nosna konstrukce pro  jednotky chlazení</t>
  </si>
  <si>
    <t>AHU6 - Větrání sklepů</t>
  </si>
  <si>
    <t>AHU6</t>
  </si>
  <si>
    <t>Vzduchotechnická jednotka DUPLEX 650 Flexi RD5</t>
  </si>
  <si>
    <t>Poznámka k položce:
Složení: klapka, filtr EU7, rekuperační výměník, ventilátor s Ecmotorem
Odvod: klapka, filtr EU5, ventilátor s ECmotorem
Vp = 610m3/h / Pext = 220 Pa
Vo = 610m3/h / Pext = 220 Pa
jednotka vč.: 
pružných vložek na sání a výtlaku z jednotky, MaR</t>
  </si>
  <si>
    <t>Pol243</t>
  </si>
  <si>
    <t>Tlumič hluku do kruhového potrubí MAA200/600</t>
  </si>
  <si>
    <t>Pol244</t>
  </si>
  <si>
    <t>Tlumič hluku do kruhového potrubí MAA200/900</t>
  </si>
  <si>
    <t>Pol185</t>
  </si>
  <si>
    <t>Odvodní talířový ventil D80</t>
  </si>
  <si>
    <t>Pol190</t>
  </si>
  <si>
    <t>Přívodní talířový ventil D125</t>
  </si>
  <si>
    <t>Pol191</t>
  </si>
  <si>
    <t>Regulátor průtoku vzduchu D100</t>
  </si>
  <si>
    <t>Pol192</t>
  </si>
  <si>
    <t>Regulátor průtoku vzduchu D125</t>
  </si>
  <si>
    <t>Pol217</t>
  </si>
  <si>
    <t>Sací kus se sítem vel. D200</t>
  </si>
  <si>
    <t>PK02.2</t>
  </si>
  <si>
    <t>Požární klapka do kruhového potrubí se servopohonem 230V vel. D200</t>
  </si>
  <si>
    <t>PK02.3</t>
  </si>
  <si>
    <t>PK02.4</t>
  </si>
  <si>
    <t>PK02.5</t>
  </si>
  <si>
    <t>Pol196</t>
  </si>
  <si>
    <t>Požární stěnový uzávěr 390x160</t>
  </si>
  <si>
    <t>Pol197</t>
  </si>
  <si>
    <t>Kruhové potrubí z pozinkovaného plechu o síle dle norem, včetně tvarovek, regulačních klapek, spojovacího, kotvícího a těsnícího materiálu (SPIRO) průměr 200</t>
  </si>
  <si>
    <t>bm</t>
  </si>
  <si>
    <t>Pol198</t>
  </si>
  <si>
    <t>Kruhové potrubí z pozinkovaného plechu o síle dle norem, včetně tvarovek, regulačních klapek, spojovacího, kotvícího a těsnícího materiálu (SPIRO) průměr 160</t>
  </si>
  <si>
    <t>Pol199</t>
  </si>
  <si>
    <t>Kruhové potrubí z pozinkovaného plechu o síle dle norem, včetně tvarovek, regulačních klapek, spojovacího, kotvícího a těsnícího materiálu (SPIRO) průměr 125</t>
  </si>
  <si>
    <t>Pol200</t>
  </si>
  <si>
    <t>Kruhové potrubí z pozinkovaného plechu o síle dle norem, včetně tvarovek, regulačních klapek, spojovacího, kotvícího a těsnícího materiálu (SPIRO) průměr 100</t>
  </si>
  <si>
    <t>Pol202</t>
  </si>
  <si>
    <t>Požární izolace potrubí - minerální vlna s polepem - odolnost 30min</t>
  </si>
  <si>
    <t>EF1 - Odvětrání kotelny v 1pp</t>
  </si>
  <si>
    <t>EF1</t>
  </si>
  <si>
    <t>Ventilátor do kruhového potrubí , V = 300 m3/h, Pext = 110Pa (RM 160N) Včetně pružného připojení na potrubí</t>
  </si>
  <si>
    <t>Pol245</t>
  </si>
  <si>
    <t>Krycí mřížka na kruhové potrubí D160</t>
  </si>
  <si>
    <t>Pol246</t>
  </si>
  <si>
    <t>Sací kus se sítem vel. D125</t>
  </si>
  <si>
    <t>Pol247</t>
  </si>
  <si>
    <t>Zpětná klapka D125</t>
  </si>
  <si>
    <t>Pol248</t>
  </si>
  <si>
    <t>Tlumič hluku do kruhového potrubí MAA125/600</t>
  </si>
  <si>
    <t>AHU5.1 - Větrání bytů</t>
  </si>
  <si>
    <t>AHU5.1</t>
  </si>
  <si>
    <t>Vzduchotechnická jednotka DUPLEX 170 EC5.CP</t>
  </si>
  <si>
    <t>Poznámka k položce:
Složení: klapka, filtr EU7, rekuperační výměník, elektircký ohřívač, ventilátor s Ecmotorem
Odvod: klapka, filtr EU4, ventilátor s ECmotorem
Vp = 140  m3/h / Pext = 95 Pa
Vo = 140  m3/h / Pext = 140 Pa
jednotka vč.: 
pružných vložek na sání a výtlaku z jednotky, MaR</t>
  </si>
  <si>
    <t>Pol203</t>
  </si>
  <si>
    <t>Tlumič hluku do kruhového potrubí MAA160/600</t>
  </si>
  <si>
    <t>Pol204</t>
  </si>
  <si>
    <t>Odvodní talířový ventil D125</t>
  </si>
  <si>
    <t>Pol205</t>
  </si>
  <si>
    <t>Sací kus se sítem vel. D160</t>
  </si>
  <si>
    <t>Pol206</t>
  </si>
  <si>
    <t>Přívodní vyúst s regulací R1, vel. 325x75</t>
  </si>
  <si>
    <t>Pol233</t>
  </si>
  <si>
    <t>Regulační klapka ruční D160</t>
  </si>
  <si>
    <t>Pol209</t>
  </si>
  <si>
    <t>Ohebné potrubí SONOFLEX D160</t>
  </si>
  <si>
    <t>Pol234</t>
  </si>
  <si>
    <t>Ohebné potrubí SONOFLEX D125</t>
  </si>
  <si>
    <t>AHU5.2 - Větrání bytů</t>
  </si>
  <si>
    <t>Poznámka k položce:
Složení: klapka, filtr EU7, rekuperační výměník, elektircký ohřívač, ventilátor s Ecmotorem
Odvod: klapka, filtr EU4, ventilátor s ECmotorem
Vp = 160  m3/h / Pext = 95 Pa
Vo = 160  m3/h / Pext = 140 Pa
jednotka vč.: 
pružných vložek na sání a výtlaku z jednotky, MaR</t>
  </si>
  <si>
    <t xml:space="preserve">Odvod vzduchu od kuchyňských digestoří </t>
  </si>
  <si>
    <t>Pol241</t>
  </si>
  <si>
    <t>Výdechová stříška D200</t>
  </si>
  <si>
    <t>SPOLEČNÉ</t>
  </si>
  <si>
    <t>Pol249</t>
  </si>
  <si>
    <t>Uvedení zařízení do provozu, seřízení a zaregulování všech systémů a zařízení, provedení předepsaných zkoušek</t>
  </si>
  <si>
    <t>Pol371</t>
  </si>
  <si>
    <t>Požární ucpávky prostupů ve smyslu projektu PBŘ</t>
  </si>
  <si>
    <t>Pol372</t>
  </si>
  <si>
    <t>Materiál na závěsy</t>
  </si>
  <si>
    <t>Poznámka: Digestoře jsou uvažovány vč. tukového filtru a zpětné klapky.</t>
  </si>
  <si>
    <t>J.cena [CZK]</t>
  </si>
  <si>
    <t>Cena celkem [CZK]</t>
  </si>
  <si>
    <t>PSV</t>
  </si>
  <si>
    <t>Práce a dodávky PSV</t>
  </si>
  <si>
    <t>741</t>
  </si>
  <si>
    <t>Elektroinstalace - silnoproud</t>
  </si>
  <si>
    <t>741410021</t>
  </si>
  <si>
    <t>Montáž vodič uzemňovací pásek průřezu do 120 mm2 v městské zástavbě v zemi</t>
  </si>
  <si>
    <t>35442062</t>
  </si>
  <si>
    <t>pás zemnící 30x4mm FeZn</t>
  </si>
  <si>
    <t>35441986</t>
  </si>
  <si>
    <t>svorka odbočovací a spojovací pro pásek 30x4 mm, FeZn</t>
  </si>
  <si>
    <t>741420001</t>
  </si>
  <si>
    <t>Montáž drát nebo lano hromosvodné svodové D do 10 mm s podpěrou</t>
  </si>
  <si>
    <t>35441077</t>
  </si>
  <si>
    <t>drát D 8mm AlMgSi</t>
  </si>
  <si>
    <t>35441470</t>
  </si>
  <si>
    <t>podpěra vedení FeZn pod taškovou krytinu 100mm</t>
  </si>
  <si>
    <t>35441490</t>
  </si>
  <si>
    <t>podpěra vedení FeZn na hřebenáče a prejzovou krytinu 120mm</t>
  </si>
  <si>
    <t>35441860</t>
  </si>
  <si>
    <t>svorka FeZn k jímací tyči - 4 šrouby</t>
  </si>
  <si>
    <t>35441875</t>
  </si>
  <si>
    <t>svorka křížová pro vodič D 6-10mm</t>
  </si>
  <si>
    <t>35441996</t>
  </si>
  <si>
    <t>svorka odbočovací a spojovací pro spojování kruhových a páskových vodičů, FeZn</t>
  </si>
  <si>
    <t>35441925</t>
  </si>
  <si>
    <t>svorka zkušební pro lano D 6-12mm, FeZn</t>
  </si>
  <si>
    <t>8500029370</t>
  </si>
  <si>
    <t>Drát AlMgSi/PVC pr. 8 mm (20kg/bal = 100bm)</t>
  </si>
  <si>
    <t>741420022</t>
  </si>
  <si>
    <t>Montáž svorka hromosvodná se 3 šrouby</t>
  </si>
  <si>
    <t>1004335</t>
  </si>
  <si>
    <t>DEHN SVORKA OKAPOVA SO FEZN /339010/</t>
  </si>
  <si>
    <t>1144574</t>
  </si>
  <si>
    <t>KRABICE PRO ZKUSEBNI SVORKY BEZ ZS /5490</t>
  </si>
  <si>
    <t>741420083</t>
  </si>
  <si>
    <t>Montáž vedení hromosvodné-štítek k označení svodu</t>
  </si>
  <si>
    <t>DTT104190</t>
  </si>
  <si>
    <t>Štítek - Štítek k označení svodu</t>
  </si>
  <si>
    <t>741430004</t>
  </si>
  <si>
    <t>Montáž tyč jímací délky do 3 m na střešní hřeben</t>
  </si>
  <si>
    <t>Hrom</t>
  </si>
  <si>
    <t>Jímací tyč délky 3m včetně příslušenství</t>
  </si>
  <si>
    <t>741810001</t>
  </si>
  <si>
    <t>Celková prohlídka elektrického rozvodu a zařízení do 100 000,- Kč</t>
  </si>
  <si>
    <t>Dodano</t>
  </si>
  <si>
    <t>Svařování spojů zemniče</t>
  </si>
  <si>
    <t>Hlavní ochranná přípojnice MET</t>
  </si>
  <si>
    <t>Vodič CY 25 mm² (hlavní pospojování)</t>
  </si>
  <si>
    <t>Vodič CY 10 mm² (hlavní pospojování)</t>
  </si>
  <si>
    <t>Vodič CY 4 mm² (doplňkové pospojování</t>
  </si>
  <si>
    <t>Napojení potrubí (voda, plyn, kanalizace</t>
  </si>
  <si>
    <t>Napojení kovových konstrukcí</t>
  </si>
  <si>
    <t>Napojení rozváděčů a technologií</t>
  </si>
  <si>
    <t>PŘEPĚŤOVÉ OCHRANY (SPD)</t>
  </si>
  <si>
    <t>Svodič přepětí typ 1</t>
  </si>
  <si>
    <t xml:space="preserve"> Svodič přepětí typ 2</t>
  </si>
  <si>
    <t>Svodič přepětí typ 3</t>
  </si>
  <si>
    <t>Montáž a zapojení SPD</t>
  </si>
  <si>
    <t>pomocnyJímací tyč délky 0,5m včetně příslušenství</t>
  </si>
  <si>
    <t>Jímací tyč délky 2m včetně příslušenství</t>
  </si>
  <si>
    <t>objímka jímací tyče FeZn</t>
  </si>
  <si>
    <t>stojan FeZn pro jímací tyč bez podstavců</t>
  </si>
  <si>
    <t>svorkovnice ekvipotenciální 160x60mm</t>
  </si>
  <si>
    <t>stojan pro jímací tyč s rovným koncem, FeZn, s plastbetonovými podpěrami, pro jímač do 2000mm - rozpětí podpěr 350mm</t>
  </si>
  <si>
    <t>ZTI</t>
  </si>
  <si>
    <t>Vytapění</t>
  </si>
  <si>
    <t>VZT</t>
  </si>
  <si>
    <t>Uzemnění, Hromosvod</t>
  </si>
  <si>
    <t>NABÍDKA   8.5.2026</t>
  </si>
  <si>
    <t>Množství celkem</t>
  </si>
  <si>
    <t>Poznamky</t>
  </si>
  <si>
    <t>Položka je v dokumentaci, ale není ve výkresech.</t>
  </si>
  <si>
    <t>Kod</t>
  </si>
  <si>
    <t>Žluté označení indikuje, že dané položky byly dodány</t>
  </si>
  <si>
    <r>
      <t xml:space="preserve">Množství,
</t>
    </r>
    <r>
      <rPr>
        <b/>
        <sz val="12"/>
        <color rgb="FF0070C0"/>
        <rFont val="Times New Roman"/>
        <family val="1"/>
        <charset val="238"/>
      </rPr>
      <t xml:space="preserve"> 1PP</t>
    </r>
  </si>
  <si>
    <r>
      <t xml:space="preserve">Množství,
</t>
    </r>
    <r>
      <rPr>
        <b/>
        <sz val="12"/>
        <color rgb="FF0070C0"/>
        <rFont val="Times New Roman"/>
        <family val="1"/>
        <charset val="238"/>
      </rPr>
      <t xml:space="preserve"> 1NP</t>
    </r>
  </si>
  <si>
    <r>
      <t xml:space="preserve">Množství, 
</t>
    </r>
    <r>
      <rPr>
        <b/>
        <sz val="12"/>
        <color rgb="FF0070C0"/>
        <rFont val="Times New Roman"/>
        <family val="1"/>
        <charset val="238"/>
      </rPr>
      <t>2 NP</t>
    </r>
  </si>
  <si>
    <r>
      <t xml:space="preserve">Množství, 
</t>
    </r>
    <r>
      <rPr>
        <b/>
        <sz val="12"/>
        <color rgb="FF0070C0"/>
        <rFont val="Times New Roman"/>
        <family val="1"/>
        <charset val="238"/>
      </rPr>
      <t>3 NP</t>
    </r>
  </si>
  <si>
    <r>
      <t xml:space="preserve">Množství,
</t>
    </r>
    <r>
      <rPr>
        <b/>
        <sz val="12"/>
        <color rgb="FF0070C0"/>
        <rFont val="Times New Roman"/>
        <family val="1"/>
        <charset val="238"/>
      </rPr>
      <t xml:space="preserve"> Strecha</t>
    </r>
  </si>
  <si>
    <t>montaž 4 - 2 kus, 2 - 2 kus, 6 - 4 kus</t>
  </si>
  <si>
    <t>montaž 3 - 4 kus, 4 - 1 kus</t>
  </si>
  <si>
    <t>montaž 3 - 1 kus, 6 - 1 kus</t>
  </si>
  <si>
    <t>8 - 4 kus, 6 - 1 kus, 7 - 1 kus</t>
  </si>
  <si>
    <t>ve vykresach  FTXM20N</t>
  </si>
  <si>
    <t>odstranit,dublikat, položka 13</t>
  </si>
  <si>
    <t>01 - Bytové domy A, B, C, D vč. podzemního podlaží</t>
  </si>
  <si>
    <t>D1.410 - ZTI - Kanalizace</t>
  </si>
  <si>
    <t>Vnitřní kanalizace</t>
  </si>
  <si>
    <t xml:space="preserve">Potrubí v zemi </t>
  </si>
  <si>
    <t>Potrubí v konstrukci</t>
  </si>
  <si>
    <t>Tepelná izolace plastového dešťového potrubí DN75 tl. 20mm (např. Mirelon)</t>
  </si>
  <si>
    <t>Výtlačné potrubí</t>
  </si>
  <si>
    <t>Kanalizační tvarovky a prvky</t>
  </si>
  <si>
    <t>Sifon pro kondenzát (např. HL138)</t>
  </si>
  <si>
    <t>Sifon pro pračku a myčku (např. HL4000.0+4000.1)</t>
  </si>
  <si>
    <t>Lapač střešních splavenin (např. HL600NHO)</t>
  </si>
  <si>
    <t>Terasový vtok (např. HL80)</t>
  </si>
  <si>
    <t>Přivzdušňovací ventil podomítkový (např. HL905)</t>
  </si>
  <si>
    <t>Ventilační hlavice dle střešního systému DN75</t>
  </si>
  <si>
    <t>Ventilační hlavice dle střešního systému DN110</t>
  </si>
  <si>
    <t>Ventilační hlavice dle střešního systému DN125</t>
  </si>
  <si>
    <t>Dvířka pro čistící kus</t>
  </si>
  <si>
    <t>Dvířka pro sifon</t>
  </si>
  <si>
    <t>Podomítkový splachovací modul pro WC do výšky 100cm (např. Geberit Duofix)</t>
  </si>
  <si>
    <t>Odvodňovací žlab vč. osazení a zabetonování - žlab 6m + vpust 0,5m vč.litinového roštu, čelní stěny, kalového koše (např. ACO Multiline V150S) a stavebních přípomocí</t>
  </si>
  <si>
    <t>Odvodňovací žlab vč. osazení a zabetonování - žlab 1m + vpust 0,5m vč.litinového roštu, čelní stěny, kalového koše (např. ACO EuroSelf) a stavebních přípomocí</t>
  </si>
  <si>
    <t>Protipožární ucpávky</t>
  </si>
  <si>
    <t>Protipožární ucpávky na plastovém potrubí z hrdlových trub a souvisejících prací - DN125</t>
  </si>
  <si>
    <t>Protipožární ucpávky na plastovém potrubí z hrdlových trub a souvisejících prací - DN110</t>
  </si>
  <si>
    <t>Protipožární ucpávky na plastovém potrubí z hrdlových trub a souvisejících prací - DN75</t>
  </si>
  <si>
    <t>Protipožární ucpávky na plastovém potrubí z hrdlových trub a souvisejících prací - DN50</t>
  </si>
  <si>
    <t>Ostatní práce</t>
  </si>
  <si>
    <t>Napojení FCU jednotek na potrubí</t>
  </si>
  <si>
    <t>Napojení VZT jednotek na potrubí</t>
  </si>
  <si>
    <t>Napojení hrdlového potrubí na okapní žlab</t>
  </si>
  <si>
    <t>Vyvedení dešťového potrubí na střechu</t>
  </si>
  <si>
    <t>Čerpací technika</t>
  </si>
  <si>
    <t>2x kalové čerpadlo pro dešťové vody, 2x šoupátko DN40, 2x zpětná klapka DN40 a spínací přístroj (např. KSB AMA-Drainer A 415 ND/10 + Level Control Basic 2 BC2400DFNO40 + 3x plovákový spínač)</t>
  </si>
  <si>
    <t>Kalové čerpadlo s plovákem, šoupátko DN40, zpětná klapka DN40 (např. KSB AMA-Drainer A 405 SE/10)</t>
  </si>
  <si>
    <t>Čerpací box pro dešťové vody (např. KSB zdvojený nadúrovňový box Z2 B 405 NE/35) vč. připojovací sady a ovládací automatiky</t>
  </si>
  <si>
    <t>Čerpací box pro splašky s jedním čerpadlem vč. rozvaděče LevelControl, s integrovanou zpětnou klapkou DN80 na výstupu, šoupátko DN80 a sada montážního příslušenství (KSB Mini-Compacta U1.060D)</t>
  </si>
  <si>
    <t>Venkovní práce a objekty</t>
  </si>
  <si>
    <t>Kanalizační revizní plastové šachty Ø425 s litinovým poklopem B125 a rámem vč. zemních prací</t>
  </si>
  <si>
    <t>Kanalizační revizní plastové šachty Ø600 s litinovým poklopem B125 a rámem vč. zemních prací</t>
  </si>
  <si>
    <t>Kanalizační revizní plastové šachty Ø1000 s litinovým poklopem B125 a rámem vč. zemních prací</t>
  </si>
  <si>
    <t>Filtrační šachty plastové podzemní Drainstar Ø400 s litinovým poklopem B125 vč. zemních prací</t>
  </si>
  <si>
    <t>Filtrační šachta plastová podzemní s teleskopem Ø600 s litinovým poklopem B125 vč.zemních prací</t>
  </si>
  <si>
    <t>Vsakovací objekt VS-A = vsakovací bloky 64ks (EcoBloc), geotextilie, inspekční a větrací šachta DN600 s děrovaným poklopem, zemní práce (výkopy, podsyp, obsyp, zásyp, odvoz přebytečné zeminy, hutnění apod.)</t>
  </si>
  <si>
    <t>Vsakovací objekt VS-B = vsakovací bloky 40ks (EcoBloc), geotextilie, inspekční a větrací šachta DN600 s děrovaným poklopem, zemní práce (výkopy, podsyp, obsyp, zásyp, odvoz přebytečné zeminy, hutnění apod.)</t>
  </si>
  <si>
    <t>Vsakovací objekt VS-C = vsakovací bloky 56ks (EcoBloc), geotextilie, inspekční a větrací šachta DN600 s děrovaným poklopem, zemní práce (výkopy, podsyp, obsyp, zásyp, odvoz přebytečné zeminy, hutnění apod.)</t>
  </si>
  <si>
    <t>Vsakovací objekt VS-D = drenážní potrubí DN200 délky 45m s oblázkovým štěrkem a geotextilií, zemní práce (výkopy, podsyp, obsyp, zásyp, odvoz přebytečné zeminy, hutnění apod.)</t>
  </si>
  <si>
    <t>Tlakové zkoušky potrubí a funkční zkoušky zařízení, zaškolení obsluhy</t>
  </si>
  <si>
    <r>
      <t xml:space="preserve">Plastové svodné potrubí odpadní v zemi z PP hrdlových trub </t>
    </r>
    <r>
      <rPr>
        <sz val="12"/>
        <color rgb="FFFF0000"/>
        <rFont val="Times New Roman"/>
        <family val="1"/>
        <charset val="238"/>
      </rPr>
      <t>KG 2000 PP</t>
    </r>
    <r>
      <rPr>
        <sz val="12"/>
        <rFont val="Times New Roman"/>
        <family val="1"/>
        <charset val="238"/>
      </rPr>
      <t xml:space="preserve">, vč. tvarovek a souvisejících prací - </t>
    </r>
    <r>
      <rPr>
        <sz val="12"/>
        <color rgb="FFFF0000"/>
        <rFont val="Times New Roman"/>
        <family val="1"/>
        <charset val="238"/>
      </rPr>
      <t>DN200</t>
    </r>
    <r>
      <rPr>
        <sz val="12"/>
        <rFont val="Times New Roman"/>
        <family val="1"/>
        <charset val="238"/>
      </rPr>
      <t xml:space="preserve"> (výkop a zásyp viz stavební přípomoce)</t>
    </r>
  </si>
  <si>
    <r>
      <t xml:space="preserve">Plastové svodné potrubí odpadní v zemi z PP hrdlových trub </t>
    </r>
    <r>
      <rPr>
        <sz val="12"/>
        <color rgb="FFFF0000"/>
        <rFont val="Times New Roman"/>
        <family val="1"/>
        <charset val="238"/>
      </rPr>
      <t>KG 2000 PP</t>
    </r>
    <r>
      <rPr>
        <sz val="12"/>
        <rFont val="Times New Roman"/>
        <family val="1"/>
        <charset val="238"/>
      </rPr>
      <t xml:space="preserve">, vč. tvarovek a souvisejících prací - </t>
    </r>
    <r>
      <rPr>
        <sz val="12"/>
        <color rgb="FFFF0000"/>
        <rFont val="Times New Roman"/>
        <family val="1"/>
        <charset val="238"/>
      </rPr>
      <t>DN150</t>
    </r>
    <r>
      <rPr>
        <sz val="12"/>
        <rFont val="Times New Roman"/>
        <family val="1"/>
        <charset val="238"/>
      </rPr>
      <t xml:space="preserve"> (výkop a zásyp viz stavební přípomoce)</t>
    </r>
  </si>
  <si>
    <r>
      <t xml:space="preserve">Plastové svodné potrubí odpadní v zemi z PP hrdlových trub </t>
    </r>
    <r>
      <rPr>
        <sz val="12"/>
        <color rgb="FFFF0000"/>
        <rFont val="Times New Roman"/>
        <family val="1"/>
        <charset val="238"/>
      </rPr>
      <t>KG 2000 PP</t>
    </r>
    <r>
      <rPr>
        <sz val="12"/>
        <rFont val="Times New Roman"/>
        <family val="1"/>
        <charset val="238"/>
      </rPr>
      <t xml:space="preserve">, vč. tvarovek a souvisejících prací - </t>
    </r>
    <r>
      <rPr>
        <sz val="12"/>
        <color rgb="FFFF0000"/>
        <rFont val="Times New Roman"/>
        <family val="1"/>
        <charset val="238"/>
      </rPr>
      <t>DN125</t>
    </r>
    <r>
      <rPr>
        <sz val="12"/>
        <rFont val="Times New Roman"/>
        <family val="1"/>
        <charset val="238"/>
      </rPr>
      <t xml:space="preserve"> (výkop a zásyp viz stavební přípomoce)</t>
    </r>
  </si>
  <si>
    <r>
      <t xml:space="preserve">Plastové svodné potrubí odpadní v zemi z PP hrdlových trub </t>
    </r>
    <r>
      <rPr>
        <sz val="12"/>
        <color rgb="FFFF0000"/>
        <rFont val="Times New Roman"/>
        <family val="1"/>
        <charset val="238"/>
      </rPr>
      <t>KG 2000 PP</t>
    </r>
    <r>
      <rPr>
        <sz val="12"/>
        <rFont val="Times New Roman"/>
        <family val="1"/>
        <charset val="238"/>
      </rPr>
      <t xml:space="preserve">, vč. tvarovek a souvisejících prací - </t>
    </r>
    <r>
      <rPr>
        <sz val="12"/>
        <color rgb="FFFF0000"/>
        <rFont val="Times New Roman"/>
        <family val="1"/>
        <charset val="238"/>
      </rPr>
      <t>DN110</t>
    </r>
    <r>
      <rPr>
        <sz val="12"/>
        <rFont val="Times New Roman"/>
        <family val="1"/>
        <charset val="238"/>
      </rPr>
      <t xml:space="preserve"> (výkop a zásyp viz stavební přípomoce)</t>
    </r>
  </si>
  <si>
    <r>
      <t xml:space="preserve">Plastové potrubí z PP hrdlových trub </t>
    </r>
    <r>
      <rPr>
        <sz val="12"/>
        <color rgb="FFFF0000"/>
        <rFont val="Times New Roman"/>
        <family val="1"/>
        <charset val="238"/>
      </rPr>
      <t>"HT"</t>
    </r>
    <r>
      <rPr>
        <sz val="12"/>
        <rFont val="Times New Roman"/>
        <family val="1"/>
        <charset val="238"/>
      </rPr>
      <t xml:space="preserve">, vč. tvarovek, závěsů a souvisejících prací a stavebních přípomocí (např. drážek) - </t>
    </r>
    <r>
      <rPr>
        <sz val="12"/>
        <color rgb="FFFF0000"/>
        <rFont val="Times New Roman"/>
        <family val="1"/>
        <charset val="238"/>
      </rPr>
      <t>DN150</t>
    </r>
  </si>
  <si>
    <r>
      <t xml:space="preserve">Plastové potrubí z PP hrdlových trub "HT", vč. tvarovek, závěsů a souvisejících prací a stavebních přípomocí (např. drážek) - </t>
    </r>
    <r>
      <rPr>
        <sz val="12"/>
        <color rgb="FFFF0000"/>
        <rFont val="Times New Roman"/>
        <family val="1"/>
        <charset val="238"/>
      </rPr>
      <t>DN125</t>
    </r>
  </si>
  <si>
    <r>
      <t xml:space="preserve">Plastové potrubí z PP hrdlových trub </t>
    </r>
    <r>
      <rPr>
        <sz val="12"/>
        <color rgb="FFFF0000"/>
        <rFont val="Times New Roman"/>
        <family val="1"/>
        <charset val="238"/>
      </rPr>
      <t>"HT",</t>
    </r>
    <r>
      <rPr>
        <sz val="12"/>
        <rFont val="Times New Roman"/>
        <family val="1"/>
        <charset val="238"/>
      </rPr>
      <t xml:space="preserve"> vč. tvarovek, závěsů a souvisejících prací a stavebních přípomocí (např. drážek) - </t>
    </r>
    <r>
      <rPr>
        <sz val="12"/>
        <color rgb="FFFF0000"/>
        <rFont val="Times New Roman"/>
        <family val="1"/>
        <charset val="238"/>
      </rPr>
      <t>DN110</t>
    </r>
  </si>
  <si>
    <r>
      <t xml:space="preserve">Plastové potrubí z PP hrdlových trub </t>
    </r>
    <r>
      <rPr>
        <sz val="12"/>
        <color rgb="FFFF0000"/>
        <rFont val="Times New Roman"/>
        <family val="1"/>
        <charset val="238"/>
      </rPr>
      <t>"HT"</t>
    </r>
    <r>
      <rPr>
        <sz val="12"/>
        <rFont val="Times New Roman"/>
        <family val="1"/>
        <charset val="238"/>
      </rPr>
      <t xml:space="preserve">, vč. tvarovek, závěsů a souvisejících prací a stavebních přípomocí (např. drážek) - </t>
    </r>
    <r>
      <rPr>
        <sz val="12"/>
        <color rgb="FFFF0000"/>
        <rFont val="Times New Roman"/>
        <family val="1"/>
        <charset val="238"/>
      </rPr>
      <t>DN75</t>
    </r>
  </si>
  <si>
    <r>
      <t xml:space="preserve">Plastové potrubí z PP hrdlových trub </t>
    </r>
    <r>
      <rPr>
        <sz val="12"/>
        <color rgb="FFFF0000"/>
        <rFont val="Times New Roman"/>
        <family val="1"/>
        <charset val="238"/>
      </rPr>
      <t>"HT"</t>
    </r>
    <r>
      <rPr>
        <sz val="12"/>
        <rFont val="Times New Roman"/>
        <family val="1"/>
        <charset val="238"/>
      </rPr>
      <t xml:space="preserve">, vč. tvarovek, závěsů a souvisejících prací a stavebních přípomocí (např. drážek) - </t>
    </r>
    <r>
      <rPr>
        <sz val="12"/>
        <color rgb="FFFF0000"/>
        <rFont val="Times New Roman"/>
        <family val="1"/>
        <charset val="238"/>
      </rPr>
      <t>DN50</t>
    </r>
  </si>
  <si>
    <r>
      <t xml:space="preserve">Plastové potrubí z PP hrdlových trub </t>
    </r>
    <r>
      <rPr>
        <sz val="12"/>
        <color rgb="FFFF0000"/>
        <rFont val="Times New Roman"/>
        <family val="1"/>
        <charset val="238"/>
      </rPr>
      <t>"HT"</t>
    </r>
    <r>
      <rPr>
        <sz val="12"/>
        <rFont val="Times New Roman"/>
        <family val="1"/>
        <charset val="238"/>
      </rPr>
      <t xml:space="preserve">, vč. tvarovek, závěsů a souvisejících prací a stavebních přípomocí (např. drážek) - </t>
    </r>
    <r>
      <rPr>
        <sz val="12"/>
        <color rgb="FFFF0000"/>
        <rFont val="Times New Roman"/>
        <family val="1"/>
        <charset val="238"/>
      </rPr>
      <t>DN40</t>
    </r>
  </si>
  <si>
    <r>
      <t xml:space="preserve">Plastové potrubí z PP hrdlových trub </t>
    </r>
    <r>
      <rPr>
        <sz val="12"/>
        <color rgb="FFFF0000"/>
        <rFont val="Times New Roman"/>
        <family val="1"/>
        <charset val="238"/>
      </rPr>
      <t>"HT"</t>
    </r>
    <r>
      <rPr>
        <sz val="12"/>
        <rFont val="Times New Roman"/>
        <family val="1"/>
        <charset val="238"/>
      </rPr>
      <t xml:space="preserve">, vč. tvarovek, závěsů a souvisejících prací a stavebních přípomocí (např. drážek) - </t>
    </r>
    <r>
      <rPr>
        <sz val="12"/>
        <color rgb="FFFF0000"/>
        <rFont val="Times New Roman"/>
        <family val="1"/>
        <charset val="238"/>
      </rPr>
      <t>DN32</t>
    </r>
  </si>
  <si>
    <r>
      <t xml:space="preserve">Plastové odhlučněné potrubí z hrdlových trub, vč. tvarovek, závěsů a souvisejících prací a stavebních přípomocí (např. drážek) - </t>
    </r>
    <r>
      <rPr>
        <sz val="12"/>
        <color rgb="FFFF0000"/>
        <rFont val="Times New Roman"/>
        <family val="1"/>
        <charset val="238"/>
      </rPr>
      <t>DN110</t>
    </r>
  </si>
  <si>
    <r>
      <t xml:space="preserve">Plastové tlakové potrubí z HDPE trub se svařovanými spoji, vč. tvarovek, závěsů a souvisejících prací a stavebních přípomocí (např. drážek) - </t>
    </r>
    <r>
      <rPr>
        <sz val="12"/>
        <color rgb="FFFF0000"/>
        <rFont val="Times New Roman"/>
        <family val="1"/>
        <charset val="238"/>
      </rPr>
      <t>d90</t>
    </r>
  </si>
  <si>
    <r>
      <t xml:space="preserve">Plastové tlakové potrubí z HDPE trub se svařovanými spoji, vč. tvarovek, závěsů a souvisejících prací a stavebních přípomocí (např. drážek) - </t>
    </r>
    <r>
      <rPr>
        <sz val="12"/>
        <color rgb="FFFF0000"/>
        <rFont val="Times New Roman"/>
        <family val="1"/>
        <charset val="238"/>
      </rPr>
      <t>d63</t>
    </r>
  </si>
  <si>
    <r>
      <t xml:space="preserve">Plastové tlakové potrubí z HDPE trub se svařovanými spoji, vč. tvarovek, závěsů a souvisejících prací a stavebních přípomocí (např. drážek) - </t>
    </r>
    <r>
      <rPr>
        <sz val="12"/>
        <color rgb="FFFF0000"/>
        <rFont val="Times New Roman"/>
        <family val="1"/>
        <charset val="238"/>
      </rPr>
      <t>d50</t>
    </r>
  </si>
  <si>
    <t>Bytový  dům Libuše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</si>
</sst>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Kč&quot;"/>
    <numFmt numFmtId="165" formatCode="#,##0.000"/>
    <numFmt numFmtId="166" formatCode="#,##0_ ;[Red]\-#,##0\ "/>
  </numFmts>
  <fonts count="52">
    <font>
      <sz val="10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2"/>
      <color rgb="FF000000"/>
      <name val="Calibri"/>
      <family val="2"/>
      <charset val="238"/>
    </font>
    <font>
      <sz val="8"/>
      <name val="MS Sans Serif"/>
      <charset val="1"/>
    </font>
    <font>
      <sz val="10"/>
      <name val="Arial CE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8"/>
      <name val="Arial"/>
      <family val="2"/>
    </font>
    <font>
      <sz val="8"/>
      <name val="Arial"/>
      <family val="2"/>
      <charset val="238"/>
    </font>
    <font>
      <b/>
      <sz val="10"/>
      <color indexed="18"/>
      <name val="Arial"/>
      <family val="2"/>
    </font>
    <font>
      <b/>
      <sz val="9"/>
      <color indexed="18"/>
      <name val="Arial"/>
      <family val="2"/>
    </font>
    <font>
      <sz val="9"/>
      <color indexed="18"/>
      <name val="Arial"/>
      <family val="2"/>
      <charset val="238"/>
    </font>
    <font>
      <sz val="8"/>
      <name val="Arial CE"/>
      <charset val="134"/>
    </font>
    <font>
      <sz val="10"/>
      <color rgb="FF969696"/>
      <name val="Arial CE"/>
      <charset val="134"/>
    </font>
    <font>
      <sz val="10"/>
      <name val="Arial CE"/>
      <charset val="134"/>
    </font>
    <font>
      <sz val="8"/>
      <color rgb="FF003366"/>
      <name val="Arial CE"/>
      <charset val="134"/>
    </font>
    <font>
      <b/>
      <sz val="9"/>
      <color theme="1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4"/>
      <color theme="1"/>
      <name val="Times New Roman"/>
      <family val="1"/>
      <charset val="238"/>
    </font>
    <font>
      <b/>
      <u/>
      <sz val="14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sz val="14"/>
      <color theme="0" tint="-0.14999847407452621"/>
      <name val="Times New Roman"/>
      <family val="1"/>
      <charset val="238"/>
    </font>
    <font>
      <sz val="14"/>
      <color theme="2" tint="-9.9978637043366805E-2"/>
      <name val="Times New Roman"/>
      <family val="1"/>
      <charset val="238"/>
    </font>
    <font>
      <sz val="14"/>
      <color rgb="FF000000"/>
      <name val="Times New Roman"/>
      <family val="1"/>
      <charset val="238"/>
    </font>
    <font>
      <sz val="10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4"/>
      <name val="Times New Roman"/>
      <family val="1"/>
      <charset val="238"/>
    </font>
    <font>
      <b/>
      <sz val="14"/>
      <name val="Times New Roman"/>
      <family val="1"/>
      <charset val="238"/>
    </font>
    <font>
      <sz val="12"/>
      <color rgb="FF003366"/>
      <name val="Times New Roman"/>
      <family val="1"/>
      <charset val="238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12"/>
      <color rgb="FF0070C0"/>
      <name val="Times New Roman"/>
      <family val="1"/>
      <charset val="238"/>
    </font>
    <font>
      <sz val="12"/>
      <name val="Times New Roman"/>
      <family val="1"/>
      <charset val="238"/>
    </font>
    <font>
      <i/>
      <sz val="12"/>
      <color rgb="FF969696"/>
      <name val="Times New Roman"/>
      <family val="1"/>
      <charset val="238"/>
    </font>
    <font>
      <i/>
      <sz val="12"/>
      <color theme="1"/>
      <name val="Times New Roman"/>
      <family val="1"/>
      <charset val="238"/>
    </font>
    <font>
      <sz val="12"/>
      <color indexed="8"/>
      <name val="Times New Roman"/>
      <family val="1"/>
      <charset val="238"/>
    </font>
    <font>
      <sz val="12"/>
      <color theme="0" tint="-0.249977111117893"/>
      <name val="Times New Roman"/>
      <family val="1"/>
      <charset val="238"/>
    </font>
    <font>
      <b/>
      <sz val="12"/>
      <color rgb="FF003366"/>
      <name val="Times New Roman"/>
      <family val="1"/>
      <charset val="238"/>
    </font>
    <font>
      <sz val="11"/>
      <name val="Times New Roman"/>
      <family val="1"/>
      <charset val="238"/>
    </font>
    <font>
      <b/>
      <sz val="11"/>
      <name val="Times New Roman"/>
      <family val="1"/>
      <charset val="238"/>
    </font>
    <font>
      <sz val="12"/>
      <color theme="0" tint="-0.34998626667073579"/>
      <name val="Times New Roman"/>
      <family val="1"/>
      <charset val="238"/>
    </font>
    <font>
      <sz val="12"/>
      <color rgb="FF969696"/>
      <name val="Times New Roman"/>
      <family val="1"/>
      <charset val="238"/>
    </font>
    <font>
      <strike/>
      <sz val="12"/>
      <color theme="1"/>
      <name val="Times New Roman"/>
      <family val="1"/>
      <charset val="238"/>
    </font>
    <font>
      <sz val="11"/>
      <color theme="1"/>
      <name val="Aptos Narrow"/>
      <family val="2"/>
      <charset val="204"/>
      <scheme val="minor"/>
    </font>
    <font>
      <b/>
      <sz val="11"/>
      <name val="Arial CE"/>
      <charset val="134"/>
    </font>
    <font>
      <b/>
      <sz val="11"/>
      <color theme="1"/>
      <name val="Aptos Narrow"/>
      <family val="2"/>
      <charset val="238"/>
      <scheme val="minor"/>
    </font>
    <font>
      <sz val="12"/>
      <color rgb="FFFF0000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b/>
      <sz val="12"/>
      <color rgb="FF000000"/>
      <name val="Times New Roman"/>
      <family val="1"/>
      <charset val="238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6E0AD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 style="hair">
        <color rgb="FF969696"/>
      </right>
      <top/>
      <bottom style="hair">
        <color rgb="FF96969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4" fillId="0" borderId="0" applyAlignment="0">
      <alignment vertical="top"/>
      <protection locked="0"/>
    </xf>
    <xf numFmtId="0" fontId="5" fillId="0" borderId="0"/>
    <xf numFmtId="0" fontId="13" fillId="0" borderId="0"/>
    <xf numFmtId="0" fontId="7" fillId="0" borderId="0"/>
    <xf numFmtId="0" fontId="46" fillId="0" borderId="0"/>
  </cellStyleXfs>
  <cellXfs count="26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0" borderId="0" xfId="0" applyAlignment="1">
      <alignment vertical="top"/>
    </xf>
    <xf numFmtId="0" fontId="9" fillId="7" borderId="0" xfId="0" applyFont="1" applyFill="1" applyAlignment="1">
      <alignment vertical="top"/>
    </xf>
    <xf numFmtId="0" fontId="9" fillId="8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6" fontId="12" fillId="0" borderId="0" xfId="0" applyNumberFormat="1" applyFont="1"/>
    <xf numFmtId="166" fontId="9" fillId="0" borderId="0" xfId="0" applyNumberFormat="1" applyFont="1"/>
    <xf numFmtId="166" fontId="7" fillId="0" borderId="0" xfId="0" applyNumberFormat="1" applyFont="1"/>
    <xf numFmtId="166" fontId="8" fillId="0" borderId="0" xfId="0" applyNumberFormat="1" applyFont="1"/>
    <xf numFmtId="0" fontId="6" fillId="0" borderId="0" xfId="0" applyFont="1" applyAlignment="1">
      <alignment vertical="center"/>
    </xf>
    <xf numFmtId="0" fontId="0" fillId="6" borderId="0" xfId="0" applyFill="1"/>
    <xf numFmtId="4" fontId="3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  <xf numFmtId="0" fontId="17" fillId="0" borderId="2" xfId="0" applyFont="1" applyBorder="1" applyAlignment="1">
      <alignment horizontal="left" vertical="center" wrapText="1"/>
    </xf>
    <xf numFmtId="49" fontId="20" fillId="0" borderId="0" xfId="0" applyNumberFormat="1" applyFont="1"/>
    <xf numFmtId="0" fontId="20" fillId="0" borderId="0" xfId="0" applyFont="1" applyAlignment="1">
      <alignment horizontal="center"/>
    </xf>
    <xf numFmtId="0" fontId="20" fillId="0" borderId="0" xfId="0" applyFont="1"/>
    <xf numFmtId="49" fontId="20" fillId="0" borderId="0" xfId="0" applyNumberFormat="1" applyFont="1" applyAlignment="1">
      <alignment horizontal="right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/>
    <xf numFmtId="14" fontId="24" fillId="0" borderId="0" xfId="0" applyNumberFormat="1" applyFont="1"/>
    <xf numFmtId="3" fontId="24" fillId="0" borderId="0" xfId="0" applyNumberFormat="1" applyFont="1"/>
    <xf numFmtId="4" fontId="20" fillId="0" borderId="0" xfId="0" applyNumberFormat="1" applyFont="1"/>
    <xf numFmtId="16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49" fontId="26" fillId="0" borderId="0" xfId="0" applyNumberFormat="1" applyFont="1"/>
    <xf numFmtId="0" fontId="27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4" fontId="28" fillId="0" borderId="0" xfId="0" applyNumberFormat="1" applyFont="1"/>
    <xf numFmtId="4" fontId="29" fillId="0" borderId="0" xfId="0" applyNumberFormat="1" applyFont="1" applyAlignment="1">
      <alignment horizontal="center" vertical="center"/>
    </xf>
    <xf numFmtId="4" fontId="28" fillId="6" borderId="0" xfId="0" applyNumberFormat="1" applyFont="1" applyFill="1"/>
    <xf numFmtId="4" fontId="29" fillId="0" borderId="0" xfId="0" applyNumberFormat="1" applyFont="1"/>
    <xf numFmtId="4" fontId="29" fillId="6" borderId="0" xfId="0" applyNumberFormat="1" applyFont="1" applyFill="1"/>
    <xf numFmtId="49" fontId="28" fillId="0" borderId="0" xfId="0" applyNumberFormat="1" applyFont="1" applyAlignment="1">
      <alignment horizontal="left"/>
    </xf>
    <xf numFmtId="49" fontId="28" fillId="0" borderId="0" xfId="0" applyNumberFormat="1" applyFont="1"/>
    <xf numFmtId="49" fontId="28" fillId="6" borderId="7" xfId="0" applyNumberFormat="1" applyFont="1" applyFill="1" applyBorder="1" applyAlignment="1">
      <alignment horizontal="left" vertical="center" wrapText="1"/>
    </xf>
    <xf numFmtId="164" fontId="26" fillId="0" borderId="8" xfId="0" applyNumberFormat="1" applyFont="1" applyBorder="1" applyAlignment="1">
      <alignment horizontal="left" vertical="center" wrapText="1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4" fontId="33" fillId="10" borderId="1" xfId="0" applyNumberFormat="1" applyFont="1" applyFill="1" applyBorder="1" applyAlignment="1">
      <alignment horizontal="center" vertical="center"/>
    </xf>
    <xf numFmtId="0" fontId="33" fillId="10" borderId="1" xfId="0" applyFont="1" applyFill="1" applyBorder="1" applyAlignment="1">
      <alignment horizontal="center" vertical="center"/>
    </xf>
    <xf numFmtId="3" fontId="33" fillId="10" borderId="1" xfId="0" applyNumberFormat="1" applyFont="1" applyFill="1" applyBorder="1" applyAlignment="1">
      <alignment horizontal="center" vertical="center" wrapText="1"/>
    </xf>
    <xf numFmtId="3" fontId="33" fillId="9" borderId="1" xfId="3" applyNumberFormat="1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 wrapText="1"/>
    </xf>
    <xf numFmtId="0" fontId="30" fillId="0" borderId="0" xfId="0" applyFont="1"/>
    <xf numFmtId="0" fontId="30" fillId="0" borderId="1" xfId="0" applyFont="1" applyBorder="1" applyAlignment="1">
      <alignment horizontal="left"/>
    </xf>
    <xf numFmtId="0" fontId="31" fillId="0" borderId="0" xfId="0" applyFont="1" applyAlignment="1">
      <alignment vertical="center"/>
    </xf>
    <xf numFmtId="49" fontId="35" fillId="0" borderId="1" xfId="0" applyNumberFormat="1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1" fillId="0" borderId="1" xfId="0" applyFont="1" applyBorder="1"/>
    <xf numFmtId="0" fontId="31" fillId="6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0" fontId="36" fillId="0" borderId="1" xfId="0" applyFont="1" applyBorder="1" applyAlignment="1">
      <alignment vertical="center" wrapText="1"/>
    </xf>
    <xf numFmtId="0" fontId="31" fillId="4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vertical="center"/>
    </xf>
    <xf numFmtId="0" fontId="32" fillId="6" borderId="1" xfId="0" applyFont="1" applyFill="1" applyBorder="1" applyAlignment="1">
      <alignment horizontal="center" vertical="center"/>
    </xf>
    <xf numFmtId="49" fontId="35" fillId="0" borderId="1" xfId="3" applyNumberFormat="1" applyFont="1" applyBorder="1" applyAlignment="1">
      <alignment horizontal="left" vertical="center" wrapText="1"/>
    </xf>
    <xf numFmtId="0" fontId="35" fillId="0" borderId="1" xfId="3" applyFont="1" applyBorder="1" applyAlignment="1">
      <alignment horizontal="left" vertical="center" wrapText="1"/>
    </xf>
    <xf numFmtId="0" fontId="33" fillId="0" borderId="1" xfId="3" applyFont="1" applyBorder="1" applyAlignment="1">
      <alignment horizontal="left" vertical="center" wrapText="1"/>
    </xf>
    <xf numFmtId="0" fontId="38" fillId="6" borderId="1" xfId="4" applyFont="1" applyFill="1" applyBorder="1" applyAlignment="1">
      <alignment horizontal="left" vertical="center" wrapText="1"/>
    </xf>
    <xf numFmtId="0" fontId="31" fillId="0" borderId="1" xfId="0" applyFont="1" applyBorder="1" applyAlignment="1">
      <alignment wrapText="1"/>
    </xf>
    <xf numFmtId="0" fontId="35" fillId="6" borderId="1" xfId="3" applyFont="1" applyFill="1" applyBorder="1" applyAlignment="1">
      <alignment horizontal="left" vertical="center" wrapText="1"/>
    </xf>
    <xf numFmtId="0" fontId="33" fillId="6" borderId="1" xfId="3" applyFont="1" applyFill="1" applyBorder="1" applyAlignment="1">
      <alignment horizontal="left" vertical="center" wrapText="1"/>
    </xf>
    <xf numFmtId="4" fontId="33" fillId="0" borderId="0" xfId="0" applyNumberFormat="1" applyFont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4" fontId="33" fillId="0" borderId="0" xfId="0" applyNumberFormat="1" applyFont="1" applyAlignment="1">
      <alignment horizontal="left" vertical="center"/>
    </xf>
    <xf numFmtId="0" fontId="33" fillId="10" borderId="1" xfId="0" applyFont="1" applyFill="1" applyBorder="1" applyAlignment="1">
      <alignment vertical="center"/>
    </xf>
    <xf numFmtId="0" fontId="33" fillId="10" borderId="1" xfId="3" applyFont="1" applyFill="1" applyBorder="1" applyAlignment="1">
      <alignment horizontal="center" vertical="center" wrapText="1"/>
    </xf>
    <xf numFmtId="0" fontId="33" fillId="10" borderId="1" xfId="0" applyFont="1" applyFill="1" applyBorder="1"/>
    <xf numFmtId="165" fontId="35" fillId="0" borderId="1" xfId="0" applyNumberFormat="1" applyFont="1" applyBorder="1" applyAlignment="1">
      <alignment vertical="center"/>
    </xf>
    <xf numFmtId="4" fontId="35" fillId="0" borderId="1" xfId="0" applyNumberFormat="1" applyFont="1" applyBorder="1"/>
    <xf numFmtId="3" fontId="35" fillId="0" borderId="1" xfId="0" applyNumberFormat="1" applyFont="1" applyBorder="1" applyAlignment="1">
      <alignment horizontal="center" vertical="center"/>
    </xf>
    <xf numFmtId="3" fontId="33" fillId="0" borderId="1" xfId="0" applyNumberFormat="1" applyFont="1" applyBorder="1" applyAlignment="1">
      <alignment horizontal="center" vertical="center"/>
    </xf>
    <xf numFmtId="4" fontId="35" fillId="0" borderId="1" xfId="0" applyNumberFormat="1" applyFont="1" applyBorder="1" applyAlignment="1">
      <alignment horizontal="left" vertical="center"/>
    </xf>
    <xf numFmtId="3" fontId="35" fillId="6" borderId="1" xfId="0" applyNumberFormat="1" applyFont="1" applyFill="1" applyBorder="1" applyAlignment="1">
      <alignment horizontal="center" vertical="center"/>
    </xf>
    <xf numFmtId="3" fontId="33" fillId="6" borderId="1" xfId="0" applyNumberFormat="1" applyFont="1" applyFill="1" applyBorder="1" applyAlignment="1">
      <alignment horizontal="center" vertical="center"/>
    </xf>
    <xf numFmtId="4" fontId="35" fillId="6" borderId="1" xfId="0" applyNumberFormat="1" applyFont="1" applyFill="1" applyBorder="1" applyAlignment="1">
      <alignment horizontal="left" vertical="center" wrapText="1"/>
    </xf>
    <xf numFmtId="0" fontId="35" fillId="0" borderId="1" xfId="0" quotePrefix="1" applyFont="1" applyBorder="1" applyAlignment="1">
      <alignment horizontal="left" vertical="center"/>
    </xf>
    <xf numFmtId="0" fontId="35" fillId="0" borderId="1" xfId="0" quotePrefix="1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/>
    </xf>
    <xf numFmtId="49" fontId="35" fillId="6" borderId="1" xfId="0" applyNumberFormat="1" applyFont="1" applyFill="1" applyBorder="1" applyAlignment="1">
      <alignment horizontal="left" vertical="center" wrapText="1"/>
    </xf>
    <xf numFmtId="0" fontId="35" fillId="6" borderId="1" xfId="4" applyFont="1" applyFill="1" applyBorder="1" applyAlignment="1">
      <alignment horizontal="left" vertical="center" wrapText="1"/>
    </xf>
    <xf numFmtId="49" fontId="35" fillId="6" borderId="1" xfId="4" applyNumberFormat="1" applyFont="1" applyFill="1" applyBorder="1" applyAlignment="1">
      <alignment horizontal="center" vertical="center"/>
    </xf>
    <xf numFmtId="4" fontId="35" fillId="6" borderId="1" xfId="0" applyNumberFormat="1" applyFont="1" applyFill="1" applyBorder="1"/>
    <xf numFmtId="4" fontId="35" fillId="6" borderId="1" xfId="0" applyNumberFormat="1" applyFont="1" applyFill="1" applyBorder="1" applyAlignment="1">
      <alignment horizontal="left" vertical="center"/>
    </xf>
    <xf numFmtId="4" fontId="35" fillId="0" borderId="0" xfId="0" applyNumberFormat="1" applyFont="1"/>
    <xf numFmtId="3" fontId="35" fillId="0" borderId="0" xfId="0" applyNumberFormat="1" applyFont="1"/>
    <xf numFmtId="3" fontId="33" fillId="0" borderId="0" xfId="0" applyNumberFormat="1" applyFont="1"/>
    <xf numFmtId="4" fontId="35" fillId="0" borderId="0" xfId="0" applyNumberFormat="1" applyFont="1" applyAlignment="1">
      <alignment horizontal="left"/>
    </xf>
    <xf numFmtId="3" fontId="35" fillId="0" borderId="0" xfId="0" applyNumberFormat="1" applyFont="1" applyAlignment="1">
      <alignment horizontal="center" vertical="center"/>
    </xf>
    <xf numFmtId="4" fontId="35" fillId="0" borderId="0" xfId="0" applyNumberFormat="1" applyFont="1" applyAlignment="1">
      <alignment horizontal="left" vertical="center"/>
    </xf>
    <xf numFmtId="4" fontId="33" fillId="0" borderId="0" xfId="0" applyNumberFormat="1" applyFont="1"/>
    <xf numFmtId="49" fontId="35" fillId="0" borderId="0" xfId="0" applyNumberFormat="1" applyFont="1" applyAlignment="1">
      <alignment wrapText="1"/>
    </xf>
    <xf numFmtId="165" fontId="35" fillId="0" borderId="0" xfId="0" applyNumberFormat="1" applyFont="1" applyAlignment="1">
      <alignment horizontal="right"/>
    </xf>
    <xf numFmtId="2" fontId="35" fillId="0" borderId="0" xfId="0" applyNumberFormat="1" applyFont="1" applyAlignment="1">
      <alignment horizontal="left" vertical="center"/>
    </xf>
    <xf numFmtId="0" fontId="2" fillId="0" borderId="1" xfId="0" applyFont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33" fillId="10" borderId="1" xfId="0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9" fillId="0" borderId="1" xfId="0" applyFont="1" applyBorder="1" applyAlignment="1">
      <alignment vertical="center" wrapText="1"/>
    </xf>
    <xf numFmtId="0" fontId="41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vertical="center" wrapText="1"/>
    </xf>
    <xf numFmtId="0" fontId="33" fillId="6" borderId="1" xfId="0" applyFont="1" applyFill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42" fillId="0" borderId="1" xfId="0" applyFont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center" vertical="center" wrapText="1"/>
    </xf>
    <xf numFmtId="0" fontId="35" fillId="0" borderId="1" xfId="0" applyFont="1" applyBorder="1"/>
    <xf numFmtId="0" fontId="35" fillId="0" borderId="1" xfId="0" applyFont="1" applyBorder="1" applyAlignment="1">
      <alignment horizontal="left"/>
    </xf>
    <xf numFmtId="0" fontId="35" fillId="6" borderId="1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left" vertical="center" wrapText="1"/>
    </xf>
    <xf numFmtId="0" fontId="43" fillId="0" borderId="1" xfId="0" applyFont="1" applyBorder="1" applyAlignment="1">
      <alignment horizontal="left" vertical="center" wrapText="1"/>
    </xf>
    <xf numFmtId="0" fontId="0" fillId="4" borderId="0" xfId="0" applyFill="1"/>
    <xf numFmtId="0" fontId="35" fillId="0" borderId="0" xfId="0" applyFont="1" applyAlignment="1">
      <alignment horizontal="left" vertical="center"/>
    </xf>
    <xf numFmtId="0" fontId="31" fillId="4" borderId="0" xfId="0" applyFont="1" applyFill="1" applyAlignment="1">
      <alignment vertical="center"/>
    </xf>
    <xf numFmtId="0" fontId="31" fillId="4" borderId="0" xfId="0" applyFont="1" applyFill="1"/>
    <xf numFmtId="0" fontId="31" fillId="4" borderId="1" xfId="0" applyFont="1" applyFill="1" applyBorder="1" applyAlignment="1">
      <alignment horizontal="center" vertical="center" wrapText="1"/>
    </xf>
    <xf numFmtId="0" fontId="31" fillId="4" borderId="1" xfId="0" applyFont="1" applyFill="1" applyBorder="1"/>
    <xf numFmtId="0" fontId="31" fillId="4" borderId="1" xfId="0" applyFont="1" applyFill="1" applyBorder="1" applyAlignment="1">
      <alignment vertical="center"/>
    </xf>
    <xf numFmtId="49" fontId="31" fillId="4" borderId="1" xfId="0" applyNumberFormat="1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horizontal="left"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1" fillId="6" borderId="1" xfId="0" quotePrefix="1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vertical="center"/>
    </xf>
    <xf numFmtId="0" fontId="32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1" fillId="4" borderId="0" xfId="0" applyFont="1" applyFill="1" applyAlignment="1">
      <alignment horizontal="center" vertical="center"/>
    </xf>
    <xf numFmtId="165" fontId="31" fillId="4" borderId="1" xfId="0" applyNumberFormat="1" applyFont="1" applyFill="1" applyBorder="1" applyAlignment="1">
      <alignment horizontal="center" vertical="center"/>
    </xf>
    <xf numFmtId="4" fontId="31" fillId="4" borderId="1" xfId="0" applyNumberFormat="1" applyFont="1" applyFill="1" applyBorder="1" applyAlignment="1" applyProtection="1">
      <alignment horizontal="center" vertical="center"/>
      <protection locked="0"/>
    </xf>
    <xf numFmtId="4" fontId="31" fillId="4" borderId="1" xfId="0" applyNumberFormat="1" applyFont="1" applyFill="1" applyBorder="1" applyAlignment="1">
      <alignment horizontal="center" vertical="center"/>
    </xf>
    <xf numFmtId="4" fontId="32" fillId="4" borderId="1" xfId="0" applyNumberFormat="1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left"/>
    </xf>
    <xf numFmtId="0" fontId="46" fillId="0" borderId="0" xfId="5" applyAlignment="1">
      <alignment vertical="center"/>
    </xf>
    <xf numFmtId="0" fontId="46" fillId="0" borderId="18" xfId="5" applyBorder="1"/>
    <xf numFmtId="0" fontId="46" fillId="0" borderId="16" xfId="5" applyBorder="1"/>
    <xf numFmtId="0" fontId="46" fillId="0" borderId="0" xfId="5"/>
    <xf numFmtId="0" fontId="15" fillId="0" borderId="0" xfId="5" applyFont="1" applyAlignment="1">
      <alignment horizontal="left" vertical="center"/>
    </xf>
    <xf numFmtId="0" fontId="16" fillId="0" borderId="0" xfId="5" applyFont="1"/>
    <xf numFmtId="0" fontId="48" fillId="0" borderId="0" xfId="5" applyFont="1"/>
    <xf numFmtId="0" fontId="30" fillId="0" borderId="1" xfId="5" applyFont="1" applyBorder="1" applyAlignment="1">
      <alignment horizontal="left"/>
    </xf>
    <xf numFmtId="0" fontId="31" fillId="0" borderId="1" xfId="5" applyFont="1" applyBorder="1" applyAlignment="1">
      <alignment vertical="center"/>
    </xf>
    <xf numFmtId="0" fontId="31" fillId="0" borderId="1" xfId="5" applyFont="1" applyBorder="1" applyAlignment="1">
      <alignment horizontal="center" vertical="center"/>
    </xf>
    <xf numFmtId="0" fontId="31" fillId="0" borderId="1" xfId="5" applyFont="1" applyBorder="1"/>
    <xf numFmtId="49" fontId="35" fillId="0" borderId="1" xfId="5" applyNumberFormat="1" applyFont="1" applyBorder="1" applyAlignment="1">
      <alignment horizontal="left" vertical="center" wrapText="1"/>
    </xf>
    <xf numFmtId="0" fontId="35" fillId="0" borderId="1" xfId="5" applyFont="1" applyBorder="1" applyAlignment="1">
      <alignment horizontal="left" vertical="center" wrapText="1"/>
    </xf>
    <xf numFmtId="0" fontId="35" fillId="0" borderId="1" xfId="5" applyFont="1" applyBorder="1" applyAlignment="1">
      <alignment horizontal="center" vertical="center" wrapText="1"/>
    </xf>
    <xf numFmtId="0" fontId="31" fillId="0" borderId="0" xfId="5" applyFont="1"/>
    <xf numFmtId="0" fontId="31" fillId="0" borderId="0" xfId="5" applyFont="1" applyAlignment="1">
      <alignment horizontal="center" vertical="center"/>
    </xf>
    <xf numFmtId="0" fontId="48" fillId="0" borderId="0" xfId="5" applyFont="1" applyAlignment="1">
      <alignment horizontal="center" vertical="center" wrapText="1"/>
    </xf>
    <xf numFmtId="0" fontId="32" fillId="0" borderId="1" xfId="5" applyFont="1" applyBorder="1" applyAlignment="1">
      <alignment horizontal="center" vertical="center"/>
    </xf>
    <xf numFmtId="0" fontId="32" fillId="0" borderId="0" xfId="5" applyFont="1" applyAlignment="1">
      <alignment horizontal="center" vertical="center"/>
    </xf>
    <xf numFmtId="0" fontId="31" fillId="0" borderId="18" xfId="5" applyFont="1" applyBorder="1" applyAlignment="1">
      <alignment horizontal="center" vertical="center"/>
    </xf>
    <xf numFmtId="0" fontId="31" fillId="0" borderId="16" xfId="5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2" fillId="0" borderId="18" xfId="5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2" fillId="3" borderId="0" xfId="0" applyFont="1" applyFill="1" applyAlignment="1">
      <alignment horizontal="left" vertical="center" wrapText="1"/>
    </xf>
    <xf numFmtId="0" fontId="22" fillId="2" borderId="4" xfId="0" applyFont="1" applyFill="1" applyBorder="1" applyAlignment="1">
      <alignment horizontal="left"/>
    </xf>
    <xf numFmtId="0" fontId="22" fillId="2" borderId="5" xfId="0" applyFont="1" applyFill="1" applyBorder="1" applyAlignment="1">
      <alignment horizontal="left"/>
    </xf>
    <xf numFmtId="0" fontId="25" fillId="0" borderId="4" xfId="0" applyFont="1" applyBorder="1"/>
    <xf numFmtId="0" fontId="25" fillId="0" borderId="5" xfId="0" applyFont="1" applyBorder="1"/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35" fillId="0" borderId="4" xfId="0" quotePrefix="1" applyFont="1" applyBorder="1" applyAlignment="1">
      <alignment horizontal="center" vertical="center"/>
    </xf>
    <xf numFmtId="0" fontId="35" fillId="0" borderId="6" xfId="0" quotePrefix="1" applyFont="1" applyBorder="1" applyAlignment="1">
      <alignment horizontal="center" vertical="center"/>
    </xf>
    <xf numFmtId="0" fontId="35" fillId="0" borderId="5" xfId="0" quotePrefix="1" applyFont="1" applyBorder="1" applyAlignment="1">
      <alignment horizontal="center" vertical="center"/>
    </xf>
    <xf numFmtId="49" fontId="33" fillId="0" borderId="4" xfId="0" applyNumberFormat="1" applyFont="1" applyBorder="1" applyAlignment="1">
      <alignment horizontal="center" vertical="center" wrapText="1"/>
    </xf>
    <xf numFmtId="49" fontId="33" fillId="0" borderId="5" xfId="0" applyNumberFormat="1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49" fontId="33" fillId="0" borderId="6" xfId="0" applyNumberFormat="1" applyFont="1" applyBorder="1" applyAlignment="1">
      <alignment horizontal="center" vertical="center" wrapText="1"/>
    </xf>
    <xf numFmtId="4" fontId="35" fillId="0" borderId="4" xfId="0" applyNumberFormat="1" applyFont="1" applyBorder="1" applyAlignment="1">
      <alignment horizontal="center" vertical="center"/>
    </xf>
    <xf numFmtId="4" fontId="35" fillId="0" borderId="6" xfId="0" applyNumberFormat="1" applyFont="1" applyBorder="1" applyAlignment="1">
      <alignment horizontal="center" vertical="center"/>
    </xf>
    <xf numFmtId="4" fontId="35" fillId="0" borderId="5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3" fillId="0" borderId="4" xfId="3" applyFont="1" applyBorder="1" applyAlignment="1">
      <alignment horizontal="left" vertical="center" wrapText="1"/>
    </xf>
    <xf numFmtId="0" fontId="33" fillId="0" borderId="6" xfId="3" applyFont="1" applyBorder="1" applyAlignment="1">
      <alignment horizontal="left" vertical="center" wrapText="1"/>
    </xf>
    <xf numFmtId="0" fontId="33" fillId="0" borderId="5" xfId="3" applyFont="1" applyBorder="1" applyAlignment="1">
      <alignment horizontal="left" vertical="center" wrapText="1"/>
    </xf>
    <xf numFmtId="0" fontId="31" fillId="0" borderId="4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1" fillId="0" borderId="4" xfId="0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30" fillId="0" borderId="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4" xfId="0" applyFont="1" applyBorder="1" applyAlignment="1">
      <alignment horizontal="left"/>
    </xf>
    <xf numFmtId="0" fontId="30" fillId="0" borderId="6" xfId="0" applyFont="1" applyBorder="1" applyAlignment="1">
      <alignment horizontal="left"/>
    </xf>
    <xf numFmtId="0" fontId="30" fillId="0" borderId="5" xfId="0" applyFont="1" applyBorder="1" applyAlignment="1">
      <alignment horizontal="left"/>
    </xf>
    <xf numFmtId="0" fontId="37" fillId="0" borderId="4" xfId="0" applyFont="1" applyBorder="1" applyAlignment="1">
      <alignment horizontal="left" vertical="center"/>
    </xf>
    <xf numFmtId="0" fontId="37" fillId="0" borderId="6" xfId="0" applyFont="1" applyBorder="1" applyAlignment="1">
      <alignment horizontal="left" vertical="center"/>
    </xf>
    <xf numFmtId="0" fontId="37" fillId="0" borderId="5" xfId="0" applyFont="1" applyBorder="1" applyAlignment="1">
      <alignment horizontal="left" vertical="center"/>
    </xf>
    <xf numFmtId="0" fontId="31" fillId="0" borderId="15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2" fillId="0" borderId="4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/>
    </xf>
    <xf numFmtId="0" fontId="32" fillId="0" borderId="6" xfId="0" applyFont="1" applyBorder="1" applyAlignment="1">
      <alignment horizontal="left"/>
    </xf>
    <xf numFmtId="0" fontId="32" fillId="0" borderId="5" xfId="0" applyFont="1" applyBorder="1" applyAlignment="1">
      <alignment horizontal="left"/>
    </xf>
    <xf numFmtId="0" fontId="33" fillId="0" borderId="4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5" xfId="0" applyFont="1" applyBorder="1" applyAlignment="1">
      <alignment horizontal="left" vertical="center" wrapText="1"/>
    </xf>
    <xf numFmtId="0" fontId="32" fillId="4" borderId="4" xfId="0" applyFont="1" applyFill="1" applyBorder="1" applyAlignment="1">
      <alignment horizontal="left"/>
    </xf>
    <xf numFmtId="0" fontId="32" fillId="4" borderId="6" xfId="0" applyFont="1" applyFill="1" applyBorder="1" applyAlignment="1">
      <alignment horizontal="left"/>
    </xf>
    <xf numFmtId="0" fontId="32" fillId="4" borderId="5" xfId="0" applyFont="1" applyFill="1" applyBorder="1" applyAlignment="1">
      <alignment horizontal="left"/>
    </xf>
    <xf numFmtId="0" fontId="40" fillId="0" borderId="4" xfId="5" applyFont="1" applyBorder="1" applyAlignment="1">
      <alignment horizontal="left"/>
    </xf>
    <xf numFmtId="0" fontId="40" fillId="0" borderId="6" xfId="5" applyFont="1" applyBorder="1" applyAlignment="1">
      <alignment horizontal="left"/>
    </xf>
    <xf numFmtId="0" fontId="40" fillId="0" borderId="5" xfId="5" applyFont="1" applyBorder="1" applyAlignment="1">
      <alignment horizontal="left"/>
    </xf>
    <xf numFmtId="0" fontId="14" fillId="0" borderId="0" xfId="5" applyFont="1" applyAlignment="1">
      <alignment horizontal="left" vertical="center" wrapText="1"/>
    </xf>
    <xf numFmtId="0" fontId="14" fillId="0" borderId="0" xfId="5" applyFont="1" applyAlignment="1">
      <alignment horizontal="left" vertical="center"/>
    </xf>
    <xf numFmtId="0" fontId="46" fillId="0" borderId="0" xfId="5" applyAlignment="1">
      <alignment vertical="center"/>
    </xf>
    <xf numFmtId="0" fontId="47" fillId="0" borderId="0" xfId="5" applyFont="1" applyAlignment="1">
      <alignment horizontal="left" vertical="center" wrapText="1"/>
    </xf>
  </cellXfs>
  <cellStyles count="6">
    <cellStyle name="Normální" xfId="0" builtinId="0"/>
    <cellStyle name="Normální 2" xfId="3" xr:uid="{76DCFED1-9C37-4B43-987A-BD388457222B}"/>
    <cellStyle name="Normální 2 2" xfId="4" xr:uid="{C7BE55D5-7B35-466C-80D2-491E4FE2043D}"/>
    <cellStyle name="Normální 3" xfId="1" xr:uid="{C81EA335-F1CE-4DC2-AF09-3C037BBBADB6}"/>
    <cellStyle name="Normální 3 2" xfId="2" xr:uid="{660F267B-C032-40E8-A0C6-3058A9D42EA4}"/>
    <cellStyle name="Normální 4" xfId="5" xr:uid="{652C3AD3-4F40-4C42-8FB5-3A0FC82E18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2E52-87BD-42CA-B188-30E2E1AC1EB8}">
  <dimension ref="A1:J32"/>
  <sheetViews>
    <sheetView tabSelected="1" zoomScale="85" zoomScaleNormal="85" workbookViewId="0">
      <selection activeCell="C20" sqref="C20"/>
    </sheetView>
  </sheetViews>
  <sheetFormatPr defaultRowHeight="13.2"/>
  <cols>
    <col min="1" max="1" width="9.77734375" style="21" bestFit="1" customWidth="1"/>
    <col min="2" max="2" width="33.5546875" customWidth="1"/>
    <col min="3" max="3" width="36.6640625" style="2" customWidth="1"/>
    <col min="4" max="4" width="15" customWidth="1"/>
    <col min="5" max="5" width="11.21875" customWidth="1"/>
    <col min="6" max="6" width="31.21875" customWidth="1"/>
    <col min="7" max="7" width="0.77734375" customWidth="1"/>
    <col min="8" max="8" width="0" hidden="1" customWidth="1"/>
    <col min="9" max="9" width="28.21875" hidden="1" customWidth="1"/>
    <col min="10" max="10" width="18.21875" hidden="1" customWidth="1"/>
    <col min="11" max="18" width="0" hidden="1" customWidth="1"/>
  </cols>
  <sheetData>
    <row r="1" spans="1:10" ht="15.6">
      <c r="A1" s="19"/>
      <c r="B1" s="1"/>
      <c r="C1" s="3"/>
      <c r="D1" s="1"/>
      <c r="E1" s="1"/>
      <c r="F1" s="1"/>
      <c r="G1" s="1"/>
    </row>
    <row r="2" spans="1:10" ht="15.6">
      <c r="A2" s="20"/>
      <c r="B2" s="1"/>
      <c r="C2" s="3"/>
      <c r="D2" s="1"/>
      <c r="E2" s="1"/>
      <c r="F2" s="1"/>
      <c r="G2" s="1"/>
    </row>
    <row r="3" spans="1:10" ht="15.6">
      <c r="A3" s="20"/>
      <c r="B3" s="1"/>
      <c r="C3" s="3"/>
      <c r="D3" s="1"/>
      <c r="E3" s="1"/>
      <c r="F3" s="1"/>
      <c r="G3" s="1"/>
    </row>
    <row r="4" spans="1:10" ht="18">
      <c r="A4" s="28"/>
      <c r="B4" s="29" t="s">
        <v>0</v>
      </c>
      <c r="C4" s="26"/>
      <c r="D4" s="27"/>
      <c r="E4" s="27"/>
      <c r="F4" s="27"/>
      <c r="G4" s="27"/>
    </row>
    <row r="5" spans="1:10" ht="3" customHeight="1">
      <c r="A5" s="28"/>
      <c r="B5" s="190"/>
      <c r="C5" s="190"/>
      <c r="D5" s="190"/>
      <c r="E5" s="190"/>
      <c r="F5" s="190"/>
      <c r="G5" s="190"/>
    </row>
    <row r="6" spans="1:10" ht="22.95" customHeight="1">
      <c r="A6" s="28"/>
      <c r="B6" s="191" t="s">
        <v>1216</v>
      </c>
      <c r="C6" s="191"/>
      <c r="D6" s="30"/>
      <c r="E6" s="30"/>
      <c r="F6" s="30"/>
      <c r="G6" s="30"/>
    </row>
    <row r="7" spans="1:10" ht="18">
      <c r="A7" s="25"/>
      <c r="B7" s="189" t="s">
        <v>1137</v>
      </c>
      <c r="C7" s="189"/>
      <c r="D7" s="189"/>
      <c r="E7" s="27"/>
      <c r="F7" s="27"/>
      <c r="G7" s="27"/>
      <c r="H7" s="16" t="s">
        <v>1</v>
      </c>
      <c r="I7" s="16"/>
    </row>
    <row r="8" spans="1:10" ht="18">
      <c r="A8" s="25"/>
      <c r="B8" s="31"/>
      <c r="C8" s="32"/>
      <c r="D8" s="27"/>
      <c r="E8" s="27"/>
      <c r="F8" s="33"/>
      <c r="G8" s="27"/>
    </row>
    <row r="9" spans="1:10" ht="18">
      <c r="A9" s="25"/>
      <c r="B9" s="192" t="s">
        <v>2</v>
      </c>
      <c r="C9" s="193"/>
      <c r="D9" s="27"/>
      <c r="E9" s="34"/>
      <c r="F9" s="27"/>
      <c r="G9" s="27"/>
    </row>
    <row r="10" spans="1:10" ht="18">
      <c r="A10" s="25"/>
      <c r="B10" s="194" t="s">
        <v>3</v>
      </c>
      <c r="C10" s="195"/>
      <c r="D10" s="27"/>
      <c r="E10" s="35"/>
      <c r="F10" s="27"/>
      <c r="G10" s="27"/>
      <c r="I10" s="18"/>
      <c r="J10" s="17"/>
    </row>
    <row r="11" spans="1:10" ht="18">
      <c r="A11" s="25"/>
      <c r="B11" s="194" t="s">
        <v>4</v>
      </c>
      <c r="C11" s="195"/>
      <c r="D11" s="27"/>
      <c r="E11" s="35"/>
      <c r="F11" s="27"/>
      <c r="G11" s="27"/>
    </row>
    <row r="12" spans="1:10" ht="18">
      <c r="A12" s="25"/>
      <c r="B12" s="194" t="s">
        <v>1133</v>
      </c>
      <c r="C12" s="195"/>
      <c r="D12" s="27"/>
      <c r="E12" s="35"/>
      <c r="F12" s="27"/>
      <c r="G12" s="27"/>
    </row>
    <row r="13" spans="1:10" ht="18">
      <c r="A13" s="25"/>
      <c r="B13" s="194" t="s">
        <v>1134</v>
      </c>
      <c r="C13" s="195"/>
      <c r="D13" s="27"/>
      <c r="E13" s="35"/>
      <c r="F13" s="27"/>
      <c r="G13" s="27"/>
      <c r="I13" s="18"/>
      <c r="J13" s="17"/>
    </row>
    <row r="14" spans="1:10" ht="18">
      <c r="A14" s="25"/>
      <c r="B14" s="194" t="s">
        <v>6</v>
      </c>
      <c r="C14" s="195"/>
      <c r="D14" s="27"/>
      <c r="E14" s="35"/>
      <c r="F14" s="27"/>
      <c r="G14" s="27"/>
    </row>
    <row r="15" spans="1:10" ht="18">
      <c r="A15" s="25"/>
      <c r="B15" s="194" t="s">
        <v>1135</v>
      </c>
      <c r="C15" s="195"/>
      <c r="D15" s="27"/>
      <c r="E15" s="35"/>
      <c r="F15" s="27"/>
      <c r="G15" s="27"/>
      <c r="I15" s="18"/>
      <c r="J15" s="17"/>
    </row>
    <row r="16" spans="1:10" ht="18">
      <c r="A16" s="25"/>
      <c r="B16" s="194" t="s">
        <v>1136</v>
      </c>
      <c r="C16" s="195"/>
      <c r="D16" s="27"/>
      <c r="E16" s="35"/>
      <c r="F16" s="27"/>
      <c r="G16" s="27"/>
      <c r="I16" s="18"/>
      <c r="J16" s="17"/>
    </row>
    <row r="17" spans="1:10" ht="18">
      <c r="A17" s="25"/>
      <c r="B17" s="194" t="s">
        <v>1156</v>
      </c>
      <c r="C17" s="195"/>
      <c r="D17" s="36"/>
      <c r="E17" s="35"/>
      <c r="F17" s="27"/>
      <c r="G17" s="27"/>
      <c r="I17" s="18"/>
      <c r="J17" s="17"/>
    </row>
    <row r="18" spans="1:10" ht="18">
      <c r="A18" s="25"/>
      <c r="B18" s="196"/>
      <c r="C18" s="197"/>
      <c r="D18" s="27"/>
      <c r="E18" s="35"/>
      <c r="F18" s="27"/>
      <c r="G18" s="27"/>
      <c r="I18" s="18"/>
      <c r="J18" s="17"/>
    </row>
    <row r="19" spans="1:10" ht="18.600000000000001" thickBot="1">
      <c r="A19" s="25"/>
      <c r="B19" s="27"/>
      <c r="C19" s="37"/>
      <c r="D19" s="27"/>
      <c r="E19" s="27"/>
      <c r="F19" s="27"/>
      <c r="G19" s="27"/>
    </row>
    <row r="20" spans="1:10" ht="36.450000000000003" customHeight="1" thickBot="1">
      <c r="A20" s="25"/>
      <c r="B20" s="50"/>
      <c r="C20" s="51" t="s">
        <v>1142</v>
      </c>
      <c r="D20" s="27"/>
      <c r="E20" s="27"/>
      <c r="F20" s="27"/>
      <c r="G20" s="27"/>
    </row>
    <row r="21" spans="1:10" ht="18">
      <c r="A21" s="25"/>
      <c r="B21" s="27"/>
      <c r="C21" s="37"/>
      <c r="D21" s="27"/>
      <c r="E21" s="27"/>
      <c r="F21" s="36"/>
      <c r="G21" s="27"/>
    </row>
    <row r="22" spans="1:10" ht="18">
      <c r="A22" s="25"/>
      <c r="B22" s="38"/>
      <c r="C22" s="27"/>
      <c r="D22" s="27"/>
      <c r="E22" s="27"/>
      <c r="F22" s="27"/>
      <c r="G22" s="27"/>
    </row>
    <row r="23" spans="1:10" ht="18">
      <c r="A23" s="25"/>
      <c r="B23" s="27"/>
      <c r="C23" s="27"/>
      <c r="D23" s="27"/>
      <c r="E23" s="27"/>
      <c r="F23" s="27"/>
      <c r="G23" s="27"/>
    </row>
    <row r="24" spans="1:10" ht="13.8">
      <c r="A24" s="39"/>
      <c r="B24" s="40"/>
      <c r="C24" s="41"/>
      <c r="D24" s="41"/>
      <c r="E24" s="41"/>
      <c r="F24" s="41"/>
      <c r="G24" s="41"/>
    </row>
    <row r="25" spans="1:10" ht="13.8">
      <c r="A25" s="39"/>
      <c r="B25" s="40"/>
      <c r="C25" s="41"/>
      <c r="D25" s="41"/>
      <c r="E25" s="41"/>
      <c r="F25" s="41"/>
      <c r="G25" s="41"/>
    </row>
    <row r="26" spans="1:10" ht="13.8">
      <c r="A26" s="39"/>
      <c r="B26" s="40"/>
      <c r="C26" s="41"/>
      <c r="D26" s="41"/>
      <c r="E26" s="41"/>
      <c r="F26" s="41"/>
      <c r="G26" s="41"/>
    </row>
    <row r="27" spans="1:10">
      <c r="A27" s="39"/>
      <c r="B27" s="41"/>
      <c r="C27" s="41"/>
      <c r="D27" s="41"/>
      <c r="E27" s="41"/>
      <c r="F27" s="41"/>
      <c r="G27" s="41"/>
    </row>
    <row r="28" spans="1:10">
      <c r="A28" s="39"/>
      <c r="B28" s="41"/>
      <c r="C28" s="41"/>
      <c r="D28" s="41"/>
      <c r="E28" s="41"/>
      <c r="F28" s="41"/>
      <c r="G28" s="41"/>
    </row>
    <row r="29" spans="1:10">
      <c r="A29" s="39"/>
      <c r="B29" s="41"/>
      <c r="C29" s="42"/>
      <c r="D29" s="41"/>
      <c r="E29" s="41"/>
      <c r="F29" s="41"/>
      <c r="G29" s="41"/>
    </row>
    <row r="30" spans="1:10">
      <c r="A30" s="39"/>
      <c r="B30" s="41"/>
      <c r="C30" s="42"/>
      <c r="D30" s="41"/>
      <c r="E30" s="41"/>
      <c r="F30" s="41"/>
      <c r="G30" s="41"/>
    </row>
    <row r="31" spans="1:10">
      <c r="A31" s="39"/>
      <c r="B31" s="41"/>
      <c r="C31" s="42"/>
      <c r="D31" s="41"/>
      <c r="E31" s="41"/>
      <c r="F31" s="41"/>
      <c r="G31" s="41"/>
    </row>
    <row r="32" spans="1:10">
      <c r="A32" s="39"/>
      <c r="B32" s="41"/>
      <c r="C32" s="42"/>
      <c r="D32" s="41"/>
      <c r="E32" s="41"/>
      <c r="F32" s="41"/>
      <c r="G32" s="41"/>
    </row>
  </sheetData>
  <mergeCells count="13">
    <mergeCell ref="B16:C16"/>
    <mergeCell ref="B17:C17"/>
    <mergeCell ref="B18:C18"/>
    <mergeCell ref="B11:C11"/>
    <mergeCell ref="B12:C12"/>
    <mergeCell ref="B13:C13"/>
    <mergeCell ref="B14:C14"/>
    <mergeCell ref="B15:C15"/>
    <mergeCell ref="B7:D7"/>
    <mergeCell ref="B5:G5"/>
    <mergeCell ref="B6:C6"/>
    <mergeCell ref="B9:C9"/>
    <mergeCell ref="B10:C10"/>
  </mergeCells>
  <pageMargins left="0.7" right="0.7" top="0.78740157499999996" bottom="0.78740157499999996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B7BE-AE51-47C4-9323-4F28B3E5222F}">
  <dimension ref="A1:AG454"/>
  <sheetViews>
    <sheetView zoomScaleNormal="100" workbookViewId="0">
      <pane ySplit="2" topLeftCell="A78" activePane="bottomLeft" state="frozen"/>
      <selection pane="bottomLeft" activeCell="Q90" sqref="Q90"/>
    </sheetView>
  </sheetViews>
  <sheetFormatPr defaultColWidth="11.21875" defaultRowHeight="18" outlineLevelRow="4"/>
  <cols>
    <col min="1" max="1" width="3.88671875" style="49" customWidth="1"/>
    <col min="2" max="2" width="15.77734375" style="113" customWidth="1"/>
    <col min="3" max="3" width="56.21875" style="114" customWidth="1"/>
    <col min="4" max="4" width="4.77734375" style="106" customWidth="1"/>
    <col min="5" max="5" width="11.21875" style="106" hidden="1" customWidth="1"/>
    <col min="6" max="6" width="12.21875" style="106" hidden="1" customWidth="1"/>
    <col min="7" max="7" width="9.77734375" style="106" hidden="1" customWidth="1"/>
    <col min="8" max="8" width="12.21875" style="106" hidden="1" customWidth="1"/>
    <col min="9" max="9" width="11.21875" style="106" hidden="1" customWidth="1"/>
    <col min="10" max="10" width="12.21875" style="106" hidden="1" customWidth="1"/>
    <col min="11" max="11" width="9.77734375" style="106" hidden="1" customWidth="1"/>
    <col min="12" max="12" width="12.21875" style="106" hidden="1" customWidth="1"/>
    <col min="13" max="13" width="11.21875" style="106" hidden="1" customWidth="1"/>
    <col min="14" max="14" width="12.21875" style="106" hidden="1" customWidth="1"/>
    <col min="15" max="16" width="4.21875" style="106" hidden="1" customWidth="1"/>
    <col min="17" max="21" width="13.44140625" style="110" customWidth="1"/>
    <col min="22" max="22" width="13.44140625" style="85" customWidth="1"/>
    <col min="23" max="23" width="37.33203125" style="115" customWidth="1"/>
    <col min="24" max="255" width="11.21875" style="43"/>
    <col min="256" max="256" width="13.77734375" style="43" bestFit="1" customWidth="1"/>
    <col min="257" max="257" width="60.77734375" style="43" customWidth="1"/>
    <col min="258" max="258" width="9.77734375" style="43" bestFit="1" customWidth="1"/>
    <col min="259" max="259" width="3.21875" style="43" bestFit="1" customWidth="1"/>
    <col min="260" max="260" width="11.21875" style="43"/>
    <col min="261" max="261" width="12.21875" style="43" bestFit="1" customWidth="1"/>
    <col min="262" max="262" width="9.77734375" style="43" bestFit="1" customWidth="1"/>
    <col min="263" max="263" width="12.21875" style="43" bestFit="1" customWidth="1"/>
    <col min="264" max="264" width="11.21875" style="43"/>
    <col min="265" max="265" width="12.21875" style="43" bestFit="1" customWidth="1"/>
    <col min="266" max="266" width="11.21875" style="43"/>
    <col min="267" max="267" width="12.21875" style="43" bestFit="1" customWidth="1"/>
    <col min="268" max="268" width="9.77734375" style="43" bestFit="1" customWidth="1"/>
    <col min="269" max="269" width="12.21875" style="43" bestFit="1" customWidth="1"/>
    <col min="270" max="270" width="11.21875" style="43"/>
    <col min="271" max="271" width="12.21875" style="43" bestFit="1" customWidth="1"/>
    <col min="272" max="273" width="4.21875" style="43" bestFit="1" customWidth="1"/>
    <col min="274" max="274" width="11.21875" style="43"/>
    <col min="275" max="275" width="12.21875" style="43" bestFit="1" customWidth="1"/>
    <col min="276" max="276" width="9.77734375" style="43" bestFit="1" customWidth="1"/>
    <col min="277" max="277" width="12.21875" style="43" bestFit="1" customWidth="1"/>
    <col min="278" max="511" width="11.21875" style="43"/>
    <col min="512" max="512" width="13.77734375" style="43" bestFit="1" customWidth="1"/>
    <col min="513" max="513" width="60.77734375" style="43" customWidth="1"/>
    <col min="514" max="514" width="9.77734375" style="43" bestFit="1" customWidth="1"/>
    <col min="515" max="515" width="3.21875" style="43" bestFit="1" customWidth="1"/>
    <col min="516" max="516" width="11.21875" style="43"/>
    <col min="517" max="517" width="12.21875" style="43" bestFit="1" customWidth="1"/>
    <col min="518" max="518" width="9.77734375" style="43" bestFit="1" customWidth="1"/>
    <col min="519" max="519" width="12.21875" style="43" bestFit="1" customWidth="1"/>
    <col min="520" max="520" width="11.21875" style="43"/>
    <col min="521" max="521" width="12.21875" style="43" bestFit="1" customWidth="1"/>
    <col min="522" max="522" width="11.21875" style="43"/>
    <col min="523" max="523" width="12.21875" style="43" bestFit="1" customWidth="1"/>
    <col min="524" max="524" width="9.77734375" style="43" bestFit="1" customWidth="1"/>
    <col min="525" max="525" width="12.21875" style="43" bestFit="1" customWidth="1"/>
    <col min="526" max="526" width="11.21875" style="43"/>
    <col min="527" max="527" width="12.21875" style="43" bestFit="1" customWidth="1"/>
    <col min="528" max="529" width="4.21875" style="43" bestFit="1" customWidth="1"/>
    <col min="530" max="530" width="11.21875" style="43"/>
    <col min="531" max="531" width="12.21875" style="43" bestFit="1" customWidth="1"/>
    <col min="532" max="532" width="9.77734375" style="43" bestFit="1" customWidth="1"/>
    <col min="533" max="533" width="12.21875" style="43" bestFit="1" customWidth="1"/>
    <col min="534" max="767" width="11.21875" style="43"/>
    <col min="768" max="768" width="13.77734375" style="43" bestFit="1" customWidth="1"/>
    <col min="769" max="769" width="60.77734375" style="43" customWidth="1"/>
    <col min="770" max="770" width="9.77734375" style="43" bestFit="1" customWidth="1"/>
    <col min="771" max="771" width="3.21875" style="43" bestFit="1" customWidth="1"/>
    <col min="772" max="772" width="11.21875" style="43"/>
    <col min="773" max="773" width="12.21875" style="43" bestFit="1" customWidth="1"/>
    <col min="774" max="774" width="9.77734375" style="43" bestFit="1" customWidth="1"/>
    <col min="775" max="775" width="12.21875" style="43" bestFit="1" customWidth="1"/>
    <col min="776" max="776" width="11.21875" style="43"/>
    <col min="777" max="777" width="12.21875" style="43" bestFit="1" customWidth="1"/>
    <col min="778" max="778" width="11.21875" style="43"/>
    <col min="779" max="779" width="12.21875" style="43" bestFit="1" customWidth="1"/>
    <col min="780" max="780" width="9.77734375" style="43" bestFit="1" customWidth="1"/>
    <col min="781" max="781" width="12.21875" style="43" bestFit="1" customWidth="1"/>
    <col min="782" max="782" width="11.21875" style="43"/>
    <col min="783" max="783" width="12.21875" style="43" bestFit="1" customWidth="1"/>
    <col min="784" max="785" width="4.21875" style="43" bestFit="1" customWidth="1"/>
    <col min="786" max="786" width="11.21875" style="43"/>
    <col min="787" max="787" width="12.21875" style="43" bestFit="1" customWidth="1"/>
    <col min="788" max="788" width="9.77734375" style="43" bestFit="1" customWidth="1"/>
    <col min="789" max="789" width="12.21875" style="43" bestFit="1" customWidth="1"/>
    <col min="790" max="1023" width="11.21875" style="43"/>
    <col min="1024" max="1024" width="13.77734375" style="43" bestFit="1" customWidth="1"/>
    <col min="1025" max="1025" width="60.77734375" style="43" customWidth="1"/>
    <col min="1026" max="1026" width="9.77734375" style="43" bestFit="1" customWidth="1"/>
    <col min="1027" max="1027" width="3.21875" style="43" bestFit="1" customWidth="1"/>
    <col min="1028" max="1028" width="11.21875" style="43"/>
    <col min="1029" max="1029" width="12.21875" style="43" bestFit="1" customWidth="1"/>
    <col min="1030" max="1030" width="9.77734375" style="43" bestFit="1" customWidth="1"/>
    <col min="1031" max="1031" width="12.21875" style="43" bestFit="1" customWidth="1"/>
    <col min="1032" max="1032" width="11.21875" style="43"/>
    <col min="1033" max="1033" width="12.21875" style="43" bestFit="1" customWidth="1"/>
    <col min="1034" max="1034" width="11.21875" style="43"/>
    <col min="1035" max="1035" width="12.21875" style="43" bestFit="1" customWidth="1"/>
    <col min="1036" max="1036" width="9.77734375" style="43" bestFit="1" customWidth="1"/>
    <col min="1037" max="1037" width="12.21875" style="43" bestFit="1" customWidth="1"/>
    <col min="1038" max="1038" width="11.21875" style="43"/>
    <col min="1039" max="1039" width="12.21875" style="43" bestFit="1" customWidth="1"/>
    <col min="1040" max="1041" width="4.21875" style="43" bestFit="1" customWidth="1"/>
    <col min="1042" max="1042" width="11.21875" style="43"/>
    <col min="1043" max="1043" width="12.21875" style="43" bestFit="1" customWidth="1"/>
    <col min="1044" max="1044" width="9.77734375" style="43" bestFit="1" customWidth="1"/>
    <col min="1045" max="1045" width="12.21875" style="43" bestFit="1" customWidth="1"/>
    <col min="1046" max="1279" width="11.21875" style="43"/>
    <col min="1280" max="1280" width="13.77734375" style="43" bestFit="1" customWidth="1"/>
    <col min="1281" max="1281" width="60.77734375" style="43" customWidth="1"/>
    <col min="1282" max="1282" width="9.77734375" style="43" bestFit="1" customWidth="1"/>
    <col min="1283" max="1283" width="3.21875" style="43" bestFit="1" customWidth="1"/>
    <col min="1284" max="1284" width="11.21875" style="43"/>
    <col min="1285" max="1285" width="12.21875" style="43" bestFit="1" customWidth="1"/>
    <col min="1286" max="1286" width="9.77734375" style="43" bestFit="1" customWidth="1"/>
    <col min="1287" max="1287" width="12.21875" style="43" bestFit="1" customWidth="1"/>
    <col min="1288" max="1288" width="11.21875" style="43"/>
    <col min="1289" max="1289" width="12.21875" style="43" bestFit="1" customWidth="1"/>
    <col min="1290" max="1290" width="11.21875" style="43"/>
    <col min="1291" max="1291" width="12.21875" style="43" bestFit="1" customWidth="1"/>
    <col min="1292" max="1292" width="9.77734375" style="43" bestFit="1" customWidth="1"/>
    <col min="1293" max="1293" width="12.21875" style="43" bestFit="1" customWidth="1"/>
    <col min="1294" max="1294" width="11.21875" style="43"/>
    <col min="1295" max="1295" width="12.21875" style="43" bestFit="1" customWidth="1"/>
    <col min="1296" max="1297" width="4.21875" style="43" bestFit="1" customWidth="1"/>
    <col min="1298" max="1298" width="11.21875" style="43"/>
    <col min="1299" max="1299" width="12.21875" style="43" bestFit="1" customWidth="1"/>
    <col min="1300" max="1300" width="9.77734375" style="43" bestFit="1" customWidth="1"/>
    <col min="1301" max="1301" width="12.21875" style="43" bestFit="1" customWidth="1"/>
    <col min="1302" max="1535" width="11.21875" style="43"/>
    <col min="1536" max="1536" width="13.77734375" style="43" bestFit="1" customWidth="1"/>
    <col min="1537" max="1537" width="60.77734375" style="43" customWidth="1"/>
    <col min="1538" max="1538" width="9.77734375" style="43" bestFit="1" customWidth="1"/>
    <col min="1539" max="1539" width="3.21875" style="43" bestFit="1" customWidth="1"/>
    <col min="1540" max="1540" width="11.21875" style="43"/>
    <col min="1541" max="1541" width="12.21875" style="43" bestFit="1" customWidth="1"/>
    <col min="1542" max="1542" width="9.77734375" style="43" bestFit="1" customWidth="1"/>
    <col min="1543" max="1543" width="12.21875" style="43" bestFit="1" customWidth="1"/>
    <col min="1544" max="1544" width="11.21875" style="43"/>
    <col min="1545" max="1545" width="12.21875" style="43" bestFit="1" customWidth="1"/>
    <col min="1546" max="1546" width="11.21875" style="43"/>
    <col min="1547" max="1547" width="12.21875" style="43" bestFit="1" customWidth="1"/>
    <col min="1548" max="1548" width="9.77734375" style="43" bestFit="1" customWidth="1"/>
    <col min="1549" max="1549" width="12.21875" style="43" bestFit="1" customWidth="1"/>
    <col min="1550" max="1550" width="11.21875" style="43"/>
    <col min="1551" max="1551" width="12.21875" style="43" bestFit="1" customWidth="1"/>
    <col min="1552" max="1553" width="4.21875" style="43" bestFit="1" customWidth="1"/>
    <col min="1554" max="1554" width="11.21875" style="43"/>
    <col min="1555" max="1555" width="12.21875" style="43" bestFit="1" customWidth="1"/>
    <col min="1556" max="1556" width="9.77734375" style="43" bestFit="1" customWidth="1"/>
    <col min="1557" max="1557" width="12.21875" style="43" bestFit="1" customWidth="1"/>
    <col min="1558" max="1791" width="11.21875" style="43"/>
    <col min="1792" max="1792" width="13.77734375" style="43" bestFit="1" customWidth="1"/>
    <col min="1793" max="1793" width="60.77734375" style="43" customWidth="1"/>
    <col min="1794" max="1794" width="9.77734375" style="43" bestFit="1" customWidth="1"/>
    <col min="1795" max="1795" width="3.21875" style="43" bestFit="1" customWidth="1"/>
    <col min="1796" max="1796" width="11.21875" style="43"/>
    <col min="1797" max="1797" width="12.21875" style="43" bestFit="1" customWidth="1"/>
    <col min="1798" max="1798" width="9.77734375" style="43" bestFit="1" customWidth="1"/>
    <col min="1799" max="1799" width="12.21875" style="43" bestFit="1" customWidth="1"/>
    <col min="1800" max="1800" width="11.21875" style="43"/>
    <col min="1801" max="1801" width="12.21875" style="43" bestFit="1" customWidth="1"/>
    <col min="1802" max="1802" width="11.21875" style="43"/>
    <col min="1803" max="1803" width="12.21875" style="43" bestFit="1" customWidth="1"/>
    <col min="1804" max="1804" width="9.77734375" style="43" bestFit="1" customWidth="1"/>
    <col min="1805" max="1805" width="12.21875" style="43" bestFit="1" customWidth="1"/>
    <col min="1806" max="1806" width="11.21875" style="43"/>
    <col min="1807" max="1807" width="12.21875" style="43" bestFit="1" customWidth="1"/>
    <col min="1808" max="1809" width="4.21875" style="43" bestFit="1" customWidth="1"/>
    <col min="1810" max="1810" width="11.21875" style="43"/>
    <col min="1811" max="1811" width="12.21875" style="43" bestFit="1" customWidth="1"/>
    <col min="1812" max="1812" width="9.77734375" style="43" bestFit="1" customWidth="1"/>
    <col min="1813" max="1813" width="12.21875" style="43" bestFit="1" customWidth="1"/>
    <col min="1814" max="2047" width="11.21875" style="43"/>
    <col min="2048" max="2048" width="13.77734375" style="43" bestFit="1" customWidth="1"/>
    <col min="2049" max="2049" width="60.77734375" style="43" customWidth="1"/>
    <col min="2050" max="2050" width="9.77734375" style="43" bestFit="1" customWidth="1"/>
    <col min="2051" max="2051" width="3.21875" style="43" bestFit="1" customWidth="1"/>
    <col min="2052" max="2052" width="11.21875" style="43"/>
    <col min="2053" max="2053" width="12.21875" style="43" bestFit="1" customWidth="1"/>
    <col min="2054" max="2054" width="9.77734375" style="43" bestFit="1" customWidth="1"/>
    <col min="2055" max="2055" width="12.21875" style="43" bestFit="1" customWidth="1"/>
    <col min="2056" max="2056" width="11.21875" style="43"/>
    <col min="2057" max="2057" width="12.21875" style="43" bestFit="1" customWidth="1"/>
    <col min="2058" max="2058" width="11.21875" style="43"/>
    <col min="2059" max="2059" width="12.21875" style="43" bestFit="1" customWidth="1"/>
    <col min="2060" max="2060" width="9.77734375" style="43" bestFit="1" customWidth="1"/>
    <col min="2061" max="2061" width="12.21875" style="43" bestFit="1" customWidth="1"/>
    <col min="2062" max="2062" width="11.21875" style="43"/>
    <col min="2063" max="2063" width="12.21875" style="43" bestFit="1" customWidth="1"/>
    <col min="2064" max="2065" width="4.21875" style="43" bestFit="1" customWidth="1"/>
    <col min="2066" max="2066" width="11.21875" style="43"/>
    <col min="2067" max="2067" width="12.21875" style="43" bestFit="1" customWidth="1"/>
    <col min="2068" max="2068" width="9.77734375" style="43" bestFit="1" customWidth="1"/>
    <col min="2069" max="2069" width="12.21875" style="43" bestFit="1" customWidth="1"/>
    <col min="2070" max="2303" width="11.21875" style="43"/>
    <col min="2304" max="2304" width="13.77734375" style="43" bestFit="1" customWidth="1"/>
    <col min="2305" max="2305" width="60.77734375" style="43" customWidth="1"/>
    <col min="2306" max="2306" width="9.77734375" style="43" bestFit="1" customWidth="1"/>
    <col min="2307" max="2307" width="3.21875" style="43" bestFit="1" customWidth="1"/>
    <col min="2308" max="2308" width="11.21875" style="43"/>
    <col min="2309" max="2309" width="12.21875" style="43" bestFit="1" customWidth="1"/>
    <col min="2310" max="2310" width="9.77734375" style="43" bestFit="1" customWidth="1"/>
    <col min="2311" max="2311" width="12.21875" style="43" bestFit="1" customWidth="1"/>
    <col min="2312" max="2312" width="11.21875" style="43"/>
    <col min="2313" max="2313" width="12.21875" style="43" bestFit="1" customWidth="1"/>
    <col min="2314" max="2314" width="11.21875" style="43"/>
    <col min="2315" max="2315" width="12.21875" style="43" bestFit="1" customWidth="1"/>
    <col min="2316" max="2316" width="9.77734375" style="43" bestFit="1" customWidth="1"/>
    <col min="2317" max="2317" width="12.21875" style="43" bestFit="1" customWidth="1"/>
    <col min="2318" max="2318" width="11.21875" style="43"/>
    <col min="2319" max="2319" width="12.21875" style="43" bestFit="1" customWidth="1"/>
    <col min="2320" max="2321" width="4.21875" style="43" bestFit="1" customWidth="1"/>
    <col min="2322" max="2322" width="11.21875" style="43"/>
    <col min="2323" max="2323" width="12.21875" style="43" bestFit="1" customWidth="1"/>
    <col min="2324" max="2324" width="9.77734375" style="43" bestFit="1" customWidth="1"/>
    <col min="2325" max="2325" width="12.21875" style="43" bestFit="1" customWidth="1"/>
    <col min="2326" max="2559" width="11.21875" style="43"/>
    <col min="2560" max="2560" width="13.77734375" style="43" bestFit="1" customWidth="1"/>
    <col min="2561" max="2561" width="60.77734375" style="43" customWidth="1"/>
    <col min="2562" max="2562" width="9.77734375" style="43" bestFit="1" customWidth="1"/>
    <col min="2563" max="2563" width="3.21875" style="43" bestFit="1" customWidth="1"/>
    <col min="2564" max="2564" width="11.21875" style="43"/>
    <col min="2565" max="2565" width="12.21875" style="43" bestFit="1" customWidth="1"/>
    <col min="2566" max="2566" width="9.77734375" style="43" bestFit="1" customWidth="1"/>
    <col min="2567" max="2567" width="12.21875" style="43" bestFit="1" customWidth="1"/>
    <col min="2568" max="2568" width="11.21875" style="43"/>
    <col min="2569" max="2569" width="12.21875" style="43" bestFit="1" customWidth="1"/>
    <col min="2570" max="2570" width="11.21875" style="43"/>
    <col min="2571" max="2571" width="12.21875" style="43" bestFit="1" customWidth="1"/>
    <col min="2572" max="2572" width="9.77734375" style="43" bestFit="1" customWidth="1"/>
    <col min="2573" max="2573" width="12.21875" style="43" bestFit="1" customWidth="1"/>
    <col min="2574" max="2574" width="11.21875" style="43"/>
    <col min="2575" max="2575" width="12.21875" style="43" bestFit="1" customWidth="1"/>
    <col min="2576" max="2577" width="4.21875" style="43" bestFit="1" customWidth="1"/>
    <col min="2578" max="2578" width="11.21875" style="43"/>
    <col min="2579" max="2579" width="12.21875" style="43" bestFit="1" customWidth="1"/>
    <col min="2580" max="2580" width="9.77734375" style="43" bestFit="1" customWidth="1"/>
    <col min="2581" max="2581" width="12.21875" style="43" bestFit="1" customWidth="1"/>
    <col min="2582" max="2815" width="11.21875" style="43"/>
    <col min="2816" max="2816" width="13.77734375" style="43" bestFit="1" customWidth="1"/>
    <col min="2817" max="2817" width="60.77734375" style="43" customWidth="1"/>
    <col min="2818" max="2818" width="9.77734375" style="43" bestFit="1" customWidth="1"/>
    <col min="2819" max="2819" width="3.21875" style="43" bestFit="1" customWidth="1"/>
    <col min="2820" max="2820" width="11.21875" style="43"/>
    <col min="2821" max="2821" width="12.21875" style="43" bestFit="1" customWidth="1"/>
    <col min="2822" max="2822" width="9.77734375" style="43" bestFit="1" customWidth="1"/>
    <col min="2823" max="2823" width="12.21875" style="43" bestFit="1" customWidth="1"/>
    <col min="2824" max="2824" width="11.21875" style="43"/>
    <col min="2825" max="2825" width="12.21875" style="43" bestFit="1" customWidth="1"/>
    <col min="2826" max="2826" width="11.21875" style="43"/>
    <col min="2827" max="2827" width="12.21875" style="43" bestFit="1" customWidth="1"/>
    <col min="2828" max="2828" width="9.77734375" style="43" bestFit="1" customWidth="1"/>
    <col min="2829" max="2829" width="12.21875" style="43" bestFit="1" customWidth="1"/>
    <col min="2830" max="2830" width="11.21875" style="43"/>
    <col min="2831" max="2831" width="12.21875" style="43" bestFit="1" customWidth="1"/>
    <col min="2832" max="2833" width="4.21875" style="43" bestFit="1" customWidth="1"/>
    <col min="2834" max="2834" width="11.21875" style="43"/>
    <col min="2835" max="2835" width="12.21875" style="43" bestFit="1" customWidth="1"/>
    <col min="2836" max="2836" width="9.77734375" style="43" bestFit="1" customWidth="1"/>
    <col min="2837" max="2837" width="12.21875" style="43" bestFit="1" customWidth="1"/>
    <col min="2838" max="3071" width="11.21875" style="43"/>
    <col min="3072" max="3072" width="13.77734375" style="43" bestFit="1" customWidth="1"/>
    <col min="3073" max="3073" width="60.77734375" style="43" customWidth="1"/>
    <col min="3074" max="3074" width="9.77734375" style="43" bestFit="1" customWidth="1"/>
    <col min="3075" max="3075" width="3.21875" style="43" bestFit="1" customWidth="1"/>
    <col min="3076" max="3076" width="11.21875" style="43"/>
    <col min="3077" max="3077" width="12.21875" style="43" bestFit="1" customWidth="1"/>
    <col min="3078" max="3078" width="9.77734375" style="43" bestFit="1" customWidth="1"/>
    <col min="3079" max="3079" width="12.21875" style="43" bestFit="1" customWidth="1"/>
    <col min="3080" max="3080" width="11.21875" style="43"/>
    <col min="3081" max="3081" width="12.21875" style="43" bestFit="1" customWidth="1"/>
    <col min="3082" max="3082" width="11.21875" style="43"/>
    <col min="3083" max="3083" width="12.21875" style="43" bestFit="1" customWidth="1"/>
    <col min="3084" max="3084" width="9.77734375" style="43" bestFit="1" customWidth="1"/>
    <col min="3085" max="3085" width="12.21875" style="43" bestFit="1" customWidth="1"/>
    <col min="3086" max="3086" width="11.21875" style="43"/>
    <col min="3087" max="3087" width="12.21875" style="43" bestFit="1" customWidth="1"/>
    <col min="3088" max="3089" width="4.21875" style="43" bestFit="1" customWidth="1"/>
    <col min="3090" max="3090" width="11.21875" style="43"/>
    <col min="3091" max="3091" width="12.21875" style="43" bestFit="1" customWidth="1"/>
    <col min="3092" max="3092" width="9.77734375" style="43" bestFit="1" customWidth="1"/>
    <col min="3093" max="3093" width="12.21875" style="43" bestFit="1" customWidth="1"/>
    <col min="3094" max="3327" width="11.21875" style="43"/>
    <col min="3328" max="3328" width="13.77734375" style="43" bestFit="1" customWidth="1"/>
    <col min="3329" max="3329" width="60.77734375" style="43" customWidth="1"/>
    <col min="3330" max="3330" width="9.77734375" style="43" bestFit="1" customWidth="1"/>
    <col min="3331" max="3331" width="3.21875" style="43" bestFit="1" customWidth="1"/>
    <col min="3332" max="3332" width="11.21875" style="43"/>
    <col min="3333" max="3333" width="12.21875" style="43" bestFit="1" customWidth="1"/>
    <col min="3334" max="3334" width="9.77734375" style="43" bestFit="1" customWidth="1"/>
    <col min="3335" max="3335" width="12.21875" style="43" bestFit="1" customWidth="1"/>
    <col min="3336" max="3336" width="11.21875" style="43"/>
    <col min="3337" max="3337" width="12.21875" style="43" bestFit="1" customWidth="1"/>
    <col min="3338" max="3338" width="11.21875" style="43"/>
    <col min="3339" max="3339" width="12.21875" style="43" bestFit="1" customWidth="1"/>
    <col min="3340" max="3340" width="9.77734375" style="43" bestFit="1" customWidth="1"/>
    <col min="3341" max="3341" width="12.21875" style="43" bestFit="1" customWidth="1"/>
    <col min="3342" max="3342" width="11.21875" style="43"/>
    <col min="3343" max="3343" width="12.21875" style="43" bestFit="1" customWidth="1"/>
    <col min="3344" max="3345" width="4.21875" style="43" bestFit="1" customWidth="1"/>
    <col min="3346" max="3346" width="11.21875" style="43"/>
    <col min="3347" max="3347" width="12.21875" style="43" bestFit="1" customWidth="1"/>
    <col min="3348" max="3348" width="9.77734375" style="43" bestFit="1" customWidth="1"/>
    <col min="3349" max="3349" width="12.21875" style="43" bestFit="1" customWidth="1"/>
    <col min="3350" max="3583" width="11.21875" style="43"/>
    <col min="3584" max="3584" width="13.77734375" style="43" bestFit="1" customWidth="1"/>
    <col min="3585" max="3585" width="60.77734375" style="43" customWidth="1"/>
    <col min="3586" max="3586" width="9.77734375" style="43" bestFit="1" customWidth="1"/>
    <col min="3587" max="3587" width="3.21875" style="43" bestFit="1" customWidth="1"/>
    <col min="3588" max="3588" width="11.21875" style="43"/>
    <col min="3589" max="3589" width="12.21875" style="43" bestFit="1" customWidth="1"/>
    <col min="3590" max="3590" width="9.77734375" style="43" bestFit="1" customWidth="1"/>
    <col min="3591" max="3591" width="12.21875" style="43" bestFit="1" customWidth="1"/>
    <col min="3592" max="3592" width="11.21875" style="43"/>
    <col min="3593" max="3593" width="12.21875" style="43" bestFit="1" customWidth="1"/>
    <col min="3594" max="3594" width="11.21875" style="43"/>
    <col min="3595" max="3595" width="12.21875" style="43" bestFit="1" customWidth="1"/>
    <col min="3596" max="3596" width="9.77734375" style="43" bestFit="1" customWidth="1"/>
    <col min="3597" max="3597" width="12.21875" style="43" bestFit="1" customWidth="1"/>
    <col min="3598" max="3598" width="11.21875" style="43"/>
    <col min="3599" max="3599" width="12.21875" style="43" bestFit="1" customWidth="1"/>
    <col min="3600" max="3601" width="4.21875" style="43" bestFit="1" customWidth="1"/>
    <col min="3602" max="3602" width="11.21875" style="43"/>
    <col min="3603" max="3603" width="12.21875" style="43" bestFit="1" customWidth="1"/>
    <col min="3604" max="3604" width="9.77734375" style="43" bestFit="1" customWidth="1"/>
    <col min="3605" max="3605" width="12.21875" style="43" bestFit="1" customWidth="1"/>
    <col min="3606" max="3839" width="11.21875" style="43"/>
    <col min="3840" max="3840" width="13.77734375" style="43" bestFit="1" customWidth="1"/>
    <col min="3841" max="3841" width="60.77734375" style="43" customWidth="1"/>
    <col min="3842" max="3842" width="9.77734375" style="43" bestFit="1" customWidth="1"/>
    <col min="3843" max="3843" width="3.21875" style="43" bestFit="1" customWidth="1"/>
    <col min="3844" max="3844" width="11.21875" style="43"/>
    <col min="3845" max="3845" width="12.21875" style="43" bestFit="1" customWidth="1"/>
    <col min="3846" max="3846" width="9.77734375" style="43" bestFit="1" customWidth="1"/>
    <col min="3847" max="3847" width="12.21875" style="43" bestFit="1" customWidth="1"/>
    <col min="3848" max="3848" width="11.21875" style="43"/>
    <col min="3849" max="3849" width="12.21875" style="43" bestFit="1" customWidth="1"/>
    <col min="3850" max="3850" width="11.21875" style="43"/>
    <col min="3851" max="3851" width="12.21875" style="43" bestFit="1" customWidth="1"/>
    <col min="3852" max="3852" width="9.77734375" style="43" bestFit="1" customWidth="1"/>
    <col min="3853" max="3853" width="12.21875" style="43" bestFit="1" customWidth="1"/>
    <col min="3854" max="3854" width="11.21875" style="43"/>
    <col min="3855" max="3855" width="12.21875" style="43" bestFit="1" customWidth="1"/>
    <col min="3856" max="3857" width="4.21875" style="43" bestFit="1" customWidth="1"/>
    <col min="3858" max="3858" width="11.21875" style="43"/>
    <col min="3859" max="3859" width="12.21875" style="43" bestFit="1" customWidth="1"/>
    <col min="3860" max="3860" width="9.77734375" style="43" bestFit="1" customWidth="1"/>
    <col min="3861" max="3861" width="12.21875" style="43" bestFit="1" customWidth="1"/>
    <col min="3862" max="4095" width="11.21875" style="43"/>
    <col min="4096" max="4096" width="13.77734375" style="43" bestFit="1" customWidth="1"/>
    <col min="4097" max="4097" width="60.77734375" style="43" customWidth="1"/>
    <col min="4098" max="4098" width="9.77734375" style="43" bestFit="1" customWidth="1"/>
    <col min="4099" max="4099" width="3.21875" style="43" bestFit="1" customWidth="1"/>
    <col min="4100" max="4100" width="11.21875" style="43"/>
    <col min="4101" max="4101" width="12.21875" style="43" bestFit="1" customWidth="1"/>
    <col min="4102" max="4102" width="9.77734375" style="43" bestFit="1" customWidth="1"/>
    <col min="4103" max="4103" width="12.21875" style="43" bestFit="1" customWidth="1"/>
    <col min="4104" max="4104" width="11.21875" style="43"/>
    <col min="4105" max="4105" width="12.21875" style="43" bestFit="1" customWidth="1"/>
    <col min="4106" max="4106" width="11.21875" style="43"/>
    <col min="4107" max="4107" width="12.21875" style="43" bestFit="1" customWidth="1"/>
    <col min="4108" max="4108" width="9.77734375" style="43" bestFit="1" customWidth="1"/>
    <col min="4109" max="4109" width="12.21875" style="43" bestFit="1" customWidth="1"/>
    <col min="4110" max="4110" width="11.21875" style="43"/>
    <col min="4111" max="4111" width="12.21875" style="43" bestFit="1" customWidth="1"/>
    <col min="4112" max="4113" width="4.21875" style="43" bestFit="1" customWidth="1"/>
    <col min="4114" max="4114" width="11.21875" style="43"/>
    <col min="4115" max="4115" width="12.21875" style="43" bestFit="1" customWidth="1"/>
    <col min="4116" max="4116" width="9.77734375" style="43" bestFit="1" customWidth="1"/>
    <col min="4117" max="4117" width="12.21875" style="43" bestFit="1" customWidth="1"/>
    <col min="4118" max="4351" width="11.21875" style="43"/>
    <col min="4352" max="4352" width="13.77734375" style="43" bestFit="1" customWidth="1"/>
    <col min="4353" max="4353" width="60.77734375" style="43" customWidth="1"/>
    <col min="4354" max="4354" width="9.77734375" style="43" bestFit="1" customWidth="1"/>
    <col min="4355" max="4355" width="3.21875" style="43" bestFit="1" customWidth="1"/>
    <col min="4356" max="4356" width="11.21875" style="43"/>
    <col min="4357" max="4357" width="12.21875" style="43" bestFit="1" customWidth="1"/>
    <col min="4358" max="4358" width="9.77734375" style="43" bestFit="1" customWidth="1"/>
    <col min="4359" max="4359" width="12.21875" style="43" bestFit="1" customWidth="1"/>
    <col min="4360" max="4360" width="11.21875" style="43"/>
    <col min="4361" max="4361" width="12.21875" style="43" bestFit="1" customWidth="1"/>
    <col min="4362" max="4362" width="11.21875" style="43"/>
    <col min="4363" max="4363" width="12.21875" style="43" bestFit="1" customWidth="1"/>
    <col min="4364" max="4364" width="9.77734375" style="43" bestFit="1" customWidth="1"/>
    <col min="4365" max="4365" width="12.21875" style="43" bestFit="1" customWidth="1"/>
    <col min="4366" max="4366" width="11.21875" style="43"/>
    <col min="4367" max="4367" width="12.21875" style="43" bestFit="1" customWidth="1"/>
    <col min="4368" max="4369" width="4.21875" style="43" bestFit="1" customWidth="1"/>
    <col min="4370" max="4370" width="11.21875" style="43"/>
    <col min="4371" max="4371" width="12.21875" style="43" bestFit="1" customWidth="1"/>
    <col min="4372" max="4372" width="9.77734375" style="43" bestFit="1" customWidth="1"/>
    <col min="4373" max="4373" width="12.21875" style="43" bestFit="1" customWidth="1"/>
    <col min="4374" max="4607" width="11.21875" style="43"/>
    <col min="4608" max="4608" width="13.77734375" style="43" bestFit="1" customWidth="1"/>
    <col min="4609" max="4609" width="60.77734375" style="43" customWidth="1"/>
    <col min="4610" max="4610" width="9.77734375" style="43" bestFit="1" customWidth="1"/>
    <col min="4611" max="4611" width="3.21875" style="43" bestFit="1" customWidth="1"/>
    <col min="4612" max="4612" width="11.21875" style="43"/>
    <col min="4613" max="4613" width="12.21875" style="43" bestFit="1" customWidth="1"/>
    <col min="4614" max="4614" width="9.77734375" style="43" bestFit="1" customWidth="1"/>
    <col min="4615" max="4615" width="12.21875" style="43" bestFit="1" customWidth="1"/>
    <col min="4616" max="4616" width="11.21875" style="43"/>
    <col min="4617" max="4617" width="12.21875" style="43" bestFit="1" customWidth="1"/>
    <col min="4618" max="4618" width="11.21875" style="43"/>
    <col min="4619" max="4619" width="12.21875" style="43" bestFit="1" customWidth="1"/>
    <col min="4620" max="4620" width="9.77734375" style="43" bestFit="1" customWidth="1"/>
    <col min="4621" max="4621" width="12.21875" style="43" bestFit="1" customWidth="1"/>
    <col min="4622" max="4622" width="11.21875" style="43"/>
    <col min="4623" max="4623" width="12.21875" style="43" bestFit="1" customWidth="1"/>
    <col min="4624" max="4625" width="4.21875" style="43" bestFit="1" customWidth="1"/>
    <col min="4626" max="4626" width="11.21875" style="43"/>
    <col min="4627" max="4627" width="12.21875" style="43" bestFit="1" customWidth="1"/>
    <col min="4628" max="4628" width="9.77734375" style="43" bestFit="1" customWidth="1"/>
    <col min="4629" max="4629" width="12.21875" style="43" bestFit="1" customWidth="1"/>
    <col min="4630" max="4863" width="11.21875" style="43"/>
    <col min="4864" max="4864" width="13.77734375" style="43" bestFit="1" customWidth="1"/>
    <col min="4865" max="4865" width="60.77734375" style="43" customWidth="1"/>
    <col min="4866" max="4866" width="9.77734375" style="43" bestFit="1" customWidth="1"/>
    <col min="4867" max="4867" width="3.21875" style="43" bestFit="1" customWidth="1"/>
    <col min="4868" max="4868" width="11.21875" style="43"/>
    <col min="4869" max="4869" width="12.21875" style="43" bestFit="1" customWidth="1"/>
    <col min="4870" max="4870" width="9.77734375" style="43" bestFit="1" customWidth="1"/>
    <col min="4871" max="4871" width="12.21875" style="43" bestFit="1" customWidth="1"/>
    <col min="4872" max="4872" width="11.21875" style="43"/>
    <col min="4873" max="4873" width="12.21875" style="43" bestFit="1" customWidth="1"/>
    <col min="4874" max="4874" width="11.21875" style="43"/>
    <col min="4875" max="4875" width="12.21875" style="43" bestFit="1" customWidth="1"/>
    <col min="4876" max="4876" width="9.77734375" style="43" bestFit="1" customWidth="1"/>
    <col min="4877" max="4877" width="12.21875" style="43" bestFit="1" customWidth="1"/>
    <col min="4878" max="4878" width="11.21875" style="43"/>
    <col min="4879" max="4879" width="12.21875" style="43" bestFit="1" customWidth="1"/>
    <col min="4880" max="4881" width="4.21875" style="43" bestFit="1" customWidth="1"/>
    <col min="4882" max="4882" width="11.21875" style="43"/>
    <col min="4883" max="4883" width="12.21875" style="43" bestFit="1" customWidth="1"/>
    <col min="4884" max="4884" width="9.77734375" style="43" bestFit="1" customWidth="1"/>
    <col min="4885" max="4885" width="12.21875" style="43" bestFit="1" customWidth="1"/>
    <col min="4886" max="5119" width="11.21875" style="43"/>
    <col min="5120" max="5120" width="13.77734375" style="43" bestFit="1" customWidth="1"/>
    <col min="5121" max="5121" width="60.77734375" style="43" customWidth="1"/>
    <col min="5122" max="5122" width="9.77734375" style="43" bestFit="1" customWidth="1"/>
    <col min="5123" max="5123" width="3.21875" style="43" bestFit="1" customWidth="1"/>
    <col min="5124" max="5124" width="11.21875" style="43"/>
    <col min="5125" max="5125" width="12.21875" style="43" bestFit="1" customWidth="1"/>
    <col min="5126" max="5126" width="9.77734375" style="43" bestFit="1" customWidth="1"/>
    <col min="5127" max="5127" width="12.21875" style="43" bestFit="1" customWidth="1"/>
    <col min="5128" max="5128" width="11.21875" style="43"/>
    <col min="5129" max="5129" width="12.21875" style="43" bestFit="1" customWidth="1"/>
    <col min="5130" max="5130" width="11.21875" style="43"/>
    <col min="5131" max="5131" width="12.21875" style="43" bestFit="1" customWidth="1"/>
    <col min="5132" max="5132" width="9.77734375" style="43" bestFit="1" customWidth="1"/>
    <col min="5133" max="5133" width="12.21875" style="43" bestFit="1" customWidth="1"/>
    <col min="5134" max="5134" width="11.21875" style="43"/>
    <col min="5135" max="5135" width="12.21875" style="43" bestFit="1" customWidth="1"/>
    <col min="5136" max="5137" width="4.21875" style="43" bestFit="1" customWidth="1"/>
    <col min="5138" max="5138" width="11.21875" style="43"/>
    <col min="5139" max="5139" width="12.21875" style="43" bestFit="1" customWidth="1"/>
    <col min="5140" max="5140" width="9.77734375" style="43" bestFit="1" customWidth="1"/>
    <col min="5141" max="5141" width="12.21875" style="43" bestFit="1" customWidth="1"/>
    <col min="5142" max="5375" width="11.21875" style="43"/>
    <col min="5376" max="5376" width="13.77734375" style="43" bestFit="1" customWidth="1"/>
    <col min="5377" max="5377" width="60.77734375" style="43" customWidth="1"/>
    <col min="5378" max="5378" width="9.77734375" style="43" bestFit="1" customWidth="1"/>
    <col min="5379" max="5379" width="3.21875" style="43" bestFit="1" customWidth="1"/>
    <col min="5380" max="5380" width="11.21875" style="43"/>
    <col min="5381" max="5381" width="12.21875" style="43" bestFit="1" customWidth="1"/>
    <col min="5382" max="5382" width="9.77734375" style="43" bestFit="1" customWidth="1"/>
    <col min="5383" max="5383" width="12.21875" style="43" bestFit="1" customWidth="1"/>
    <col min="5384" max="5384" width="11.21875" style="43"/>
    <col min="5385" max="5385" width="12.21875" style="43" bestFit="1" customWidth="1"/>
    <col min="5386" max="5386" width="11.21875" style="43"/>
    <col min="5387" max="5387" width="12.21875" style="43" bestFit="1" customWidth="1"/>
    <col min="5388" max="5388" width="9.77734375" style="43" bestFit="1" customWidth="1"/>
    <col min="5389" max="5389" width="12.21875" style="43" bestFit="1" customWidth="1"/>
    <col min="5390" max="5390" width="11.21875" style="43"/>
    <col min="5391" max="5391" width="12.21875" style="43" bestFit="1" customWidth="1"/>
    <col min="5392" max="5393" width="4.21875" style="43" bestFit="1" customWidth="1"/>
    <col min="5394" max="5394" width="11.21875" style="43"/>
    <col min="5395" max="5395" width="12.21875" style="43" bestFit="1" customWidth="1"/>
    <col min="5396" max="5396" width="9.77734375" style="43" bestFit="1" customWidth="1"/>
    <col min="5397" max="5397" width="12.21875" style="43" bestFit="1" customWidth="1"/>
    <col min="5398" max="5631" width="11.21875" style="43"/>
    <col min="5632" max="5632" width="13.77734375" style="43" bestFit="1" customWidth="1"/>
    <col min="5633" max="5633" width="60.77734375" style="43" customWidth="1"/>
    <col min="5634" max="5634" width="9.77734375" style="43" bestFit="1" customWidth="1"/>
    <col min="5635" max="5635" width="3.21875" style="43" bestFit="1" customWidth="1"/>
    <col min="5636" max="5636" width="11.21875" style="43"/>
    <col min="5637" max="5637" width="12.21875" style="43" bestFit="1" customWidth="1"/>
    <col min="5638" max="5638" width="9.77734375" style="43" bestFit="1" customWidth="1"/>
    <col min="5639" max="5639" width="12.21875" style="43" bestFit="1" customWidth="1"/>
    <col min="5640" max="5640" width="11.21875" style="43"/>
    <col min="5641" max="5641" width="12.21875" style="43" bestFit="1" customWidth="1"/>
    <col min="5642" max="5642" width="11.21875" style="43"/>
    <col min="5643" max="5643" width="12.21875" style="43" bestFit="1" customWidth="1"/>
    <col min="5644" max="5644" width="9.77734375" style="43" bestFit="1" customWidth="1"/>
    <col min="5645" max="5645" width="12.21875" style="43" bestFit="1" customWidth="1"/>
    <col min="5646" max="5646" width="11.21875" style="43"/>
    <col min="5647" max="5647" width="12.21875" style="43" bestFit="1" customWidth="1"/>
    <col min="5648" max="5649" width="4.21875" style="43" bestFit="1" customWidth="1"/>
    <col min="5650" max="5650" width="11.21875" style="43"/>
    <col min="5651" max="5651" width="12.21875" style="43" bestFit="1" customWidth="1"/>
    <col min="5652" max="5652" width="9.77734375" style="43" bestFit="1" customWidth="1"/>
    <col min="5653" max="5653" width="12.21875" style="43" bestFit="1" customWidth="1"/>
    <col min="5654" max="5887" width="11.21875" style="43"/>
    <col min="5888" max="5888" width="13.77734375" style="43" bestFit="1" customWidth="1"/>
    <col min="5889" max="5889" width="60.77734375" style="43" customWidth="1"/>
    <col min="5890" max="5890" width="9.77734375" style="43" bestFit="1" customWidth="1"/>
    <col min="5891" max="5891" width="3.21875" style="43" bestFit="1" customWidth="1"/>
    <col min="5892" max="5892" width="11.21875" style="43"/>
    <col min="5893" max="5893" width="12.21875" style="43" bestFit="1" customWidth="1"/>
    <col min="5894" max="5894" width="9.77734375" style="43" bestFit="1" customWidth="1"/>
    <col min="5895" max="5895" width="12.21875" style="43" bestFit="1" customWidth="1"/>
    <col min="5896" max="5896" width="11.21875" style="43"/>
    <col min="5897" max="5897" width="12.21875" style="43" bestFit="1" customWidth="1"/>
    <col min="5898" max="5898" width="11.21875" style="43"/>
    <col min="5899" max="5899" width="12.21875" style="43" bestFit="1" customWidth="1"/>
    <col min="5900" max="5900" width="9.77734375" style="43" bestFit="1" customWidth="1"/>
    <col min="5901" max="5901" width="12.21875" style="43" bestFit="1" customWidth="1"/>
    <col min="5902" max="5902" width="11.21875" style="43"/>
    <col min="5903" max="5903" width="12.21875" style="43" bestFit="1" customWidth="1"/>
    <col min="5904" max="5905" width="4.21875" style="43" bestFit="1" customWidth="1"/>
    <col min="5906" max="5906" width="11.21875" style="43"/>
    <col min="5907" max="5907" width="12.21875" style="43" bestFit="1" customWidth="1"/>
    <col min="5908" max="5908" width="9.77734375" style="43" bestFit="1" customWidth="1"/>
    <col min="5909" max="5909" width="12.21875" style="43" bestFit="1" customWidth="1"/>
    <col min="5910" max="6143" width="11.21875" style="43"/>
    <col min="6144" max="6144" width="13.77734375" style="43" bestFit="1" customWidth="1"/>
    <col min="6145" max="6145" width="60.77734375" style="43" customWidth="1"/>
    <col min="6146" max="6146" width="9.77734375" style="43" bestFit="1" customWidth="1"/>
    <col min="6147" max="6147" width="3.21875" style="43" bestFit="1" customWidth="1"/>
    <col min="6148" max="6148" width="11.21875" style="43"/>
    <col min="6149" max="6149" width="12.21875" style="43" bestFit="1" customWidth="1"/>
    <col min="6150" max="6150" width="9.77734375" style="43" bestFit="1" customWidth="1"/>
    <col min="6151" max="6151" width="12.21875" style="43" bestFit="1" customWidth="1"/>
    <col min="6152" max="6152" width="11.21875" style="43"/>
    <col min="6153" max="6153" width="12.21875" style="43" bestFit="1" customWidth="1"/>
    <col min="6154" max="6154" width="11.21875" style="43"/>
    <col min="6155" max="6155" width="12.21875" style="43" bestFit="1" customWidth="1"/>
    <col min="6156" max="6156" width="9.77734375" style="43" bestFit="1" customWidth="1"/>
    <col min="6157" max="6157" width="12.21875" style="43" bestFit="1" customWidth="1"/>
    <col min="6158" max="6158" width="11.21875" style="43"/>
    <col min="6159" max="6159" width="12.21875" style="43" bestFit="1" customWidth="1"/>
    <col min="6160" max="6161" width="4.21875" style="43" bestFit="1" customWidth="1"/>
    <col min="6162" max="6162" width="11.21875" style="43"/>
    <col min="6163" max="6163" width="12.21875" style="43" bestFit="1" customWidth="1"/>
    <col min="6164" max="6164" width="9.77734375" style="43" bestFit="1" customWidth="1"/>
    <col min="6165" max="6165" width="12.21875" style="43" bestFit="1" customWidth="1"/>
    <col min="6166" max="6399" width="11.21875" style="43"/>
    <col min="6400" max="6400" width="13.77734375" style="43" bestFit="1" customWidth="1"/>
    <col min="6401" max="6401" width="60.77734375" style="43" customWidth="1"/>
    <col min="6402" max="6402" width="9.77734375" style="43" bestFit="1" customWidth="1"/>
    <col min="6403" max="6403" width="3.21875" style="43" bestFit="1" customWidth="1"/>
    <col min="6404" max="6404" width="11.21875" style="43"/>
    <col min="6405" max="6405" width="12.21875" style="43" bestFit="1" customWidth="1"/>
    <col min="6406" max="6406" width="9.77734375" style="43" bestFit="1" customWidth="1"/>
    <col min="6407" max="6407" width="12.21875" style="43" bestFit="1" customWidth="1"/>
    <col min="6408" max="6408" width="11.21875" style="43"/>
    <col min="6409" max="6409" width="12.21875" style="43" bestFit="1" customWidth="1"/>
    <col min="6410" max="6410" width="11.21875" style="43"/>
    <col min="6411" max="6411" width="12.21875" style="43" bestFit="1" customWidth="1"/>
    <col min="6412" max="6412" width="9.77734375" style="43" bestFit="1" customWidth="1"/>
    <col min="6413" max="6413" width="12.21875" style="43" bestFit="1" customWidth="1"/>
    <col min="6414" max="6414" width="11.21875" style="43"/>
    <col min="6415" max="6415" width="12.21875" style="43" bestFit="1" customWidth="1"/>
    <col min="6416" max="6417" width="4.21875" style="43" bestFit="1" customWidth="1"/>
    <col min="6418" max="6418" width="11.21875" style="43"/>
    <col min="6419" max="6419" width="12.21875" style="43" bestFit="1" customWidth="1"/>
    <col min="6420" max="6420" width="9.77734375" style="43" bestFit="1" customWidth="1"/>
    <col min="6421" max="6421" width="12.21875" style="43" bestFit="1" customWidth="1"/>
    <col min="6422" max="6655" width="11.21875" style="43"/>
    <col min="6656" max="6656" width="13.77734375" style="43" bestFit="1" customWidth="1"/>
    <col min="6657" max="6657" width="60.77734375" style="43" customWidth="1"/>
    <col min="6658" max="6658" width="9.77734375" style="43" bestFit="1" customWidth="1"/>
    <col min="6659" max="6659" width="3.21875" style="43" bestFit="1" customWidth="1"/>
    <col min="6660" max="6660" width="11.21875" style="43"/>
    <col min="6661" max="6661" width="12.21875" style="43" bestFit="1" customWidth="1"/>
    <col min="6662" max="6662" width="9.77734375" style="43" bestFit="1" customWidth="1"/>
    <col min="6663" max="6663" width="12.21875" style="43" bestFit="1" customWidth="1"/>
    <col min="6664" max="6664" width="11.21875" style="43"/>
    <col min="6665" max="6665" width="12.21875" style="43" bestFit="1" customWidth="1"/>
    <col min="6666" max="6666" width="11.21875" style="43"/>
    <col min="6667" max="6667" width="12.21875" style="43" bestFit="1" customWidth="1"/>
    <col min="6668" max="6668" width="9.77734375" style="43" bestFit="1" customWidth="1"/>
    <col min="6669" max="6669" width="12.21875" style="43" bestFit="1" customWidth="1"/>
    <col min="6670" max="6670" width="11.21875" style="43"/>
    <col min="6671" max="6671" width="12.21875" style="43" bestFit="1" customWidth="1"/>
    <col min="6672" max="6673" width="4.21875" style="43" bestFit="1" customWidth="1"/>
    <col min="6674" max="6674" width="11.21875" style="43"/>
    <col min="6675" max="6675" width="12.21875" style="43" bestFit="1" customWidth="1"/>
    <col min="6676" max="6676" width="9.77734375" style="43" bestFit="1" customWidth="1"/>
    <col min="6677" max="6677" width="12.21875" style="43" bestFit="1" customWidth="1"/>
    <col min="6678" max="6911" width="11.21875" style="43"/>
    <col min="6912" max="6912" width="13.77734375" style="43" bestFit="1" customWidth="1"/>
    <col min="6913" max="6913" width="60.77734375" style="43" customWidth="1"/>
    <col min="6914" max="6914" width="9.77734375" style="43" bestFit="1" customWidth="1"/>
    <col min="6915" max="6915" width="3.21875" style="43" bestFit="1" customWidth="1"/>
    <col min="6916" max="6916" width="11.21875" style="43"/>
    <col min="6917" max="6917" width="12.21875" style="43" bestFit="1" customWidth="1"/>
    <col min="6918" max="6918" width="9.77734375" style="43" bestFit="1" customWidth="1"/>
    <col min="6919" max="6919" width="12.21875" style="43" bestFit="1" customWidth="1"/>
    <col min="6920" max="6920" width="11.21875" style="43"/>
    <col min="6921" max="6921" width="12.21875" style="43" bestFit="1" customWidth="1"/>
    <col min="6922" max="6922" width="11.21875" style="43"/>
    <col min="6923" max="6923" width="12.21875" style="43" bestFit="1" customWidth="1"/>
    <col min="6924" max="6924" width="9.77734375" style="43" bestFit="1" customWidth="1"/>
    <col min="6925" max="6925" width="12.21875" style="43" bestFit="1" customWidth="1"/>
    <col min="6926" max="6926" width="11.21875" style="43"/>
    <col min="6927" max="6927" width="12.21875" style="43" bestFit="1" customWidth="1"/>
    <col min="6928" max="6929" width="4.21875" style="43" bestFit="1" customWidth="1"/>
    <col min="6930" max="6930" width="11.21875" style="43"/>
    <col min="6931" max="6931" width="12.21875" style="43" bestFit="1" customWidth="1"/>
    <col min="6932" max="6932" width="9.77734375" style="43" bestFit="1" customWidth="1"/>
    <col min="6933" max="6933" width="12.21875" style="43" bestFit="1" customWidth="1"/>
    <col min="6934" max="7167" width="11.21875" style="43"/>
    <col min="7168" max="7168" width="13.77734375" style="43" bestFit="1" customWidth="1"/>
    <col min="7169" max="7169" width="60.77734375" style="43" customWidth="1"/>
    <col min="7170" max="7170" width="9.77734375" style="43" bestFit="1" customWidth="1"/>
    <col min="7171" max="7171" width="3.21875" style="43" bestFit="1" customWidth="1"/>
    <col min="7172" max="7172" width="11.21875" style="43"/>
    <col min="7173" max="7173" width="12.21875" style="43" bestFit="1" customWidth="1"/>
    <col min="7174" max="7174" width="9.77734375" style="43" bestFit="1" customWidth="1"/>
    <col min="7175" max="7175" width="12.21875" style="43" bestFit="1" customWidth="1"/>
    <col min="7176" max="7176" width="11.21875" style="43"/>
    <col min="7177" max="7177" width="12.21875" style="43" bestFit="1" customWidth="1"/>
    <col min="7178" max="7178" width="11.21875" style="43"/>
    <col min="7179" max="7179" width="12.21875" style="43" bestFit="1" customWidth="1"/>
    <col min="7180" max="7180" width="9.77734375" style="43" bestFit="1" customWidth="1"/>
    <col min="7181" max="7181" width="12.21875" style="43" bestFit="1" customWidth="1"/>
    <col min="7182" max="7182" width="11.21875" style="43"/>
    <col min="7183" max="7183" width="12.21875" style="43" bestFit="1" customWidth="1"/>
    <col min="7184" max="7185" width="4.21875" style="43" bestFit="1" customWidth="1"/>
    <col min="7186" max="7186" width="11.21875" style="43"/>
    <col min="7187" max="7187" width="12.21875" style="43" bestFit="1" customWidth="1"/>
    <col min="7188" max="7188" width="9.77734375" style="43" bestFit="1" customWidth="1"/>
    <col min="7189" max="7189" width="12.21875" style="43" bestFit="1" customWidth="1"/>
    <col min="7190" max="7423" width="11.21875" style="43"/>
    <col min="7424" max="7424" width="13.77734375" style="43" bestFit="1" customWidth="1"/>
    <col min="7425" max="7425" width="60.77734375" style="43" customWidth="1"/>
    <col min="7426" max="7426" width="9.77734375" style="43" bestFit="1" customWidth="1"/>
    <col min="7427" max="7427" width="3.21875" style="43" bestFit="1" customWidth="1"/>
    <col min="7428" max="7428" width="11.21875" style="43"/>
    <col min="7429" max="7429" width="12.21875" style="43" bestFit="1" customWidth="1"/>
    <col min="7430" max="7430" width="9.77734375" style="43" bestFit="1" customWidth="1"/>
    <col min="7431" max="7431" width="12.21875" style="43" bestFit="1" customWidth="1"/>
    <col min="7432" max="7432" width="11.21875" style="43"/>
    <col min="7433" max="7433" width="12.21875" style="43" bestFit="1" customWidth="1"/>
    <col min="7434" max="7434" width="11.21875" style="43"/>
    <col min="7435" max="7435" width="12.21875" style="43" bestFit="1" customWidth="1"/>
    <col min="7436" max="7436" width="9.77734375" style="43" bestFit="1" customWidth="1"/>
    <col min="7437" max="7437" width="12.21875" style="43" bestFit="1" customWidth="1"/>
    <col min="7438" max="7438" width="11.21875" style="43"/>
    <col min="7439" max="7439" width="12.21875" style="43" bestFit="1" customWidth="1"/>
    <col min="7440" max="7441" width="4.21875" style="43" bestFit="1" customWidth="1"/>
    <col min="7442" max="7442" width="11.21875" style="43"/>
    <col min="7443" max="7443" width="12.21875" style="43" bestFit="1" customWidth="1"/>
    <col min="7444" max="7444" width="9.77734375" style="43" bestFit="1" customWidth="1"/>
    <col min="7445" max="7445" width="12.21875" style="43" bestFit="1" customWidth="1"/>
    <col min="7446" max="7679" width="11.21875" style="43"/>
    <col min="7680" max="7680" width="13.77734375" style="43" bestFit="1" customWidth="1"/>
    <col min="7681" max="7681" width="60.77734375" style="43" customWidth="1"/>
    <col min="7682" max="7682" width="9.77734375" style="43" bestFit="1" customWidth="1"/>
    <col min="7683" max="7683" width="3.21875" style="43" bestFit="1" customWidth="1"/>
    <col min="7684" max="7684" width="11.21875" style="43"/>
    <col min="7685" max="7685" width="12.21875" style="43" bestFit="1" customWidth="1"/>
    <col min="7686" max="7686" width="9.77734375" style="43" bestFit="1" customWidth="1"/>
    <col min="7687" max="7687" width="12.21875" style="43" bestFit="1" customWidth="1"/>
    <col min="7688" max="7688" width="11.21875" style="43"/>
    <col min="7689" max="7689" width="12.21875" style="43" bestFit="1" customWidth="1"/>
    <col min="7690" max="7690" width="11.21875" style="43"/>
    <col min="7691" max="7691" width="12.21875" style="43" bestFit="1" customWidth="1"/>
    <col min="7692" max="7692" width="9.77734375" style="43" bestFit="1" customWidth="1"/>
    <col min="7693" max="7693" width="12.21875" style="43" bestFit="1" customWidth="1"/>
    <col min="7694" max="7694" width="11.21875" style="43"/>
    <col min="7695" max="7695" width="12.21875" style="43" bestFit="1" customWidth="1"/>
    <col min="7696" max="7697" width="4.21875" style="43" bestFit="1" customWidth="1"/>
    <col min="7698" max="7698" width="11.21875" style="43"/>
    <col min="7699" max="7699" width="12.21875" style="43" bestFit="1" customWidth="1"/>
    <col min="7700" max="7700" width="9.77734375" style="43" bestFit="1" customWidth="1"/>
    <col min="7701" max="7701" width="12.21875" style="43" bestFit="1" customWidth="1"/>
    <col min="7702" max="7935" width="11.21875" style="43"/>
    <col min="7936" max="7936" width="13.77734375" style="43" bestFit="1" customWidth="1"/>
    <col min="7937" max="7937" width="60.77734375" style="43" customWidth="1"/>
    <col min="7938" max="7938" width="9.77734375" style="43" bestFit="1" customWidth="1"/>
    <col min="7939" max="7939" width="3.21875" style="43" bestFit="1" customWidth="1"/>
    <col min="7940" max="7940" width="11.21875" style="43"/>
    <col min="7941" max="7941" width="12.21875" style="43" bestFit="1" customWidth="1"/>
    <col min="7942" max="7942" width="9.77734375" style="43" bestFit="1" customWidth="1"/>
    <col min="7943" max="7943" width="12.21875" style="43" bestFit="1" customWidth="1"/>
    <col min="7944" max="7944" width="11.21875" style="43"/>
    <col min="7945" max="7945" width="12.21875" style="43" bestFit="1" customWidth="1"/>
    <col min="7946" max="7946" width="11.21875" style="43"/>
    <col min="7947" max="7947" width="12.21875" style="43" bestFit="1" customWidth="1"/>
    <col min="7948" max="7948" width="9.77734375" style="43" bestFit="1" customWidth="1"/>
    <col min="7949" max="7949" width="12.21875" style="43" bestFit="1" customWidth="1"/>
    <col min="7950" max="7950" width="11.21875" style="43"/>
    <col min="7951" max="7951" width="12.21875" style="43" bestFit="1" customWidth="1"/>
    <col min="7952" max="7953" width="4.21875" style="43" bestFit="1" customWidth="1"/>
    <col min="7954" max="7954" width="11.21875" style="43"/>
    <col min="7955" max="7955" width="12.21875" style="43" bestFit="1" customWidth="1"/>
    <col min="7956" max="7956" width="9.77734375" style="43" bestFit="1" customWidth="1"/>
    <col min="7957" max="7957" width="12.21875" style="43" bestFit="1" customWidth="1"/>
    <col min="7958" max="8191" width="11.21875" style="43"/>
    <col min="8192" max="8192" width="13.77734375" style="43" bestFit="1" customWidth="1"/>
    <col min="8193" max="8193" width="60.77734375" style="43" customWidth="1"/>
    <col min="8194" max="8194" width="9.77734375" style="43" bestFit="1" customWidth="1"/>
    <col min="8195" max="8195" width="3.21875" style="43" bestFit="1" customWidth="1"/>
    <col min="8196" max="8196" width="11.21875" style="43"/>
    <col min="8197" max="8197" width="12.21875" style="43" bestFit="1" customWidth="1"/>
    <col min="8198" max="8198" width="9.77734375" style="43" bestFit="1" customWidth="1"/>
    <col min="8199" max="8199" width="12.21875" style="43" bestFit="1" customWidth="1"/>
    <col min="8200" max="8200" width="11.21875" style="43"/>
    <col min="8201" max="8201" width="12.21875" style="43" bestFit="1" customWidth="1"/>
    <col min="8202" max="8202" width="11.21875" style="43"/>
    <col min="8203" max="8203" width="12.21875" style="43" bestFit="1" customWidth="1"/>
    <col min="8204" max="8204" width="9.77734375" style="43" bestFit="1" customWidth="1"/>
    <col min="8205" max="8205" width="12.21875" style="43" bestFit="1" customWidth="1"/>
    <col min="8206" max="8206" width="11.21875" style="43"/>
    <col min="8207" max="8207" width="12.21875" style="43" bestFit="1" customWidth="1"/>
    <col min="8208" max="8209" width="4.21875" style="43" bestFit="1" customWidth="1"/>
    <col min="8210" max="8210" width="11.21875" style="43"/>
    <col min="8211" max="8211" width="12.21875" style="43" bestFit="1" customWidth="1"/>
    <col min="8212" max="8212" width="9.77734375" style="43" bestFit="1" customWidth="1"/>
    <col min="8213" max="8213" width="12.21875" style="43" bestFit="1" customWidth="1"/>
    <col min="8214" max="8447" width="11.21875" style="43"/>
    <col min="8448" max="8448" width="13.77734375" style="43" bestFit="1" customWidth="1"/>
    <col min="8449" max="8449" width="60.77734375" style="43" customWidth="1"/>
    <col min="8450" max="8450" width="9.77734375" style="43" bestFit="1" customWidth="1"/>
    <col min="8451" max="8451" width="3.21875" style="43" bestFit="1" customWidth="1"/>
    <col min="8452" max="8452" width="11.21875" style="43"/>
    <col min="8453" max="8453" width="12.21875" style="43" bestFit="1" customWidth="1"/>
    <col min="8454" max="8454" width="9.77734375" style="43" bestFit="1" customWidth="1"/>
    <col min="8455" max="8455" width="12.21875" style="43" bestFit="1" customWidth="1"/>
    <col min="8456" max="8456" width="11.21875" style="43"/>
    <col min="8457" max="8457" width="12.21875" style="43" bestFit="1" customWidth="1"/>
    <col min="8458" max="8458" width="11.21875" style="43"/>
    <col min="8459" max="8459" width="12.21875" style="43" bestFit="1" customWidth="1"/>
    <col min="8460" max="8460" width="9.77734375" style="43" bestFit="1" customWidth="1"/>
    <col min="8461" max="8461" width="12.21875" style="43" bestFit="1" customWidth="1"/>
    <col min="8462" max="8462" width="11.21875" style="43"/>
    <col min="8463" max="8463" width="12.21875" style="43" bestFit="1" customWidth="1"/>
    <col min="8464" max="8465" width="4.21875" style="43" bestFit="1" customWidth="1"/>
    <col min="8466" max="8466" width="11.21875" style="43"/>
    <col min="8467" max="8467" width="12.21875" style="43" bestFit="1" customWidth="1"/>
    <col min="8468" max="8468" width="9.77734375" style="43" bestFit="1" customWidth="1"/>
    <col min="8469" max="8469" width="12.21875" style="43" bestFit="1" customWidth="1"/>
    <col min="8470" max="8703" width="11.21875" style="43"/>
    <col min="8704" max="8704" width="13.77734375" style="43" bestFit="1" customWidth="1"/>
    <col min="8705" max="8705" width="60.77734375" style="43" customWidth="1"/>
    <col min="8706" max="8706" width="9.77734375" style="43" bestFit="1" customWidth="1"/>
    <col min="8707" max="8707" width="3.21875" style="43" bestFit="1" customWidth="1"/>
    <col min="8708" max="8708" width="11.21875" style="43"/>
    <col min="8709" max="8709" width="12.21875" style="43" bestFit="1" customWidth="1"/>
    <col min="8710" max="8710" width="9.77734375" style="43" bestFit="1" customWidth="1"/>
    <col min="8711" max="8711" width="12.21875" style="43" bestFit="1" customWidth="1"/>
    <col min="8712" max="8712" width="11.21875" style="43"/>
    <col min="8713" max="8713" width="12.21875" style="43" bestFit="1" customWidth="1"/>
    <col min="8714" max="8714" width="11.21875" style="43"/>
    <col min="8715" max="8715" width="12.21875" style="43" bestFit="1" customWidth="1"/>
    <col min="8716" max="8716" width="9.77734375" style="43" bestFit="1" customWidth="1"/>
    <col min="8717" max="8717" width="12.21875" style="43" bestFit="1" customWidth="1"/>
    <col min="8718" max="8718" width="11.21875" style="43"/>
    <col min="8719" max="8719" width="12.21875" style="43" bestFit="1" customWidth="1"/>
    <col min="8720" max="8721" width="4.21875" style="43" bestFit="1" customWidth="1"/>
    <col min="8722" max="8722" width="11.21875" style="43"/>
    <col min="8723" max="8723" width="12.21875" style="43" bestFit="1" customWidth="1"/>
    <col min="8724" max="8724" width="9.77734375" style="43" bestFit="1" customWidth="1"/>
    <col min="8725" max="8725" width="12.21875" style="43" bestFit="1" customWidth="1"/>
    <col min="8726" max="8959" width="11.21875" style="43"/>
    <col min="8960" max="8960" width="13.77734375" style="43" bestFit="1" customWidth="1"/>
    <col min="8961" max="8961" width="60.77734375" style="43" customWidth="1"/>
    <col min="8962" max="8962" width="9.77734375" style="43" bestFit="1" customWidth="1"/>
    <col min="8963" max="8963" width="3.21875" style="43" bestFit="1" customWidth="1"/>
    <col min="8964" max="8964" width="11.21875" style="43"/>
    <col min="8965" max="8965" width="12.21875" style="43" bestFit="1" customWidth="1"/>
    <col min="8966" max="8966" width="9.77734375" style="43" bestFit="1" customWidth="1"/>
    <col min="8967" max="8967" width="12.21875" style="43" bestFit="1" customWidth="1"/>
    <col min="8968" max="8968" width="11.21875" style="43"/>
    <col min="8969" max="8969" width="12.21875" style="43" bestFit="1" customWidth="1"/>
    <col min="8970" max="8970" width="11.21875" style="43"/>
    <col min="8971" max="8971" width="12.21875" style="43" bestFit="1" customWidth="1"/>
    <col min="8972" max="8972" width="9.77734375" style="43" bestFit="1" customWidth="1"/>
    <col min="8973" max="8973" width="12.21875" style="43" bestFit="1" customWidth="1"/>
    <col min="8974" max="8974" width="11.21875" style="43"/>
    <col min="8975" max="8975" width="12.21875" style="43" bestFit="1" customWidth="1"/>
    <col min="8976" max="8977" width="4.21875" style="43" bestFit="1" customWidth="1"/>
    <col min="8978" max="8978" width="11.21875" style="43"/>
    <col min="8979" max="8979" width="12.21875" style="43" bestFit="1" customWidth="1"/>
    <col min="8980" max="8980" width="9.77734375" style="43" bestFit="1" customWidth="1"/>
    <col min="8981" max="8981" width="12.21875" style="43" bestFit="1" customWidth="1"/>
    <col min="8982" max="9215" width="11.21875" style="43"/>
    <col min="9216" max="9216" width="13.77734375" style="43" bestFit="1" customWidth="1"/>
    <col min="9217" max="9217" width="60.77734375" style="43" customWidth="1"/>
    <col min="9218" max="9218" width="9.77734375" style="43" bestFit="1" customWidth="1"/>
    <col min="9219" max="9219" width="3.21875" style="43" bestFit="1" customWidth="1"/>
    <col min="9220" max="9220" width="11.21875" style="43"/>
    <col min="9221" max="9221" width="12.21875" style="43" bestFit="1" customWidth="1"/>
    <col min="9222" max="9222" width="9.77734375" style="43" bestFit="1" customWidth="1"/>
    <col min="9223" max="9223" width="12.21875" style="43" bestFit="1" customWidth="1"/>
    <col min="9224" max="9224" width="11.21875" style="43"/>
    <col min="9225" max="9225" width="12.21875" style="43" bestFit="1" customWidth="1"/>
    <col min="9226" max="9226" width="11.21875" style="43"/>
    <col min="9227" max="9227" width="12.21875" style="43" bestFit="1" customWidth="1"/>
    <col min="9228" max="9228" width="9.77734375" style="43" bestFit="1" customWidth="1"/>
    <col min="9229" max="9229" width="12.21875" style="43" bestFit="1" customWidth="1"/>
    <col min="9230" max="9230" width="11.21875" style="43"/>
    <col min="9231" max="9231" width="12.21875" style="43" bestFit="1" customWidth="1"/>
    <col min="9232" max="9233" width="4.21875" style="43" bestFit="1" customWidth="1"/>
    <col min="9234" max="9234" width="11.21875" style="43"/>
    <col min="9235" max="9235" width="12.21875" style="43" bestFit="1" customWidth="1"/>
    <col min="9236" max="9236" width="9.77734375" style="43" bestFit="1" customWidth="1"/>
    <col min="9237" max="9237" width="12.21875" style="43" bestFit="1" customWidth="1"/>
    <col min="9238" max="9471" width="11.21875" style="43"/>
    <col min="9472" max="9472" width="13.77734375" style="43" bestFit="1" customWidth="1"/>
    <col min="9473" max="9473" width="60.77734375" style="43" customWidth="1"/>
    <col min="9474" max="9474" width="9.77734375" style="43" bestFit="1" customWidth="1"/>
    <col min="9475" max="9475" width="3.21875" style="43" bestFit="1" customWidth="1"/>
    <col min="9476" max="9476" width="11.21875" style="43"/>
    <col min="9477" max="9477" width="12.21875" style="43" bestFit="1" customWidth="1"/>
    <col min="9478" max="9478" width="9.77734375" style="43" bestFit="1" customWidth="1"/>
    <col min="9479" max="9479" width="12.21875" style="43" bestFit="1" customWidth="1"/>
    <col min="9480" max="9480" width="11.21875" style="43"/>
    <col min="9481" max="9481" width="12.21875" style="43" bestFit="1" customWidth="1"/>
    <col min="9482" max="9482" width="11.21875" style="43"/>
    <col min="9483" max="9483" width="12.21875" style="43" bestFit="1" customWidth="1"/>
    <col min="9484" max="9484" width="9.77734375" style="43" bestFit="1" customWidth="1"/>
    <col min="9485" max="9485" width="12.21875" style="43" bestFit="1" customWidth="1"/>
    <col min="9486" max="9486" width="11.21875" style="43"/>
    <col min="9487" max="9487" width="12.21875" style="43" bestFit="1" customWidth="1"/>
    <col min="9488" max="9489" width="4.21875" style="43" bestFit="1" customWidth="1"/>
    <col min="9490" max="9490" width="11.21875" style="43"/>
    <col min="9491" max="9491" width="12.21875" style="43" bestFit="1" customWidth="1"/>
    <col min="9492" max="9492" width="9.77734375" style="43" bestFit="1" customWidth="1"/>
    <col min="9493" max="9493" width="12.21875" style="43" bestFit="1" customWidth="1"/>
    <col min="9494" max="9727" width="11.21875" style="43"/>
    <col min="9728" max="9728" width="13.77734375" style="43" bestFit="1" customWidth="1"/>
    <col min="9729" max="9729" width="60.77734375" style="43" customWidth="1"/>
    <col min="9730" max="9730" width="9.77734375" style="43" bestFit="1" customWidth="1"/>
    <col min="9731" max="9731" width="3.21875" style="43" bestFit="1" customWidth="1"/>
    <col min="9732" max="9732" width="11.21875" style="43"/>
    <col min="9733" max="9733" width="12.21875" style="43" bestFit="1" customWidth="1"/>
    <col min="9734" max="9734" width="9.77734375" style="43" bestFit="1" customWidth="1"/>
    <col min="9735" max="9735" width="12.21875" style="43" bestFit="1" customWidth="1"/>
    <col min="9736" max="9736" width="11.21875" style="43"/>
    <col min="9737" max="9737" width="12.21875" style="43" bestFit="1" customWidth="1"/>
    <col min="9738" max="9738" width="11.21875" style="43"/>
    <col min="9739" max="9739" width="12.21875" style="43" bestFit="1" customWidth="1"/>
    <col min="9740" max="9740" width="9.77734375" style="43" bestFit="1" customWidth="1"/>
    <col min="9741" max="9741" width="12.21875" style="43" bestFit="1" customWidth="1"/>
    <col min="9742" max="9742" width="11.21875" style="43"/>
    <col min="9743" max="9743" width="12.21875" style="43" bestFit="1" customWidth="1"/>
    <col min="9744" max="9745" width="4.21875" style="43" bestFit="1" customWidth="1"/>
    <col min="9746" max="9746" width="11.21875" style="43"/>
    <col min="9747" max="9747" width="12.21875" style="43" bestFit="1" customWidth="1"/>
    <col min="9748" max="9748" width="9.77734375" style="43" bestFit="1" customWidth="1"/>
    <col min="9749" max="9749" width="12.21875" style="43" bestFit="1" customWidth="1"/>
    <col min="9750" max="9983" width="11.21875" style="43"/>
    <col min="9984" max="9984" width="13.77734375" style="43" bestFit="1" customWidth="1"/>
    <col min="9985" max="9985" width="60.77734375" style="43" customWidth="1"/>
    <col min="9986" max="9986" width="9.77734375" style="43" bestFit="1" customWidth="1"/>
    <col min="9987" max="9987" width="3.21875" style="43" bestFit="1" customWidth="1"/>
    <col min="9988" max="9988" width="11.21875" style="43"/>
    <col min="9989" max="9989" width="12.21875" style="43" bestFit="1" customWidth="1"/>
    <col min="9990" max="9990" width="9.77734375" style="43" bestFit="1" customWidth="1"/>
    <col min="9991" max="9991" width="12.21875" style="43" bestFit="1" customWidth="1"/>
    <col min="9992" max="9992" width="11.21875" style="43"/>
    <col min="9993" max="9993" width="12.21875" style="43" bestFit="1" customWidth="1"/>
    <col min="9994" max="9994" width="11.21875" style="43"/>
    <col min="9995" max="9995" width="12.21875" style="43" bestFit="1" customWidth="1"/>
    <col min="9996" max="9996" width="9.77734375" style="43" bestFit="1" customWidth="1"/>
    <col min="9997" max="9997" width="12.21875" style="43" bestFit="1" customWidth="1"/>
    <col min="9998" max="9998" width="11.21875" style="43"/>
    <col min="9999" max="9999" width="12.21875" style="43" bestFit="1" customWidth="1"/>
    <col min="10000" max="10001" width="4.21875" style="43" bestFit="1" customWidth="1"/>
    <col min="10002" max="10002" width="11.21875" style="43"/>
    <col min="10003" max="10003" width="12.21875" style="43" bestFit="1" customWidth="1"/>
    <col min="10004" max="10004" width="9.77734375" style="43" bestFit="1" customWidth="1"/>
    <col min="10005" max="10005" width="12.21875" style="43" bestFit="1" customWidth="1"/>
    <col min="10006" max="10239" width="11.21875" style="43"/>
    <col min="10240" max="10240" width="13.77734375" style="43" bestFit="1" customWidth="1"/>
    <col min="10241" max="10241" width="60.77734375" style="43" customWidth="1"/>
    <col min="10242" max="10242" width="9.77734375" style="43" bestFit="1" customWidth="1"/>
    <col min="10243" max="10243" width="3.21875" style="43" bestFit="1" customWidth="1"/>
    <col min="10244" max="10244" width="11.21875" style="43"/>
    <col min="10245" max="10245" width="12.21875" style="43" bestFit="1" customWidth="1"/>
    <col min="10246" max="10246" width="9.77734375" style="43" bestFit="1" customWidth="1"/>
    <col min="10247" max="10247" width="12.21875" style="43" bestFit="1" customWidth="1"/>
    <col min="10248" max="10248" width="11.21875" style="43"/>
    <col min="10249" max="10249" width="12.21875" style="43" bestFit="1" customWidth="1"/>
    <col min="10250" max="10250" width="11.21875" style="43"/>
    <col min="10251" max="10251" width="12.21875" style="43" bestFit="1" customWidth="1"/>
    <col min="10252" max="10252" width="9.77734375" style="43" bestFit="1" customWidth="1"/>
    <col min="10253" max="10253" width="12.21875" style="43" bestFit="1" customWidth="1"/>
    <col min="10254" max="10254" width="11.21875" style="43"/>
    <col min="10255" max="10255" width="12.21875" style="43" bestFit="1" customWidth="1"/>
    <col min="10256" max="10257" width="4.21875" style="43" bestFit="1" customWidth="1"/>
    <col min="10258" max="10258" width="11.21875" style="43"/>
    <col min="10259" max="10259" width="12.21875" style="43" bestFit="1" customWidth="1"/>
    <col min="10260" max="10260" width="9.77734375" style="43" bestFit="1" customWidth="1"/>
    <col min="10261" max="10261" width="12.21875" style="43" bestFit="1" customWidth="1"/>
    <col min="10262" max="10495" width="11.21875" style="43"/>
    <col min="10496" max="10496" width="13.77734375" style="43" bestFit="1" customWidth="1"/>
    <col min="10497" max="10497" width="60.77734375" style="43" customWidth="1"/>
    <col min="10498" max="10498" width="9.77734375" style="43" bestFit="1" customWidth="1"/>
    <col min="10499" max="10499" width="3.21875" style="43" bestFit="1" customWidth="1"/>
    <col min="10500" max="10500" width="11.21875" style="43"/>
    <col min="10501" max="10501" width="12.21875" style="43" bestFit="1" customWidth="1"/>
    <col min="10502" max="10502" width="9.77734375" style="43" bestFit="1" customWidth="1"/>
    <col min="10503" max="10503" width="12.21875" style="43" bestFit="1" customWidth="1"/>
    <col min="10504" max="10504" width="11.21875" style="43"/>
    <col min="10505" max="10505" width="12.21875" style="43" bestFit="1" customWidth="1"/>
    <col min="10506" max="10506" width="11.21875" style="43"/>
    <col min="10507" max="10507" width="12.21875" style="43" bestFit="1" customWidth="1"/>
    <col min="10508" max="10508" width="9.77734375" style="43" bestFit="1" customWidth="1"/>
    <col min="10509" max="10509" width="12.21875" style="43" bestFit="1" customWidth="1"/>
    <col min="10510" max="10510" width="11.21875" style="43"/>
    <col min="10511" max="10511" width="12.21875" style="43" bestFit="1" customWidth="1"/>
    <col min="10512" max="10513" width="4.21875" style="43" bestFit="1" customWidth="1"/>
    <col min="10514" max="10514" width="11.21875" style="43"/>
    <col min="10515" max="10515" width="12.21875" style="43" bestFit="1" customWidth="1"/>
    <col min="10516" max="10516" width="9.77734375" style="43" bestFit="1" customWidth="1"/>
    <col min="10517" max="10517" width="12.21875" style="43" bestFit="1" customWidth="1"/>
    <col min="10518" max="10751" width="11.21875" style="43"/>
    <col min="10752" max="10752" width="13.77734375" style="43" bestFit="1" customWidth="1"/>
    <col min="10753" max="10753" width="60.77734375" style="43" customWidth="1"/>
    <col min="10754" max="10754" width="9.77734375" style="43" bestFit="1" customWidth="1"/>
    <col min="10755" max="10755" width="3.21875" style="43" bestFit="1" customWidth="1"/>
    <col min="10756" max="10756" width="11.21875" style="43"/>
    <col min="10757" max="10757" width="12.21875" style="43" bestFit="1" customWidth="1"/>
    <col min="10758" max="10758" width="9.77734375" style="43" bestFit="1" customWidth="1"/>
    <col min="10759" max="10759" width="12.21875" style="43" bestFit="1" customWidth="1"/>
    <col min="10760" max="10760" width="11.21875" style="43"/>
    <col min="10761" max="10761" width="12.21875" style="43" bestFit="1" customWidth="1"/>
    <col min="10762" max="10762" width="11.21875" style="43"/>
    <col min="10763" max="10763" width="12.21875" style="43" bestFit="1" customWidth="1"/>
    <col min="10764" max="10764" width="9.77734375" style="43" bestFit="1" customWidth="1"/>
    <col min="10765" max="10765" width="12.21875" style="43" bestFit="1" customWidth="1"/>
    <col min="10766" max="10766" width="11.21875" style="43"/>
    <col min="10767" max="10767" width="12.21875" style="43" bestFit="1" customWidth="1"/>
    <col min="10768" max="10769" width="4.21875" style="43" bestFit="1" customWidth="1"/>
    <col min="10770" max="10770" width="11.21875" style="43"/>
    <col min="10771" max="10771" width="12.21875" style="43" bestFit="1" customWidth="1"/>
    <col min="10772" max="10772" width="9.77734375" style="43" bestFit="1" customWidth="1"/>
    <col min="10773" max="10773" width="12.21875" style="43" bestFit="1" customWidth="1"/>
    <col min="10774" max="11007" width="11.21875" style="43"/>
    <col min="11008" max="11008" width="13.77734375" style="43" bestFit="1" customWidth="1"/>
    <col min="11009" max="11009" width="60.77734375" style="43" customWidth="1"/>
    <col min="11010" max="11010" width="9.77734375" style="43" bestFit="1" customWidth="1"/>
    <col min="11011" max="11011" width="3.21875" style="43" bestFit="1" customWidth="1"/>
    <col min="11012" max="11012" width="11.21875" style="43"/>
    <col min="11013" max="11013" width="12.21875" style="43" bestFit="1" customWidth="1"/>
    <col min="11014" max="11014" width="9.77734375" style="43" bestFit="1" customWidth="1"/>
    <col min="11015" max="11015" width="12.21875" style="43" bestFit="1" customWidth="1"/>
    <col min="11016" max="11016" width="11.21875" style="43"/>
    <col min="11017" max="11017" width="12.21875" style="43" bestFit="1" customWidth="1"/>
    <col min="11018" max="11018" width="11.21875" style="43"/>
    <col min="11019" max="11019" width="12.21875" style="43" bestFit="1" customWidth="1"/>
    <col min="11020" max="11020" width="9.77734375" style="43" bestFit="1" customWidth="1"/>
    <col min="11021" max="11021" width="12.21875" style="43" bestFit="1" customWidth="1"/>
    <col min="11022" max="11022" width="11.21875" style="43"/>
    <col min="11023" max="11023" width="12.21875" style="43" bestFit="1" customWidth="1"/>
    <col min="11024" max="11025" width="4.21875" style="43" bestFit="1" customWidth="1"/>
    <col min="11026" max="11026" width="11.21875" style="43"/>
    <col min="11027" max="11027" width="12.21875" style="43" bestFit="1" customWidth="1"/>
    <col min="11028" max="11028" width="9.77734375" style="43" bestFit="1" customWidth="1"/>
    <col min="11029" max="11029" width="12.21875" style="43" bestFit="1" customWidth="1"/>
    <col min="11030" max="11263" width="11.21875" style="43"/>
    <col min="11264" max="11264" width="13.77734375" style="43" bestFit="1" customWidth="1"/>
    <col min="11265" max="11265" width="60.77734375" style="43" customWidth="1"/>
    <col min="11266" max="11266" width="9.77734375" style="43" bestFit="1" customWidth="1"/>
    <col min="11267" max="11267" width="3.21875" style="43" bestFit="1" customWidth="1"/>
    <col min="11268" max="11268" width="11.21875" style="43"/>
    <col min="11269" max="11269" width="12.21875" style="43" bestFit="1" customWidth="1"/>
    <col min="11270" max="11270" width="9.77734375" style="43" bestFit="1" customWidth="1"/>
    <col min="11271" max="11271" width="12.21875" style="43" bestFit="1" customWidth="1"/>
    <col min="11272" max="11272" width="11.21875" style="43"/>
    <col min="11273" max="11273" width="12.21875" style="43" bestFit="1" customWidth="1"/>
    <col min="11274" max="11274" width="11.21875" style="43"/>
    <col min="11275" max="11275" width="12.21875" style="43" bestFit="1" customWidth="1"/>
    <col min="11276" max="11276" width="9.77734375" style="43" bestFit="1" customWidth="1"/>
    <col min="11277" max="11277" width="12.21875" style="43" bestFit="1" customWidth="1"/>
    <col min="11278" max="11278" width="11.21875" style="43"/>
    <col min="11279" max="11279" width="12.21875" style="43" bestFit="1" customWidth="1"/>
    <col min="11280" max="11281" width="4.21875" style="43" bestFit="1" customWidth="1"/>
    <col min="11282" max="11282" width="11.21875" style="43"/>
    <col min="11283" max="11283" width="12.21875" style="43" bestFit="1" customWidth="1"/>
    <col min="11284" max="11284" width="9.77734375" style="43" bestFit="1" customWidth="1"/>
    <col min="11285" max="11285" width="12.21875" style="43" bestFit="1" customWidth="1"/>
    <col min="11286" max="11519" width="11.21875" style="43"/>
    <col min="11520" max="11520" width="13.77734375" style="43" bestFit="1" customWidth="1"/>
    <col min="11521" max="11521" width="60.77734375" style="43" customWidth="1"/>
    <col min="11522" max="11522" width="9.77734375" style="43" bestFit="1" customWidth="1"/>
    <col min="11523" max="11523" width="3.21875" style="43" bestFit="1" customWidth="1"/>
    <col min="11524" max="11524" width="11.21875" style="43"/>
    <col min="11525" max="11525" width="12.21875" style="43" bestFit="1" customWidth="1"/>
    <col min="11526" max="11526" width="9.77734375" style="43" bestFit="1" customWidth="1"/>
    <col min="11527" max="11527" width="12.21875" style="43" bestFit="1" customWidth="1"/>
    <col min="11528" max="11528" width="11.21875" style="43"/>
    <col min="11529" max="11529" width="12.21875" style="43" bestFit="1" customWidth="1"/>
    <col min="11530" max="11530" width="11.21875" style="43"/>
    <col min="11531" max="11531" width="12.21875" style="43" bestFit="1" customWidth="1"/>
    <col min="11532" max="11532" width="9.77734375" style="43" bestFit="1" customWidth="1"/>
    <col min="11533" max="11533" width="12.21875" style="43" bestFit="1" customWidth="1"/>
    <col min="11534" max="11534" width="11.21875" style="43"/>
    <col min="11535" max="11535" width="12.21875" style="43" bestFit="1" customWidth="1"/>
    <col min="11536" max="11537" width="4.21875" style="43" bestFit="1" customWidth="1"/>
    <col min="11538" max="11538" width="11.21875" style="43"/>
    <col min="11539" max="11539" width="12.21875" style="43" bestFit="1" customWidth="1"/>
    <col min="11540" max="11540" width="9.77734375" style="43" bestFit="1" customWidth="1"/>
    <col min="11541" max="11541" width="12.21875" style="43" bestFit="1" customWidth="1"/>
    <col min="11542" max="11775" width="11.21875" style="43"/>
    <col min="11776" max="11776" width="13.77734375" style="43" bestFit="1" customWidth="1"/>
    <col min="11777" max="11777" width="60.77734375" style="43" customWidth="1"/>
    <col min="11778" max="11778" width="9.77734375" style="43" bestFit="1" customWidth="1"/>
    <col min="11779" max="11779" width="3.21875" style="43" bestFit="1" customWidth="1"/>
    <col min="11780" max="11780" width="11.21875" style="43"/>
    <col min="11781" max="11781" width="12.21875" style="43" bestFit="1" customWidth="1"/>
    <col min="11782" max="11782" width="9.77734375" style="43" bestFit="1" customWidth="1"/>
    <col min="11783" max="11783" width="12.21875" style="43" bestFit="1" customWidth="1"/>
    <col min="11784" max="11784" width="11.21875" style="43"/>
    <col min="11785" max="11785" width="12.21875" style="43" bestFit="1" customWidth="1"/>
    <col min="11786" max="11786" width="11.21875" style="43"/>
    <col min="11787" max="11787" width="12.21875" style="43" bestFit="1" customWidth="1"/>
    <col min="11788" max="11788" width="9.77734375" style="43" bestFit="1" customWidth="1"/>
    <col min="11789" max="11789" width="12.21875" style="43" bestFit="1" customWidth="1"/>
    <col min="11790" max="11790" width="11.21875" style="43"/>
    <col min="11791" max="11791" width="12.21875" style="43" bestFit="1" customWidth="1"/>
    <col min="11792" max="11793" width="4.21875" style="43" bestFit="1" customWidth="1"/>
    <col min="11794" max="11794" width="11.21875" style="43"/>
    <col min="11795" max="11795" width="12.21875" style="43" bestFit="1" customWidth="1"/>
    <col min="11796" max="11796" width="9.77734375" style="43" bestFit="1" customWidth="1"/>
    <col min="11797" max="11797" width="12.21875" style="43" bestFit="1" customWidth="1"/>
    <col min="11798" max="12031" width="11.21875" style="43"/>
    <col min="12032" max="12032" width="13.77734375" style="43" bestFit="1" customWidth="1"/>
    <col min="12033" max="12033" width="60.77734375" style="43" customWidth="1"/>
    <col min="12034" max="12034" width="9.77734375" style="43" bestFit="1" customWidth="1"/>
    <col min="12035" max="12035" width="3.21875" style="43" bestFit="1" customWidth="1"/>
    <col min="12036" max="12036" width="11.21875" style="43"/>
    <col min="12037" max="12037" width="12.21875" style="43" bestFit="1" customWidth="1"/>
    <col min="12038" max="12038" width="9.77734375" style="43" bestFit="1" customWidth="1"/>
    <col min="12039" max="12039" width="12.21875" style="43" bestFit="1" customWidth="1"/>
    <col min="12040" max="12040" width="11.21875" style="43"/>
    <col min="12041" max="12041" width="12.21875" style="43" bestFit="1" customWidth="1"/>
    <col min="12042" max="12042" width="11.21875" style="43"/>
    <col min="12043" max="12043" width="12.21875" style="43" bestFit="1" customWidth="1"/>
    <col min="12044" max="12044" width="9.77734375" style="43" bestFit="1" customWidth="1"/>
    <col min="12045" max="12045" width="12.21875" style="43" bestFit="1" customWidth="1"/>
    <col min="12046" max="12046" width="11.21875" style="43"/>
    <col min="12047" max="12047" width="12.21875" style="43" bestFit="1" customWidth="1"/>
    <col min="12048" max="12049" width="4.21875" style="43" bestFit="1" customWidth="1"/>
    <col min="12050" max="12050" width="11.21875" style="43"/>
    <col min="12051" max="12051" width="12.21875" style="43" bestFit="1" customWidth="1"/>
    <col min="12052" max="12052" width="9.77734375" style="43" bestFit="1" customWidth="1"/>
    <col min="12053" max="12053" width="12.21875" style="43" bestFit="1" customWidth="1"/>
    <col min="12054" max="12287" width="11.21875" style="43"/>
    <col min="12288" max="12288" width="13.77734375" style="43" bestFit="1" customWidth="1"/>
    <col min="12289" max="12289" width="60.77734375" style="43" customWidth="1"/>
    <col min="12290" max="12290" width="9.77734375" style="43" bestFit="1" customWidth="1"/>
    <col min="12291" max="12291" width="3.21875" style="43" bestFit="1" customWidth="1"/>
    <col min="12292" max="12292" width="11.21875" style="43"/>
    <col min="12293" max="12293" width="12.21875" style="43" bestFit="1" customWidth="1"/>
    <col min="12294" max="12294" width="9.77734375" style="43" bestFit="1" customWidth="1"/>
    <col min="12295" max="12295" width="12.21875" style="43" bestFit="1" customWidth="1"/>
    <col min="12296" max="12296" width="11.21875" style="43"/>
    <col min="12297" max="12297" width="12.21875" style="43" bestFit="1" customWidth="1"/>
    <col min="12298" max="12298" width="11.21875" style="43"/>
    <col min="12299" max="12299" width="12.21875" style="43" bestFit="1" customWidth="1"/>
    <col min="12300" max="12300" width="9.77734375" style="43" bestFit="1" customWidth="1"/>
    <col min="12301" max="12301" width="12.21875" style="43" bestFit="1" customWidth="1"/>
    <col min="12302" max="12302" width="11.21875" style="43"/>
    <col min="12303" max="12303" width="12.21875" style="43" bestFit="1" customWidth="1"/>
    <col min="12304" max="12305" width="4.21875" style="43" bestFit="1" customWidth="1"/>
    <col min="12306" max="12306" width="11.21875" style="43"/>
    <col min="12307" max="12307" width="12.21875" style="43" bestFit="1" customWidth="1"/>
    <col min="12308" max="12308" width="9.77734375" style="43" bestFit="1" customWidth="1"/>
    <col min="12309" max="12309" width="12.21875" style="43" bestFit="1" customWidth="1"/>
    <col min="12310" max="12543" width="11.21875" style="43"/>
    <col min="12544" max="12544" width="13.77734375" style="43" bestFit="1" customWidth="1"/>
    <col min="12545" max="12545" width="60.77734375" style="43" customWidth="1"/>
    <col min="12546" max="12546" width="9.77734375" style="43" bestFit="1" customWidth="1"/>
    <col min="12547" max="12547" width="3.21875" style="43" bestFit="1" customWidth="1"/>
    <col min="12548" max="12548" width="11.21875" style="43"/>
    <col min="12549" max="12549" width="12.21875" style="43" bestFit="1" customWidth="1"/>
    <col min="12550" max="12550" width="9.77734375" style="43" bestFit="1" customWidth="1"/>
    <col min="12551" max="12551" width="12.21875" style="43" bestFit="1" customWidth="1"/>
    <col min="12552" max="12552" width="11.21875" style="43"/>
    <col min="12553" max="12553" width="12.21875" style="43" bestFit="1" customWidth="1"/>
    <col min="12554" max="12554" width="11.21875" style="43"/>
    <col min="12555" max="12555" width="12.21875" style="43" bestFit="1" customWidth="1"/>
    <col min="12556" max="12556" width="9.77734375" style="43" bestFit="1" customWidth="1"/>
    <col min="12557" max="12557" width="12.21875" style="43" bestFit="1" customWidth="1"/>
    <col min="12558" max="12558" width="11.21875" style="43"/>
    <col min="12559" max="12559" width="12.21875" style="43" bestFit="1" customWidth="1"/>
    <col min="12560" max="12561" width="4.21875" style="43" bestFit="1" customWidth="1"/>
    <col min="12562" max="12562" width="11.21875" style="43"/>
    <col min="12563" max="12563" width="12.21875" style="43" bestFit="1" customWidth="1"/>
    <col min="12564" max="12564" width="9.77734375" style="43" bestFit="1" customWidth="1"/>
    <col min="12565" max="12565" width="12.21875" style="43" bestFit="1" customWidth="1"/>
    <col min="12566" max="12799" width="11.21875" style="43"/>
    <col min="12800" max="12800" width="13.77734375" style="43" bestFit="1" customWidth="1"/>
    <col min="12801" max="12801" width="60.77734375" style="43" customWidth="1"/>
    <col min="12802" max="12802" width="9.77734375" style="43" bestFit="1" customWidth="1"/>
    <col min="12803" max="12803" width="3.21875" style="43" bestFit="1" customWidth="1"/>
    <col min="12804" max="12804" width="11.21875" style="43"/>
    <col min="12805" max="12805" width="12.21875" style="43" bestFit="1" customWidth="1"/>
    <col min="12806" max="12806" width="9.77734375" style="43" bestFit="1" customWidth="1"/>
    <col min="12807" max="12807" width="12.21875" style="43" bestFit="1" customWidth="1"/>
    <col min="12808" max="12808" width="11.21875" style="43"/>
    <col min="12809" max="12809" width="12.21875" style="43" bestFit="1" customWidth="1"/>
    <col min="12810" max="12810" width="11.21875" style="43"/>
    <col min="12811" max="12811" width="12.21875" style="43" bestFit="1" customWidth="1"/>
    <col min="12812" max="12812" width="9.77734375" style="43" bestFit="1" customWidth="1"/>
    <col min="12813" max="12813" width="12.21875" style="43" bestFit="1" customWidth="1"/>
    <col min="12814" max="12814" width="11.21875" style="43"/>
    <col min="12815" max="12815" width="12.21875" style="43" bestFit="1" customWidth="1"/>
    <col min="12816" max="12817" width="4.21875" style="43" bestFit="1" customWidth="1"/>
    <col min="12818" max="12818" width="11.21875" style="43"/>
    <col min="12819" max="12819" width="12.21875" style="43" bestFit="1" customWidth="1"/>
    <col min="12820" max="12820" width="9.77734375" style="43" bestFit="1" customWidth="1"/>
    <col min="12821" max="12821" width="12.21875" style="43" bestFit="1" customWidth="1"/>
    <col min="12822" max="13055" width="11.21875" style="43"/>
    <col min="13056" max="13056" width="13.77734375" style="43" bestFit="1" customWidth="1"/>
    <col min="13057" max="13057" width="60.77734375" style="43" customWidth="1"/>
    <col min="13058" max="13058" width="9.77734375" style="43" bestFit="1" customWidth="1"/>
    <col min="13059" max="13059" width="3.21875" style="43" bestFit="1" customWidth="1"/>
    <col min="13060" max="13060" width="11.21875" style="43"/>
    <col min="13061" max="13061" width="12.21875" style="43" bestFit="1" customWidth="1"/>
    <col min="13062" max="13062" width="9.77734375" style="43" bestFit="1" customWidth="1"/>
    <col min="13063" max="13063" width="12.21875" style="43" bestFit="1" customWidth="1"/>
    <col min="13064" max="13064" width="11.21875" style="43"/>
    <col min="13065" max="13065" width="12.21875" style="43" bestFit="1" customWidth="1"/>
    <col min="13066" max="13066" width="11.21875" style="43"/>
    <col min="13067" max="13067" width="12.21875" style="43" bestFit="1" customWidth="1"/>
    <col min="13068" max="13068" width="9.77734375" style="43" bestFit="1" customWidth="1"/>
    <col min="13069" max="13069" width="12.21875" style="43" bestFit="1" customWidth="1"/>
    <col min="13070" max="13070" width="11.21875" style="43"/>
    <col min="13071" max="13071" width="12.21875" style="43" bestFit="1" customWidth="1"/>
    <col min="13072" max="13073" width="4.21875" style="43" bestFit="1" customWidth="1"/>
    <col min="13074" max="13074" width="11.21875" style="43"/>
    <col min="13075" max="13075" width="12.21875" style="43" bestFit="1" customWidth="1"/>
    <col min="13076" max="13076" width="9.77734375" style="43" bestFit="1" customWidth="1"/>
    <col min="13077" max="13077" width="12.21875" style="43" bestFit="1" customWidth="1"/>
    <col min="13078" max="13311" width="11.21875" style="43"/>
    <col min="13312" max="13312" width="13.77734375" style="43" bestFit="1" customWidth="1"/>
    <col min="13313" max="13313" width="60.77734375" style="43" customWidth="1"/>
    <col min="13314" max="13314" width="9.77734375" style="43" bestFit="1" customWidth="1"/>
    <col min="13315" max="13315" width="3.21875" style="43" bestFit="1" customWidth="1"/>
    <col min="13316" max="13316" width="11.21875" style="43"/>
    <col min="13317" max="13317" width="12.21875" style="43" bestFit="1" customWidth="1"/>
    <col min="13318" max="13318" width="9.77734375" style="43" bestFit="1" customWidth="1"/>
    <col min="13319" max="13319" width="12.21875" style="43" bestFit="1" customWidth="1"/>
    <col min="13320" max="13320" width="11.21875" style="43"/>
    <col min="13321" max="13321" width="12.21875" style="43" bestFit="1" customWidth="1"/>
    <col min="13322" max="13322" width="11.21875" style="43"/>
    <col min="13323" max="13323" width="12.21875" style="43" bestFit="1" customWidth="1"/>
    <col min="13324" max="13324" width="9.77734375" style="43" bestFit="1" customWidth="1"/>
    <col min="13325" max="13325" width="12.21875" style="43" bestFit="1" customWidth="1"/>
    <col min="13326" max="13326" width="11.21875" style="43"/>
    <col min="13327" max="13327" width="12.21875" style="43" bestFit="1" customWidth="1"/>
    <col min="13328" max="13329" width="4.21875" style="43" bestFit="1" customWidth="1"/>
    <col min="13330" max="13330" width="11.21875" style="43"/>
    <col min="13331" max="13331" width="12.21875" style="43" bestFit="1" customWidth="1"/>
    <col min="13332" max="13332" width="9.77734375" style="43" bestFit="1" customWidth="1"/>
    <col min="13333" max="13333" width="12.21875" style="43" bestFit="1" customWidth="1"/>
    <col min="13334" max="13567" width="11.21875" style="43"/>
    <col min="13568" max="13568" width="13.77734375" style="43" bestFit="1" customWidth="1"/>
    <col min="13569" max="13569" width="60.77734375" style="43" customWidth="1"/>
    <col min="13570" max="13570" width="9.77734375" style="43" bestFit="1" customWidth="1"/>
    <col min="13571" max="13571" width="3.21875" style="43" bestFit="1" customWidth="1"/>
    <col min="13572" max="13572" width="11.21875" style="43"/>
    <col min="13573" max="13573" width="12.21875" style="43" bestFit="1" customWidth="1"/>
    <col min="13574" max="13574" width="9.77734375" style="43" bestFit="1" customWidth="1"/>
    <col min="13575" max="13575" width="12.21875" style="43" bestFit="1" customWidth="1"/>
    <col min="13576" max="13576" width="11.21875" style="43"/>
    <col min="13577" max="13577" width="12.21875" style="43" bestFit="1" customWidth="1"/>
    <col min="13578" max="13578" width="11.21875" style="43"/>
    <col min="13579" max="13579" width="12.21875" style="43" bestFit="1" customWidth="1"/>
    <col min="13580" max="13580" width="9.77734375" style="43" bestFit="1" customWidth="1"/>
    <col min="13581" max="13581" width="12.21875" style="43" bestFit="1" customWidth="1"/>
    <col min="13582" max="13582" width="11.21875" style="43"/>
    <col min="13583" max="13583" width="12.21875" style="43" bestFit="1" customWidth="1"/>
    <col min="13584" max="13585" width="4.21875" style="43" bestFit="1" customWidth="1"/>
    <col min="13586" max="13586" width="11.21875" style="43"/>
    <col min="13587" max="13587" width="12.21875" style="43" bestFit="1" customWidth="1"/>
    <col min="13588" max="13588" width="9.77734375" style="43" bestFit="1" customWidth="1"/>
    <col min="13589" max="13589" width="12.21875" style="43" bestFit="1" customWidth="1"/>
    <col min="13590" max="13823" width="11.21875" style="43"/>
    <col min="13824" max="13824" width="13.77734375" style="43" bestFit="1" customWidth="1"/>
    <col min="13825" max="13825" width="60.77734375" style="43" customWidth="1"/>
    <col min="13826" max="13826" width="9.77734375" style="43" bestFit="1" customWidth="1"/>
    <col min="13827" max="13827" width="3.21875" style="43" bestFit="1" customWidth="1"/>
    <col min="13828" max="13828" width="11.21875" style="43"/>
    <col min="13829" max="13829" width="12.21875" style="43" bestFit="1" customWidth="1"/>
    <col min="13830" max="13830" width="9.77734375" style="43" bestFit="1" customWidth="1"/>
    <col min="13831" max="13831" width="12.21875" style="43" bestFit="1" customWidth="1"/>
    <col min="13832" max="13832" width="11.21875" style="43"/>
    <col min="13833" max="13833" width="12.21875" style="43" bestFit="1" customWidth="1"/>
    <col min="13834" max="13834" width="11.21875" style="43"/>
    <col min="13835" max="13835" width="12.21875" style="43" bestFit="1" customWidth="1"/>
    <col min="13836" max="13836" width="9.77734375" style="43" bestFit="1" customWidth="1"/>
    <col min="13837" max="13837" width="12.21875" style="43" bestFit="1" customWidth="1"/>
    <col min="13838" max="13838" width="11.21875" style="43"/>
    <col min="13839" max="13839" width="12.21875" style="43" bestFit="1" customWidth="1"/>
    <col min="13840" max="13841" width="4.21875" style="43" bestFit="1" customWidth="1"/>
    <col min="13842" max="13842" width="11.21875" style="43"/>
    <col min="13843" max="13843" width="12.21875" style="43" bestFit="1" customWidth="1"/>
    <col min="13844" max="13844" width="9.77734375" style="43" bestFit="1" customWidth="1"/>
    <col min="13845" max="13845" width="12.21875" style="43" bestFit="1" customWidth="1"/>
    <col min="13846" max="14079" width="11.21875" style="43"/>
    <col min="14080" max="14080" width="13.77734375" style="43" bestFit="1" customWidth="1"/>
    <col min="14081" max="14081" width="60.77734375" style="43" customWidth="1"/>
    <col min="14082" max="14082" width="9.77734375" style="43" bestFit="1" customWidth="1"/>
    <col min="14083" max="14083" width="3.21875" style="43" bestFit="1" customWidth="1"/>
    <col min="14084" max="14084" width="11.21875" style="43"/>
    <col min="14085" max="14085" width="12.21875" style="43" bestFit="1" customWidth="1"/>
    <col min="14086" max="14086" width="9.77734375" style="43" bestFit="1" customWidth="1"/>
    <col min="14087" max="14087" width="12.21875" style="43" bestFit="1" customWidth="1"/>
    <col min="14088" max="14088" width="11.21875" style="43"/>
    <col min="14089" max="14089" width="12.21875" style="43" bestFit="1" customWidth="1"/>
    <col min="14090" max="14090" width="11.21875" style="43"/>
    <col min="14091" max="14091" width="12.21875" style="43" bestFit="1" customWidth="1"/>
    <col min="14092" max="14092" width="9.77734375" style="43" bestFit="1" customWidth="1"/>
    <col min="14093" max="14093" width="12.21875" style="43" bestFit="1" customWidth="1"/>
    <col min="14094" max="14094" width="11.21875" style="43"/>
    <col min="14095" max="14095" width="12.21875" style="43" bestFit="1" customWidth="1"/>
    <col min="14096" max="14097" width="4.21875" style="43" bestFit="1" customWidth="1"/>
    <col min="14098" max="14098" width="11.21875" style="43"/>
    <col min="14099" max="14099" width="12.21875" style="43" bestFit="1" customWidth="1"/>
    <col min="14100" max="14100" width="9.77734375" style="43" bestFit="1" customWidth="1"/>
    <col min="14101" max="14101" width="12.21875" style="43" bestFit="1" customWidth="1"/>
    <col min="14102" max="14335" width="11.21875" style="43"/>
    <col min="14336" max="14336" width="13.77734375" style="43" bestFit="1" customWidth="1"/>
    <col min="14337" max="14337" width="60.77734375" style="43" customWidth="1"/>
    <col min="14338" max="14338" width="9.77734375" style="43" bestFit="1" customWidth="1"/>
    <col min="14339" max="14339" width="3.21875" style="43" bestFit="1" customWidth="1"/>
    <col min="14340" max="14340" width="11.21875" style="43"/>
    <col min="14341" max="14341" width="12.21875" style="43" bestFit="1" customWidth="1"/>
    <col min="14342" max="14342" width="9.77734375" style="43" bestFit="1" customWidth="1"/>
    <col min="14343" max="14343" width="12.21875" style="43" bestFit="1" customWidth="1"/>
    <col min="14344" max="14344" width="11.21875" style="43"/>
    <col min="14345" max="14345" width="12.21875" style="43" bestFit="1" customWidth="1"/>
    <col min="14346" max="14346" width="11.21875" style="43"/>
    <col min="14347" max="14347" width="12.21875" style="43" bestFit="1" customWidth="1"/>
    <col min="14348" max="14348" width="9.77734375" style="43" bestFit="1" customWidth="1"/>
    <col min="14349" max="14349" width="12.21875" style="43" bestFit="1" customWidth="1"/>
    <col min="14350" max="14350" width="11.21875" style="43"/>
    <col min="14351" max="14351" width="12.21875" style="43" bestFit="1" customWidth="1"/>
    <col min="14352" max="14353" width="4.21875" style="43" bestFit="1" customWidth="1"/>
    <col min="14354" max="14354" width="11.21875" style="43"/>
    <col min="14355" max="14355" width="12.21875" style="43" bestFit="1" customWidth="1"/>
    <col min="14356" max="14356" width="9.77734375" style="43" bestFit="1" customWidth="1"/>
    <col min="14357" max="14357" width="12.21875" style="43" bestFit="1" customWidth="1"/>
    <col min="14358" max="14591" width="11.21875" style="43"/>
    <col min="14592" max="14592" width="13.77734375" style="43" bestFit="1" customWidth="1"/>
    <col min="14593" max="14593" width="60.77734375" style="43" customWidth="1"/>
    <col min="14594" max="14594" width="9.77734375" style="43" bestFit="1" customWidth="1"/>
    <col min="14595" max="14595" width="3.21875" style="43" bestFit="1" customWidth="1"/>
    <col min="14596" max="14596" width="11.21875" style="43"/>
    <col min="14597" max="14597" width="12.21875" style="43" bestFit="1" customWidth="1"/>
    <col min="14598" max="14598" width="9.77734375" style="43" bestFit="1" customWidth="1"/>
    <col min="14599" max="14599" width="12.21875" style="43" bestFit="1" customWidth="1"/>
    <col min="14600" max="14600" width="11.21875" style="43"/>
    <col min="14601" max="14601" width="12.21875" style="43" bestFit="1" customWidth="1"/>
    <col min="14602" max="14602" width="11.21875" style="43"/>
    <col min="14603" max="14603" width="12.21875" style="43" bestFit="1" customWidth="1"/>
    <col min="14604" max="14604" width="9.77734375" style="43" bestFit="1" customWidth="1"/>
    <col min="14605" max="14605" width="12.21875" style="43" bestFit="1" customWidth="1"/>
    <col min="14606" max="14606" width="11.21875" style="43"/>
    <col min="14607" max="14607" width="12.21875" style="43" bestFit="1" customWidth="1"/>
    <col min="14608" max="14609" width="4.21875" style="43" bestFit="1" customWidth="1"/>
    <col min="14610" max="14610" width="11.21875" style="43"/>
    <col min="14611" max="14611" width="12.21875" style="43" bestFit="1" customWidth="1"/>
    <col min="14612" max="14612" width="9.77734375" style="43" bestFit="1" customWidth="1"/>
    <col min="14613" max="14613" width="12.21875" style="43" bestFit="1" customWidth="1"/>
    <col min="14614" max="14847" width="11.21875" style="43"/>
    <col min="14848" max="14848" width="13.77734375" style="43" bestFit="1" customWidth="1"/>
    <col min="14849" max="14849" width="60.77734375" style="43" customWidth="1"/>
    <col min="14850" max="14850" width="9.77734375" style="43" bestFit="1" customWidth="1"/>
    <col min="14851" max="14851" width="3.21875" style="43" bestFit="1" customWidth="1"/>
    <col min="14852" max="14852" width="11.21875" style="43"/>
    <col min="14853" max="14853" width="12.21875" style="43" bestFit="1" customWidth="1"/>
    <col min="14854" max="14854" width="9.77734375" style="43" bestFit="1" customWidth="1"/>
    <col min="14855" max="14855" width="12.21875" style="43" bestFit="1" customWidth="1"/>
    <col min="14856" max="14856" width="11.21875" style="43"/>
    <col min="14857" max="14857" width="12.21875" style="43" bestFit="1" customWidth="1"/>
    <col min="14858" max="14858" width="11.21875" style="43"/>
    <col min="14859" max="14859" width="12.21875" style="43" bestFit="1" customWidth="1"/>
    <col min="14860" max="14860" width="9.77734375" style="43" bestFit="1" customWidth="1"/>
    <col min="14861" max="14861" width="12.21875" style="43" bestFit="1" customWidth="1"/>
    <col min="14862" max="14862" width="11.21875" style="43"/>
    <col min="14863" max="14863" width="12.21875" style="43" bestFit="1" customWidth="1"/>
    <col min="14864" max="14865" width="4.21875" style="43" bestFit="1" customWidth="1"/>
    <col min="14866" max="14866" width="11.21875" style="43"/>
    <col min="14867" max="14867" width="12.21875" style="43" bestFit="1" customWidth="1"/>
    <col min="14868" max="14868" width="9.77734375" style="43" bestFit="1" customWidth="1"/>
    <col min="14869" max="14869" width="12.21875" style="43" bestFit="1" customWidth="1"/>
    <col min="14870" max="15103" width="11.21875" style="43"/>
    <col min="15104" max="15104" width="13.77734375" style="43" bestFit="1" customWidth="1"/>
    <col min="15105" max="15105" width="60.77734375" style="43" customWidth="1"/>
    <col min="15106" max="15106" width="9.77734375" style="43" bestFit="1" customWidth="1"/>
    <col min="15107" max="15107" width="3.21875" style="43" bestFit="1" customWidth="1"/>
    <col min="15108" max="15108" width="11.21875" style="43"/>
    <col min="15109" max="15109" width="12.21875" style="43" bestFit="1" customWidth="1"/>
    <col min="15110" max="15110" width="9.77734375" style="43" bestFit="1" customWidth="1"/>
    <col min="15111" max="15111" width="12.21875" style="43" bestFit="1" customWidth="1"/>
    <col min="15112" max="15112" width="11.21875" style="43"/>
    <col min="15113" max="15113" width="12.21875" style="43" bestFit="1" customWidth="1"/>
    <col min="15114" max="15114" width="11.21875" style="43"/>
    <col min="15115" max="15115" width="12.21875" style="43" bestFit="1" customWidth="1"/>
    <col min="15116" max="15116" width="9.77734375" style="43" bestFit="1" customWidth="1"/>
    <col min="15117" max="15117" width="12.21875" style="43" bestFit="1" customWidth="1"/>
    <col min="15118" max="15118" width="11.21875" style="43"/>
    <col min="15119" max="15119" width="12.21875" style="43" bestFit="1" customWidth="1"/>
    <col min="15120" max="15121" width="4.21875" style="43" bestFit="1" customWidth="1"/>
    <col min="15122" max="15122" width="11.21875" style="43"/>
    <col min="15123" max="15123" width="12.21875" style="43" bestFit="1" customWidth="1"/>
    <col min="15124" max="15124" width="9.77734375" style="43" bestFit="1" customWidth="1"/>
    <col min="15125" max="15125" width="12.21875" style="43" bestFit="1" customWidth="1"/>
    <col min="15126" max="15359" width="11.21875" style="43"/>
    <col min="15360" max="15360" width="13.77734375" style="43" bestFit="1" customWidth="1"/>
    <col min="15361" max="15361" width="60.77734375" style="43" customWidth="1"/>
    <col min="15362" max="15362" width="9.77734375" style="43" bestFit="1" customWidth="1"/>
    <col min="15363" max="15363" width="3.21875" style="43" bestFit="1" customWidth="1"/>
    <col min="15364" max="15364" width="11.21875" style="43"/>
    <col min="15365" max="15365" width="12.21875" style="43" bestFit="1" customWidth="1"/>
    <col min="15366" max="15366" width="9.77734375" style="43" bestFit="1" customWidth="1"/>
    <col min="15367" max="15367" width="12.21875" style="43" bestFit="1" customWidth="1"/>
    <col min="15368" max="15368" width="11.21875" style="43"/>
    <col min="15369" max="15369" width="12.21875" style="43" bestFit="1" customWidth="1"/>
    <col min="15370" max="15370" width="11.21875" style="43"/>
    <col min="15371" max="15371" width="12.21875" style="43" bestFit="1" customWidth="1"/>
    <col min="15372" max="15372" width="9.77734375" style="43" bestFit="1" customWidth="1"/>
    <col min="15373" max="15373" width="12.21875" style="43" bestFit="1" customWidth="1"/>
    <col min="15374" max="15374" width="11.21875" style="43"/>
    <col min="15375" max="15375" width="12.21875" style="43" bestFit="1" customWidth="1"/>
    <col min="15376" max="15377" width="4.21875" style="43" bestFit="1" customWidth="1"/>
    <col min="15378" max="15378" width="11.21875" style="43"/>
    <col min="15379" max="15379" width="12.21875" style="43" bestFit="1" customWidth="1"/>
    <col min="15380" max="15380" width="9.77734375" style="43" bestFit="1" customWidth="1"/>
    <col min="15381" max="15381" width="12.21875" style="43" bestFit="1" customWidth="1"/>
    <col min="15382" max="15615" width="11.21875" style="43"/>
    <col min="15616" max="15616" width="13.77734375" style="43" bestFit="1" customWidth="1"/>
    <col min="15617" max="15617" width="60.77734375" style="43" customWidth="1"/>
    <col min="15618" max="15618" width="9.77734375" style="43" bestFit="1" customWidth="1"/>
    <col min="15619" max="15619" width="3.21875" style="43" bestFit="1" customWidth="1"/>
    <col min="15620" max="15620" width="11.21875" style="43"/>
    <col min="15621" max="15621" width="12.21875" style="43" bestFit="1" customWidth="1"/>
    <col min="15622" max="15622" width="9.77734375" style="43" bestFit="1" customWidth="1"/>
    <col min="15623" max="15623" width="12.21875" style="43" bestFit="1" customWidth="1"/>
    <col min="15624" max="15624" width="11.21875" style="43"/>
    <col min="15625" max="15625" width="12.21875" style="43" bestFit="1" customWidth="1"/>
    <col min="15626" max="15626" width="11.21875" style="43"/>
    <col min="15627" max="15627" width="12.21875" style="43" bestFit="1" customWidth="1"/>
    <col min="15628" max="15628" width="9.77734375" style="43" bestFit="1" customWidth="1"/>
    <col min="15629" max="15629" width="12.21875" style="43" bestFit="1" customWidth="1"/>
    <col min="15630" max="15630" width="11.21875" style="43"/>
    <col min="15631" max="15631" width="12.21875" style="43" bestFit="1" customWidth="1"/>
    <col min="15632" max="15633" width="4.21875" style="43" bestFit="1" customWidth="1"/>
    <col min="15634" max="15634" width="11.21875" style="43"/>
    <col min="15635" max="15635" width="12.21875" style="43" bestFit="1" customWidth="1"/>
    <col min="15636" max="15636" width="9.77734375" style="43" bestFit="1" customWidth="1"/>
    <col min="15637" max="15637" width="12.21875" style="43" bestFit="1" customWidth="1"/>
    <col min="15638" max="15871" width="11.21875" style="43"/>
    <col min="15872" max="15872" width="13.77734375" style="43" bestFit="1" customWidth="1"/>
    <col min="15873" max="15873" width="60.77734375" style="43" customWidth="1"/>
    <col min="15874" max="15874" width="9.77734375" style="43" bestFit="1" customWidth="1"/>
    <col min="15875" max="15875" width="3.21875" style="43" bestFit="1" customWidth="1"/>
    <col min="15876" max="15876" width="11.21875" style="43"/>
    <col min="15877" max="15877" width="12.21875" style="43" bestFit="1" customWidth="1"/>
    <col min="15878" max="15878" width="9.77734375" style="43" bestFit="1" customWidth="1"/>
    <col min="15879" max="15879" width="12.21875" style="43" bestFit="1" customWidth="1"/>
    <col min="15880" max="15880" width="11.21875" style="43"/>
    <col min="15881" max="15881" width="12.21875" style="43" bestFit="1" customWidth="1"/>
    <col min="15882" max="15882" width="11.21875" style="43"/>
    <col min="15883" max="15883" width="12.21875" style="43" bestFit="1" customWidth="1"/>
    <col min="15884" max="15884" width="9.77734375" style="43" bestFit="1" customWidth="1"/>
    <col min="15885" max="15885" width="12.21875" style="43" bestFit="1" customWidth="1"/>
    <col min="15886" max="15886" width="11.21875" style="43"/>
    <col min="15887" max="15887" width="12.21875" style="43" bestFit="1" customWidth="1"/>
    <col min="15888" max="15889" width="4.21875" style="43" bestFit="1" customWidth="1"/>
    <col min="15890" max="15890" width="11.21875" style="43"/>
    <col min="15891" max="15891" width="12.21875" style="43" bestFit="1" customWidth="1"/>
    <col min="15892" max="15892" width="9.77734375" style="43" bestFit="1" customWidth="1"/>
    <col min="15893" max="15893" width="12.21875" style="43" bestFit="1" customWidth="1"/>
    <col min="15894" max="16127" width="11.21875" style="43"/>
    <col min="16128" max="16128" width="13.77734375" style="43" bestFit="1" customWidth="1"/>
    <col min="16129" max="16129" width="60.77734375" style="43" customWidth="1"/>
    <col min="16130" max="16130" width="9.77734375" style="43" bestFit="1" customWidth="1"/>
    <col min="16131" max="16131" width="3.21875" style="43" bestFit="1" customWidth="1"/>
    <col min="16132" max="16132" width="11.21875" style="43"/>
    <col min="16133" max="16133" width="12.21875" style="43" bestFit="1" customWidth="1"/>
    <col min="16134" max="16134" width="9.77734375" style="43" bestFit="1" customWidth="1"/>
    <col min="16135" max="16135" width="12.21875" style="43" bestFit="1" customWidth="1"/>
    <col min="16136" max="16136" width="11.21875" style="43"/>
    <col min="16137" max="16137" width="12.21875" style="43" bestFit="1" customWidth="1"/>
    <col min="16138" max="16138" width="11.21875" style="43"/>
    <col min="16139" max="16139" width="12.21875" style="43" bestFit="1" customWidth="1"/>
    <col min="16140" max="16140" width="9.77734375" style="43" bestFit="1" customWidth="1"/>
    <col min="16141" max="16141" width="12.21875" style="43" bestFit="1" customWidth="1"/>
    <col min="16142" max="16142" width="11.21875" style="43"/>
    <col min="16143" max="16143" width="12.21875" style="43" bestFit="1" customWidth="1"/>
    <col min="16144" max="16145" width="4.21875" style="43" bestFit="1" customWidth="1"/>
    <col min="16146" max="16146" width="11.21875" style="43"/>
    <col min="16147" max="16147" width="12.21875" style="43" bestFit="1" customWidth="1"/>
    <col min="16148" max="16148" width="9.77734375" style="43" bestFit="1" customWidth="1"/>
    <col min="16149" max="16149" width="12.21875" style="43" bestFit="1" customWidth="1"/>
    <col min="16150" max="16384" width="11.21875" style="43"/>
  </cols>
  <sheetData>
    <row r="1" spans="1:23" s="44" customFormat="1" ht="21.45" customHeight="1"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  <c r="R1" s="85"/>
      <c r="S1" s="85"/>
      <c r="T1" s="85"/>
      <c r="U1" s="85"/>
      <c r="V1" s="85"/>
      <c r="W1" s="86"/>
    </row>
    <row r="2" spans="1:23" s="44" customFormat="1" ht="54.45" customHeight="1">
      <c r="B2" s="56" t="s">
        <v>1141</v>
      </c>
      <c r="C2" s="56" t="s">
        <v>661</v>
      </c>
      <c r="D2" s="87" t="s">
        <v>7</v>
      </c>
      <c r="E2" s="88" t="s">
        <v>8</v>
      </c>
      <c r="F2" s="89" t="s">
        <v>9</v>
      </c>
      <c r="G2" s="89" t="s">
        <v>10</v>
      </c>
      <c r="H2" s="89" t="s">
        <v>11</v>
      </c>
      <c r="I2" s="89" t="s">
        <v>12</v>
      </c>
      <c r="J2" s="89" t="s">
        <v>13</v>
      </c>
      <c r="K2" s="88" t="s">
        <v>8</v>
      </c>
      <c r="L2" s="89" t="s">
        <v>9</v>
      </c>
      <c r="M2" s="89" t="s">
        <v>10</v>
      </c>
      <c r="N2" s="89" t="s">
        <v>11</v>
      </c>
      <c r="O2" s="89" t="s">
        <v>12</v>
      </c>
      <c r="P2" s="89" t="s">
        <v>13</v>
      </c>
      <c r="Q2" s="58" t="s">
        <v>1143</v>
      </c>
      <c r="R2" s="58" t="s">
        <v>1144</v>
      </c>
      <c r="S2" s="58" t="s">
        <v>1145</v>
      </c>
      <c r="T2" s="58" t="s">
        <v>1146</v>
      </c>
      <c r="U2" s="58" t="s">
        <v>1147</v>
      </c>
      <c r="V2" s="59" t="s">
        <v>1138</v>
      </c>
      <c r="W2" s="60" t="s">
        <v>1139</v>
      </c>
    </row>
    <row r="3" spans="1:23" ht="36.6" customHeight="1">
      <c r="A3" s="43"/>
      <c r="B3" s="64" t="s">
        <v>14</v>
      </c>
      <c r="C3" s="65" t="s">
        <v>15</v>
      </c>
      <c r="D3" s="66" t="s">
        <v>16</v>
      </c>
      <c r="E3" s="90">
        <v>14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92">
        <v>1</v>
      </c>
      <c r="S3" s="92">
        <v>1</v>
      </c>
      <c r="T3" s="92">
        <v>1</v>
      </c>
      <c r="U3" s="92"/>
      <c r="V3" s="93">
        <f>Q3+R3+S3+T3+U3</f>
        <v>3</v>
      </c>
      <c r="W3" s="94"/>
    </row>
    <row r="4" spans="1:23" ht="36.6" customHeight="1">
      <c r="A4" s="43"/>
      <c r="B4" s="64" t="s">
        <v>17</v>
      </c>
      <c r="C4" s="65" t="s">
        <v>15</v>
      </c>
      <c r="D4" s="66" t="s">
        <v>16</v>
      </c>
      <c r="E4" s="90">
        <v>30</v>
      </c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2"/>
      <c r="R4" s="92">
        <v>3</v>
      </c>
      <c r="S4" s="92">
        <v>2</v>
      </c>
      <c r="T4" s="92">
        <v>2</v>
      </c>
      <c r="U4" s="92"/>
      <c r="V4" s="93">
        <f t="shared" ref="V4:V67" si="0">Q4+R4+S4+T4+U4</f>
        <v>7</v>
      </c>
      <c r="W4" s="94"/>
    </row>
    <row r="5" spans="1:23" ht="36.6" customHeight="1">
      <c r="A5" s="43"/>
      <c r="B5" s="64" t="s">
        <v>18</v>
      </c>
      <c r="C5" s="65" t="s">
        <v>19</v>
      </c>
      <c r="D5" s="66" t="s">
        <v>16</v>
      </c>
      <c r="E5" s="90">
        <v>18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2"/>
      <c r="R5" s="92">
        <v>2</v>
      </c>
      <c r="S5" s="92">
        <v>1</v>
      </c>
      <c r="T5" s="92">
        <v>1</v>
      </c>
      <c r="U5" s="92"/>
      <c r="V5" s="93">
        <f t="shared" si="0"/>
        <v>4</v>
      </c>
      <c r="W5" s="94"/>
    </row>
    <row r="6" spans="1:23" ht="36.6" customHeight="1">
      <c r="A6" s="43"/>
      <c r="B6" s="64" t="s">
        <v>20</v>
      </c>
      <c r="C6" s="65" t="s">
        <v>21</v>
      </c>
      <c r="D6" s="66" t="s">
        <v>16</v>
      </c>
      <c r="E6" s="90">
        <v>18</v>
      </c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2"/>
      <c r="R6" s="92">
        <v>2</v>
      </c>
      <c r="S6" s="92">
        <v>1</v>
      </c>
      <c r="T6" s="92">
        <v>1</v>
      </c>
      <c r="U6" s="92"/>
      <c r="V6" s="93">
        <f t="shared" si="0"/>
        <v>4</v>
      </c>
      <c r="W6" s="94"/>
    </row>
    <row r="7" spans="1:23" ht="36.6" customHeight="1">
      <c r="A7" s="43"/>
      <c r="B7" s="64" t="s">
        <v>22</v>
      </c>
      <c r="C7" s="65" t="s">
        <v>23</v>
      </c>
      <c r="D7" s="66" t="s">
        <v>16</v>
      </c>
      <c r="E7" s="90">
        <v>36</v>
      </c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2"/>
      <c r="R7" s="92">
        <v>2</v>
      </c>
      <c r="S7" s="92">
        <v>1</v>
      </c>
      <c r="T7" s="92">
        <v>1</v>
      </c>
      <c r="U7" s="92"/>
      <c r="V7" s="93">
        <f t="shared" si="0"/>
        <v>4</v>
      </c>
      <c r="W7" s="94"/>
    </row>
    <row r="8" spans="1:23" ht="36.6" customHeight="1">
      <c r="A8" s="43"/>
      <c r="B8" s="64"/>
      <c r="C8" s="65" t="s">
        <v>24</v>
      </c>
      <c r="D8" s="66"/>
      <c r="E8" s="90">
        <v>36</v>
      </c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2"/>
      <c r="R8" s="92"/>
      <c r="S8" s="92"/>
      <c r="T8" s="92"/>
      <c r="U8" s="92"/>
      <c r="V8" s="93">
        <f t="shared" si="0"/>
        <v>0</v>
      </c>
      <c r="W8" s="94"/>
    </row>
    <row r="9" spans="1:23" ht="36.6" customHeight="1">
      <c r="A9" s="43"/>
      <c r="B9" s="64" t="s">
        <v>25</v>
      </c>
      <c r="C9" s="65" t="s">
        <v>26</v>
      </c>
      <c r="D9" s="66" t="s">
        <v>16</v>
      </c>
      <c r="E9" s="90">
        <v>18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2"/>
      <c r="R9" s="92">
        <v>2</v>
      </c>
      <c r="S9" s="92">
        <v>1</v>
      </c>
      <c r="T9" s="92">
        <v>1</v>
      </c>
      <c r="U9" s="92"/>
      <c r="V9" s="93">
        <f t="shared" si="0"/>
        <v>4</v>
      </c>
      <c r="W9" s="94"/>
    </row>
    <row r="10" spans="1:23" ht="36.6" customHeight="1">
      <c r="A10" s="43"/>
      <c r="B10" s="64" t="s">
        <v>27</v>
      </c>
      <c r="C10" s="65" t="s">
        <v>28</v>
      </c>
      <c r="D10" s="66" t="s">
        <v>16</v>
      </c>
      <c r="E10" s="90">
        <v>97</v>
      </c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2">
        <v>97</v>
      </c>
      <c r="R10" s="92"/>
      <c r="S10" s="92"/>
      <c r="T10" s="92"/>
      <c r="U10" s="92"/>
      <c r="V10" s="93">
        <f t="shared" si="0"/>
        <v>97</v>
      </c>
      <c r="W10" s="94" t="s">
        <v>29</v>
      </c>
    </row>
    <row r="11" spans="1:23" ht="36.6" customHeight="1">
      <c r="A11" s="43"/>
      <c r="B11" s="64" t="s">
        <v>30</v>
      </c>
      <c r="C11" s="65" t="s">
        <v>31</v>
      </c>
      <c r="D11" s="66" t="s">
        <v>16</v>
      </c>
      <c r="E11" s="90">
        <v>10</v>
      </c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2">
        <v>10</v>
      </c>
      <c r="R11" s="92"/>
      <c r="S11" s="92"/>
      <c r="T11" s="92"/>
      <c r="U11" s="92"/>
      <c r="V11" s="93">
        <f t="shared" si="0"/>
        <v>10</v>
      </c>
      <c r="W11" s="94" t="s">
        <v>29</v>
      </c>
    </row>
    <row r="12" spans="1:23" ht="36.6" customHeight="1">
      <c r="A12" s="43"/>
      <c r="B12" s="64" t="s">
        <v>32</v>
      </c>
      <c r="C12" s="65" t="s">
        <v>33</v>
      </c>
      <c r="D12" s="66" t="s">
        <v>16</v>
      </c>
      <c r="E12" s="90">
        <v>43</v>
      </c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2">
        <v>43</v>
      </c>
      <c r="R12" s="92"/>
      <c r="S12" s="92"/>
      <c r="T12" s="92"/>
      <c r="U12" s="92"/>
      <c r="V12" s="93">
        <f t="shared" si="0"/>
        <v>43</v>
      </c>
      <c r="W12" s="94" t="s">
        <v>29</v>
      </c>
    </row>
    <row r="13" spans="1:23" ht="36.6" customHeight="1">
      <c r="A13" s="43"/>
      <c r="B13" s="64" t="s">
        <v>34</v>
      </c>
      <c r="C13" s="65" t="s">
        <v>35</v>
      </c>
      <c r="D13" s="66" t="s">
        <v>16</v>
      </c>
      <c r="E13" s="90">
        <v>42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2">
        <v>4</v>
      </c>
      <c r="R13" s="92">
        <v>3</v>
      </c>
      <c r="S13" s="92">
        <v>2</v>
      </c>
      <c r="T13" s="92">
        <v>2</v>
      </c>
      <c r="U13" s="92"/>
      <c r="V13" s="93">
        <f t="shared" si="0"/>
        <v>11</v>
      </c>
      <c r="W13" s="94"/>
    </row>
    <row r="14" spans="1:23" ht="36.6" customHeight="1">
      <c r="A14" s="43"/>
      <c r="B14" s="64" t="s">
        <v>36</v>
      </c>
      <c r="C14" s="65" t="s">
        <v>37</v>
      </c>
      <c r="D14" s="66" t="s">
        <v>16</v>
      </c>
      <c r="E14" s="90">
        <v>21</v>
      </c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2"/>
      <c r="R14" s="92">
        <v>1</v>
      </c>
      <c r="S14" s="92">
        <v>1</v>
      </c>
      <c r="T14" s="92">
        <v>1</v>
      </c>
      <c r="U14" s="92"/>
      <c r="V14" s="93">
        <f t="shared" si="0"/>
        <v>3</v>
      </c>
      <c r="W14" s="94"/>
    </row>
    <row r="15" spans="1:23" ht="36.6" customHeight="1">
      <c r="A15" s="43"/>
      <c r="B15" s="64" t="s">
        <v>38</v>
      </c>
      <c r="C15" s="65" t="s">
        <v>39</v>
      </c>
      <c r="D15" s="66" t="s">
        <v>16</v>
      </c>
      <c r="E15" s="90">
        <v>6</v>
      </c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2"/>
      <c r="R15" s="92">
        <v>1</v>
      </c>
      <c r="S15" s="92"/>
      <c r="T15" s="92"/>
      <c r="U15" s="92"/>
      <c r="V15" s="93">
        <f t="shared" si="0"/>
        <v>1</v>
      </c>
      <c r="W15" s="94"/>
    </row>
    <row r="16" spans="1:23" ht="36.6" customHeight="1">
      <c r="A16" s="43"/>
      <c r="B16" s="64" t="s">
        <v>40</v>
      </c>
      <c r="C16" s="65" t="s">
        <v>41</v>
      </c>
      <c r="D16" s="66" t="s">
        <v>16</v>
      </c>
      <c r="E16" s="90">
        <v>28</v>
      </c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2">
        <v>4</v>
      </c>
      <c r="R16" s="92"/>
      <c r="S16" s="92"/>
      <c r="T16" s="92"/>
      <c r="U16" s="92"/>
      <c r="V16" s="93">
        <f t="shared" si="0"/>
        <v>4</v>
      </c>
      <c r="W16" s="94"/>
    </row>
    <row r="17" spans="1:23" ht="36.6" customHeight="1">
      <c r="A17" s="43"/>
      <c r="B17" s="64" t="s">
        <v>42</v>
      </c>
      <c r="C17" s="65" t="s">
        <v>43</v>
      </c>
      <c r="D17" s="66" t="s">
        <v>16</v>
      </c>
      <c r="E17" s="90">
        <v>22</v>
      </c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2">
        <v>19</v>
      </c>
      <c r="R17" s="92"/>
      <c r="S17" s="92"/>
      <c r="T17" s="92"/>
      <c r="U17" s="92"/>
      <c r="V17" s="93">
        <f t="shared" si="0"/>
        <v>19</v>
      </c>
      <c r="W17" s="94"/>
    </row>
    <row r="18" spans="1:23" ht="36.6" customHeight="1">
      <c r="A18" s="43"/>
      <c r="B18" s="64" t="s">
        <v>44</v>
      </c>
      <c r="C18" s="65" t="s">
        <v>45</v>
      </c>
      <c r="D18" s="66" t="s">
        <v>16</v>
      </c>
      <c r="E18" s="90">
        <v>19</v>
      </c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2">
        <v>17</v>
      </c>
      <c r="R18" s="92"/>
      <c r="S18" s="92"/>
      <c r="T18" s="92"/>
      <c r="U18" s="92"/>
      <c r="V18" s="93">
        <f t="shared" si="0"/>
        <v>17</v>
      </c>
      <c r="W18" s="94"/>
    </row>
    <row r="19" spans="1:23" ht="36.6" customHeight="1">
      <c r="A19" s="43"/>
      <c r="B19" s="64" t="s">
        <v>46</v>
      </c>
      <c r="C19" s="65" t="s">
        <v>47</v>
      </c>
      <c r="D19" s="66" t="s">
        <v>16</v>
      </c>
      <c r="E19" s="90">
        <v>4</v>
      </c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2">
        <v>3</v>
      </c>
      <c r="R19" s="92"/>
      <c r="S19" s="92"/>
      <c r="T19" s="92"/>
      <c r="U19" s="92"/>
      <c r="V19" s="93">
        <f t="shared" si="0"/>
        <v>3</v>
      </c>
      <c r="W19" s="94"/>
    </row>
    <row r="20" spans="1:23" ht="36.6" customHeight="1">
      <c r="A20" s="43"/>
      <c r="B20" s="64" t="s">
        <v>48</v>
      </c>
      <c r="C20" s="65" t="s">
        <v>49</v>
      </c>
      <c r="D20" s="66" t="s">
        <v>16</v>
      </c>
      <c r="E20" s="90">
        <v>4</v>
      </c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2">
        <v>3</v>
      </c>
      <c r="R20" s="92"/>
      <c r="S20" s="92"/>
      <c r="T20" s="92"/>
      <c r="U20" s="92"/>
      <c r="V20" s="93">
        <f t="shared" si="0"/>
        <v>3</v>
      </c>
      <c r="W20" s="94"/>
    </row>
    <row r="21" spans="1:23" ht="36.6" customHeight="1">
      <c r="A21" s="43"/>
      <c r="B21" s="64" t="s">
        <v>50</v>
      </c>
      <c r="C21" s="65" t="s">
        <v>51</v>
      </c>
      <c r="D21" s="66" t="s">
        <v>16</v>
      </c>
      <c r="E21" s="90">
        <v>17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>
        <v>16</v>
      </c>
      <c r="R21" s="92"/>
      <c r="S21" s="92"/>
      <c r="T21" s="92"/>
      <c r="U21" s="92"/>
      <c r="V21" s="93">
        <f t="shared" si="0"/>
        <v>16</v>
      </c>
      <c r="W21" s="94"/>
    </row>
    <row r="22" spans="1:23" ht="36.6" customHeight="1">
      <c r="A22" s="43"/>
      <c r="B22" s="64" t="s">
        <v>52</v>
      </c>
      <c r="C22" s="65" t="s">
        <v>53</v>
      </c>
      <c r="D22" s="66" t="s">
        <v>16</v>
      </c>
      <c r="E22" s="90">
        <v>8</v>
      </c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  <c r="R22" s="92">
        <v>1</v>
      </c>
      <c r="S22" s="92"/>
      <c r="T22" s="92"/>
      <c r="U22" s="92"/>
      <c r="V22" s="93">
        <f t="shared" si="0"/>
        <v>1</v>
      </c>
      <c r="W22" s="94"/>
    </row>
    <row r="23" spans="1:23" ht="36.6" customHeight="1">
      <c r="A23" s="43"/>
      <c r="B23" s="64" t="s">
        <v>54</v>
      </c>
      <c r="C23" s="65" t="s">
        <v>55</v>
      </c>
      <c r="D23" s="66" t="s">
        <v>16</v>
      </c>
      <c r="E23" s="90">
        <v>75</v>
      </c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2"/>
      <c r="R23" s="92">
        <v>7</v>
      </c>
      <c r="S23" s="92">
        <v>9</v>
      </c>
      <c r="T23" s="92">
        <v>4</v>
      </c>
      <c r="U23" s="92"/>
      <c r="V23" s="93">
        <f t="shared" si="0"/>
        <v>20</v>
      </c>
      <c r="W23" s="94"/>
    </row>
    <row r="24" spans="1:23" ht="36.6" customHeight="1">
      <c r="A24" s="43"/>
      <c r="B24" s="64" t="s">
        <v>56</v>
      </c>
      <c r="C24" s="65" t="s">
        <v>57</v>
      </c>
      <c r="D24" s="66" t="s">
        <v>16</v>
      </c>
      <c r="E24" s="90">
        <v>61</v>
      </c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5"/>
      <c r="R24" s="95"/>
      <c r="S24" s="95"/>
      <c r="T24" s="95"/>
      <c r="U24" s="95"/>
      <c r="V24" s="96">
        <f t="shared" si="0"/>
        <v>0</v>
      </c>
      <c r="W24" s="97" t="s">
        <v>1140</v>
      </c>
    </row>
    <row r="25" spans="1:23" ht="36.6" customHeight="1">
      <c r="A25" s="43"/>
      <c r="B25" s="64" t="s">
        <v>58</v>
      </c>
      <c r="C25" s="65" t="s">
        <v>59</v>
      </c>
      <c r="D25" s="66" t="s">
        <v>16</v>
      </c>
      <c r="E25" s="90">
        <v>36</v>
      </c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2"/>
      <c r="R25" s="92">
        <v>4</v>
      </c>
      <c r="S25" s="92">
        <v>4</v>
      </c>
      <c r="T25" s="92">
        <v>9</v>
      </c>
      <c r="U25" s="92"/>
      <c r="V25" s="93">
        <f t="shared" si="0"/>
        <v>17</v>
      </c>
      <c r="W25" s="94"/>
    </row>
    <row r="26" spans="1:23" ht="36.6" customHeight="1">
      <c r="A26" s="43"/>
      <c r="B26" s="64" t="s">
        <v>60</v>
      </c>
      <c r="C26" s="65" t="s">
        <v>61</v>
      </c>
      <c r="D26" s="66" t="s">
        <v>16</v>
      </c>
      <c r="E26" s="90">
        <v>40</v>
      </c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2"/>
      <c r="R26" s="92">
        <v>4</v>
      </c>
      <c r="S26" s="92">
        <v>4</v>
      </c>
      <c r="T26" s="92">
        <v>3</v>
      </c>
      <c r="U26" s="92"/>
      <c r="V26" s="93">
        <f t="shared" si="0"/>
        <v>11</v>
      </c>
      <c r="W26" s="94"/>
    </row>
    <row r="27" spans="1:23" ht="36.6" customHeight="1">
      <c r="A27" s="43"/>
      <c r="B27" s="64" t="s">
        <v>62</v>
      </c>
      <c r="C27" s="65" t="s">
        <v>63</v>
      </c>
      <c r="D27" s="66" t="s">
        <v>16</v>
      </c>
      <c r="E27" s="90">
        <v>147</v>
      </c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2"/>
      <c r="R27" s="92">
        <v>17</v>
      </c>
      <c r="S27" s="92">
        <v>18</v>
      </c>
      <c r="T27" s="92">
        <v>19</v>
      </c>
      <c r="U27" s="92"/>
      <c r="V27" s="93">
        <f t="shared" si="0"/>
        <v>54</v>
      </c>
      <c r="W27" s="94"/>
    </row>
    <row r="28" spans="1:23" ht="36.6" customHeight="1">
      <c r="A28" s="43"/>
      <c r="B28" s="64" t="s">
        <v>64</v>
      </c>
      <c r="C28" s="65" t="s">
        <v>65</v>
      </c>
      <c r="D28" s="66" t="s">
        <v>16</v>
      </c>
      <c r="E28" s="90">
        <v>147</v>
      </c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2"/>
      <c r="R28" s="92">
        <v>17</v>
      </c>
      <c r="S28" s="92">
        <v>18</v>
      </c>
      <c r="T28" s="92">
        <v>19</v>
      </c>
      <c r="U28" s="92"/>
      <c r="V28" s="93">
        <f t="shared" si="0"/>
        <v>54</v>
      </c>
      <c r="W28" s="94"/>
    </row>
    <row r="29" spans="1:23" ht="36.6" customHeight="1">
      <c r="A29" s="43"/>
      <c r="B29" s="64" t="s">
        <v>66</v>
      </c>
      <c r="C29" s="65" t="s">
        <v>67</v>
      </c>
      <c r="D29" s="66" t="s">
        <v>68</v>
      </c>
      <c r="E29" s="90">
        <v>40</v>
      </c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2"/>
      <c r="R29" s="92">
        <v>6</v>
      </c>
      <c r="S29" s="92">
        <v>6</v>
      </c>
      <c r="T29" s="92">
        <v>5</v>
      </c>
      <c r="U29" s="92"/>
      <c r="V29" s="93">
        <f t="shared" si="0"/>
        <v>17</v>
      </c>
      <c r="W29" s="94"/>
    </row>
    <row r="30" spans="1:23" ht="36.6" customHeight="1">
      <c r="A30" s="43"/>
      <c r="B30" s="64" t="s">
        <v>69</v>
      </c>
      <c r="C30" s="65" t="s">
        <v>70</v>
      </c>
      <c r="D30" s="66" t="s">
        <v>16</v>
      </c>
      <c r="E30" s="90">
        <v>36</v>
      </c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2"/>
      <c r="R30" s="92">
        <v>3</v>
      </c>
      <c r="S30" s="92">
        <v>4</v>
      </c>
      <c r="T30" s="92"/>
      <c r="U30" s="92"/>
      <c r="V30" s="93">
        <f t="shared" si="0"/>
        <v>7</v>
      </c>
      <c r="W30" s="94"/>
    </row>
    <row r="31" spans="1:23" ht="36.6" customHeight="1">
      <c r="A31" s="43"/>
      <c r="B31" s="64" t="s">
        <v>71</v>
      </c>
      <c r="C31" s="65" t="s">
        <v>72</v>
      </c>
      <c r="D31" s="66" t="s">
        <v>16</v>
      </c>
      <c r="E31" s="90">
        <v>814</v>
      </c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2">
        <v>216</v>
      </c>
      <c r="R31" s="92">
        <f>SUM(R3:R30)</f>
        <v>76</v>
      </c>
      <c r="S31" s="92">
        <f>SUM(S3:S30)</f>
        <v>73</v>
      </c>
      <c r="T31" s="92">
        <v>69</v>
      </c>
      <c r="U31" s="92"/>
      <c r="V31" s="93">
        <f t="shared" si="0"/>
        <v>434</v>
      </c>
      <c r="W31" s="94"/>
    </row>
    <row r="32" spans="1:23" ht="36.6" customHeight="1">
      <c r="A32" s="43"/>
      <c r="B32" s="64" t="s">
        <v>73</v>
      </c>
      <c r="C32" s="65" t="s">
        <v>74</v>
      </c>
      <c r="D32" s="66"/>
      <c r="E32" s="90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92"/>
      <c r="S32" s="92"/>
      <c r="T32" s="92"/>
      <c r="U32" s="92"/>
      <c r="V32" s="93">
        <f t="shared" si="0"/>
        <v>0</v>
      </c>
      <c r="W32" s="94"/>
    </row>
    <row r="33" spans="1:23" ht="36.6" customHeight="1">
      <c r="A33" s="43"/>
      <c r="B33" s="64" t="s">
        <v>75</v>
      </c>
      <c r="C33" s="65" t="s">
        <v>76</v>
      </c>
      <c r="D33" s="66" t="s">
        <v>77</v>
      </c>
      <c r="E33" s="90">
        <v>1500</v>
      </c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>
        <v>420</v>
      </c>
      <c r="R33" s="92"/>
      <c r="S33" s="92"/>
      <c r="T33" s="92"/>
      <c r="U33" s="92"/>
      <c r="V33" s="93">
        <f t="shared" si="0"/>
        <v>420</v>
      </c>
      <c r="W33" s="94"/>
    </row>
    <row r="34" spans="1:23" ht="36.6" customHeight="1">
      <c r="A34" s="43"/>
      <c r="B34" s="64" t="s">
        <v>78</v>
      </c>
      <c r="C34" s="65" t="s">
        <v>79</v>
      </c>
      <c r="D34" s="66" t="s">
        <v>77</v>
      </c>
      <c r="E34" s="90">
        <v>1500</v>
      </c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>
        <v>420</v>
      </c>
      <c r="R34" s="92"/>
      <c r="S34" s="92"/>
      <c r="T34" s="92"/>
      <c r="U34" s="92"/>
      <c r="V34" s="93">
        <f t="shared" si="0"/>
        <v>420</v>
      </c>
      <c r="W34" s="94"/>
    </row>
    <row r="35" spans="1:23" ht="36.6" customHeight="1">
      <c r="A35" s="43"/>
      <c r="B35" s="64" t="s">
        <v>80</v>
      </c>
      <c r="C35" s="65" t="s">
        <v>81</v>
      </c>
      <c r="D35" s="66" t="s">
        <v>77</v>
      </c>
      <c r="E35" s="90">
        <v>1500</v>
      </c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>
        <v>60</v>
      </c>
      <c r="R35" s="92"/>
      <c r="S35" s="92"/>
      <c r="T35" s="92"/>
      <c r="U35" s="92"/>
      <c r="V35" s="93">
        <f t="shared" si="0"/>
        <v>60</v>
      </c>
      <c r="W35" s="94"/>
    </row>
    <row r="36" spans="1:23" ht="36.6" customHeight="1">
      <c r="A36" s="43"/>
      <c r="B36" s="64" t="s">
        <v>82</v>
      </c>
      <c r="C36" s="65" t="s">
        <v>83</v>
      </c>
      <c r="D36" s="66" t="s">
        <v>77</v>
      </c>
      <c r="E36" s="90">
        <v>1500</v>
      </c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>
        <v>60</v>
      </c>
      <c r="R36" s="92"/>
      <c r="S36" s="92"/>
      <c r="T36" s="92"/>
      <c r="U36" s="92"/>
      <c r="V36" s="93">
        <f t="shared" si="0"/>
        <v>60</v>
      </c>
      <c r="W36" s="94"/>
    </row>
    <row r="37" spans="1:23" ht="36.6" customHeight="1">
      <c r="A37" s="43"/>
      <c r="B37" s="64" t="s">
        <v>84</v>
      </c>
      <c r="C37" s="65" t="s">
        <v>85</v>
      </c>
      <c r="D37" s="66" t="s">
        <v>16</v>
      </c>
      <c r="E37" s="90">
        <v>600</v>
      </c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92"/>
      <c r="S37" s="92"/>
      <c r="T37" s="92"/>
      <c r="U37" s="92"/>
      <c r="V37" s="93">
        <f t="shared" si="0"/>
        <v>0</v>
      </c>
      <c r="W37" s="94"/>
    </row>
    <row r="38" spans="1:23" ht="36.6" customHeight="1">
      <c r="A38" s="43"/>
      <c r="B38" s="64" t="s">
        <v>86</v>
      </c>
      <c r="C38" s="65" t="s">
        <v>87</v>
      </c>
      <c r="D38" s="66" t="s">
        <v>16</v>
      </c>
      <c r="E38" s="90">
        <v>600</v>
      </c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>
        <v>60</v>
      </c>
      <c r="R38" s="92"/>
      <c r="S38" s="92"/>
      <c r="T38" s="92"/>
      <c r="U38" s="92"/>
      <c r="V38" s="93">
        <f t="shared" si="0"/>
        <v>60</v>
      </c>
      <c r="W38" s="94"/>
    </row>
    <row r="39" spans="1:23" ht="36.6" customHeight="1">
      <c r="A39" s="43"/>
      <c r="B39" s="64" t="s">
        <v>88</v>
      </c>
      <c r="C39" s="65" t="s">
        <v>89</v>
      </c>
      <c r="D39" s="66" t="s">
        <v>16</v>
      </c>
      <c r="E39" s="90">
        <v>600</v>
      </c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92">
        <v>16</v>
      </c>
      <c r="S39" s="92">
        <v>16</v>
      </c>
      <c r="T39" s="92">
        <v>14</v>
      </c>
      <c r="U39" s="92"/>
      <c r="V39" s="93">
        <f t="shared" si="0"/>
        <v>46</v>
      </c>
      <c r="W39" s="94"/>
    </row>
    <row r="40" spans="1:23" ht="36.6" customHeight="1">
      <c r="A40" s="43"/>
      <c r="B40" s="64" t="s">
        <v>90</v>
      </c>
      <c r="C40" s="65" t="s">
        <v>91</v>
      </c>
      <c r="D40" s="66" t="s">
        <v>16</v>
      </c>
      <c r="E40" s="90">
        <v>600</v>
      </c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>
        <v>180</v>
      </c>
      <c r="R40" s="92"/>
      <c r="S40" s="92"/>
      <c r="T40" s="92"/>
      <c r="U40" s="92"/>
      <c r="V40" s="93">
        <f t="shared" si="0"/>
        <v>180</v>
      </c>
      <c r="W40" s="94"/>
    </row>
    <row r="41" spans="1:23" ht="36.6" customHeight="1">
      <c r="A41" s="43"/>
      <c r="B41" s="64" t="s">
        <v>92</v>
      </c>
      <c r="C41" s="65" t="s">
        <v>93</v>
      </c>
      <c r="D41" s="66" t="s">
        <v>16</v>
      </c>
      <c r="E41" s="90">
        <v>40</v>
      </c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>
        <v>1</v>
      </c>
      <c r="R41" s="92">
        <v>1</v>
      </c>
      <c r="S41" s="92">
        <v>1</v>
      </c>
      <c r="T41" s="92">
        <v>1</v>
      </c>
      <c r="U41" s="92">
        <v>1</v>
      </c>
      <c r="V41" s="93">
        <f t="shared" si="0"/>
        <v>5</v>
      </c>
      <c r="W41" s="94"/>
    </row>
    <row r="42" spans="1:23" ht="36.6" customHeight="1">
      <c r="A42" s="43"/>
      <c r="B42" s="64" t="s">
        <v>94</v>
      </c>
      <c r="C42" s="65" t="s">
        <v>95</v>
      </c>
      <c r="D42" s="66" t="s">
        <v>77</v>
      </c>
      <c r="E42" s="90">
        <v>95</v>
      </c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>
        <v>43</v>
      </c>
      <c r="R42" s="92"/>
      <c r="S42" s="92"/>
      <c r="T42" s="92"/>
      <c r="U42" s="92"/>
      <c r="V42" s="93">
        <f t="shared" si="0"/>
        <v>43</v>
      </c>
      <c r="W42" s="94" t="s">
        <v>29</v>
      </c>
    </row>
    <row r="43" spans="1:23" ht="36.6" customHeight="1">
      <c r="A43" s="43"/>
      <c r="B43" s="64" t="s">
        <v>96</v>
      </c>
      <c r="C43" s="65" t="s">
        <v>97</v>
      </c>
      <c r="D43" s="66" t="s">
        <v>77</v>
      </c>
      <c r="E43" s="90">
        <v>95</v>
      </c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>
        <v>43</v>
      </c>
      <c r="R43" s="92"/>
      <c r="S43" s="92"/>
      <c r="T43" s="92"/>
      <c r="U43" s="92"/>
      <c r="V43" s="93">
        <f t="shared" si="0"/>
        <v>43</v>
      </c>
      <c r="W43" s="94" t="s">
        <v>29</v>
      </c>
    </row>
    <row r="44" spans="1:23" ht="36.6" customHeight="1">
      <c r="A44" s="43"/>
      <c r="B44" s="64" t="s">
        <v>98</v>
      </c>
      <c r="C44" s="65" t="s">
        <v>99</v>
      </c>
      <c r="D44" s="66" t="s">
        <v>77</v>
      </c>
      <c r="E44" s="90">
        <v>81</v>
      </c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2"/>
      <c r="R44" s="92">
        <v>8</v>
      </c>
      <c r="S44" s="92">
        <v>8</v>
      </c>
      <c r="T44" s="92">
        <v>6</v>
      </c>
      <c r="U44" s="92"/>
      <c r="V44" s="93">
        <f t="shared" si="0"/>
        <v>22</v>
      </c>
      <c r="W44" s="94"/>
    </row>
    <row r="45" spans="1:23" ht="36.6" customHeight="1">
      <c r="A45" s="43"/>
      <c r="B45" s="64" t="s">
        <v>100</v>
      </c>
      <c r="C45" s="65" t="s">
        <v>101</v>
      </c>
      <c r="D45" s="66" t="s">
        <v>16</v>
      </c>
      <c r="E45" s="90">
        <v>81</v>
      </c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2"/>
      <c r="R45" s="92">
        <v>8</v>
      </c>
      <c r="S45" s="92">
        <v>8</v>
      </c>
      <c r="T45" s="92">
        <v>6</v>
      </c>
      <c r="U45" s="92"/>
      <c r="V45" s="93">
        <f t="shared" si="0"/>
        <v>22</v>
      </c>
      <c r="W45" s="94"/>
    </row>
    <row r="46" spans="1:23" ht="36.6" customHeight="1">
      <c r="A46" s="43"/>
      <c r="B46" s="64" t="s">
        <v>102</v>
      </c>
      <c r="C46" s="65" t="s">
        <v>103</v>
      </c>
      <c r="D46" s="66" t="s">
        <v>77</v>
      </c>
      <c r="E46" s="90">
        <v>45</v>
      </c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2"/>
      <c r="R46" s="92"/>
      <c r="S46" s="92"/>
      <c r="T46" s="92"/>
      <c r="U46" s="92"/>
      <c r="V46" s="93">
        <f t="shared" si="0"/>
        <v>0</v>
      </c>
      <c r="W46" s="94"/>
    </row>
    <row r="47" spans="1:23" ht="36.6" customHeight="1">
      <c r="A47" s="43"/>
      <c r="B47" s="64" t="s">
        <v>104</v>
      </c>
      <c r="C47" s="65" t="s">
        <v>105</v>
      </c>
      <c r="D47" s="66" t="s">
        <v>16</v>
      </c>
      <c r="E47" s="90">
        <v>45</v>
      </c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2"/>
      <c r="R47" s="92"/>
      <c r="S47" s="92"/>
      <c r="T47" s="92"/>
      <c r="U47" s="92"/>
      <c r="V47" s="93">
        <f t="shared" si="0"/>
        <v>0</v>
      </c>
      <c r="W47" s="94"/>
    </row>
    <row r="48" spans="1:23" ht="36.6" customHeight="1">
      <c r="A48" s="43"/>
      <c r="B48" s="64" t="s">
        <v>106</v>
      </c>
      <c r="C48" s="65" t="s">
        <v>107</v>
      </c>
      <c r="D48" s="66" t="s">
        <v>77</v>
      </c>
      <c r="E48" s="90">
        <v>71</v>
      </c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2"/>
      <c r="R48" s="92">
        <v>8</v>
      </c>
      <c r="S48" s="92">
        <v>8</v>
      </c>
      <c r="T48" s="92">
        <v>6</v>
      </c>
      <c r="U48" s="92"/>
      <c r="V48" s="93">
        <f t="shared" si="0"/>
        <v>22</v>
      </c>
      <c r="W48" s="94"/>
    </row>
    <row r="49" spans="1:23" ht="36.6" customHeight="1">
      <c r="A49" s="43"/>
      <c r="B49" s="64" t="s">
        <v>108</v>
      </c>
      <c r="C49" s="65" t="s">
        <v>109</v>
      </c>
      <c r="D49" s="66" t="s">
        <v>77</v>
      </c>
      <c r="E49" s="90">
        <v>71</v>
      </c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2"/>
      <c r="R49" s="92">
        <v>8</v>
      </c>
      <c r="S49" s="92">
        <v>8</v>
      </c>
      <c r="T49" s="92">
        <v>6</v>
      </c>
      <c r="U49" s="92"/>
      <c r="V49" s="93">
        <f t="shared" si="0"/>
        <v>22</v>
      </c>
      <c r="W49" s="94"/>
    </row>
    <row r="50" spans="1:23" ht="36.6" customHeight="1">
      <c r="A50" s="43"/>
      <c r="B50" s="64" t="s">
        <v>110</v>
      </c>
      <c r="C50" s="65" t="s">
        <v>111</v>
      </c>
      <c r="D50" s="66" t="s">
        <v>77</v>
      </c>
      <c r="E50" s="90">
        <v>194</v>
      </c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2"/>
      <c r="R50" s="92">
        <v>18</v>
      </c>
      <c r="S50" s="92">
        <v>20</v>
      </c>
      <c r="T50" s="92">
        <v>20</v>
      </c>
      <c r="U50" s="92"/>
      <c r="V50" s="93">
        <f t="shared" si="0"/>
        <v>58</v>
      </c>
      <c r="W50" s="94"/>
    </row>
    <row r="51" spans="1:23" ht="36.6" customHeight="1">
      <c r="A51" s="43"/>
      <c r="B51" s="64" t="s">
        <v>112</v>
      </c>
      <c r="C51" s="65" t="s">
        <v>113</v>
      </c>
      <c r="D51" s="66" t="s">
        <v>16</v>
      </c>
      <c r="E51" s="90">
        <v>194</v>
      </c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2"/>
      <c r="R51" s="92">
        <v>18</v>
      </c>
      <c r="S51" s="92">
        <v>20</v>
      </c>
      <c r="T51" s="92">
        <v>20</v>
      </c>
      <c r="U51" s="92"/>
      <c r="V51" s="93">
        <f t="shared" si="0"/>
        <v>58</v>
      </c>
      <c r="W51" s="94"/>
    </row>
    <row r="52" spans="1:23" ht="36.6" customHeight="1">
      <c r="A52" s="43"/>
      <c r="B52" s="64" t="s">
        <v>114</v>
      </c>
      <c r="C52" s="65" t="s">
        <v>115</v>
      </c>
      <c r="D52" s="66" t="s">
        <v>77</v>
      </c>
      <c r="E52" s="90">
        <v>45</v>
      </c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2"/>
      <c r="R52" s="92">
        <v>6</v>
      </c>
      <c r="S52" s="92">
        <v>6</v>
      </c>
      <c r="T52" s="92">
        <v>4</v>
      </c>
      <c r="U52" s="92"/>
      <c r="V52" s="93">
        <f t="shared" si="0"/>
        <v>16</v>
      </c>
      <c r="W52" s="94"/>
    </row>
    <row r="53" spans="1:23" ht="36.6" customHeight="1">
      <c r="A53" s="43"/>
      <c r="B53" s="64" t="s">
        <v>116</v>
      </c>
      <c r="C53" s="65" t="s">
        <v>117</v>
      </c>
      <c r="D53" s="66" t="s">
        <v>16</v>
      </c>
      <c r="E53" s="90">
        <v>45</v>
      </c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2"/>
      <c r="R53" s="92">
        <v>6</v>
      </c>
      <c r="S53" s="92">
        <v>6</v>
      </c>
      <c r="T53" s="92">
        <v>4</v>
      </c>
      <c r="U53" s="92"/>
      <c r="V53" s="93">
        <f t="shared" si="0"/>
        <v>16</v>
      </c>
      <c r="W53" s="94"/>
    </row>
    <row r="54" spans="1:23" ht="36.6" customHeight="1">
      <c r="A54" s="43"/>
      <c r="B54" s="98" t="s">
        <v>118</v>
      </c>
      <c r="C54" s="99" t="s">
        <v>119</v>
      </c>
      <c r="D54" s="66" t="s">
        <v>16</v>
      </c>
      <c r="E54" s="90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2"/>
      <c r="R54" s="92"/>
      <c r="S54" s="92">
        <v>4</v>
      </c>
      <c r="T54" s="92">
        <v>3</v>
      </c>
      <c r="U54" s="92"/>
      <c r="V54" s="93">
        <f t="shared" si="0"/>
        <v>7</v>
      </c>
      <c r="W54" s="94"/>
    </row>
    <row r="55" spans="1:23" ht="15.45" hidden="1" customHeight="1">
      <c r="A55" s="43"/>
      <c r="B55" s="64"/>
      <c r="C55" s="65"/>
      <c r="D55" s="66"/>
      <c r="E55" s="90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2"/>
      <c r="R55" s="92"/>
      <c r="S55" s="92"/>
      <c r="T55" s="92"/>
      <c r="U55" s="92"/>
      <c r="V55" s="93"/>
      <c r="W55" s="94"/>
    </row>
    <row r="56" spans="1:23" ht="36.6" customHeight="1">
      <c r="A56" s="43"/>
      <c r="B56" s="64" t="s">
        <v>120</v>
      </c>
      <c r="C56" s="65" t="s">
        <v>121</v>
      </c>
      <c r="D56" s="66" t="s">
        <v>77</v>
      </c>
      <c r="E56" s="90">
        <v>49</v>
      </c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2">
        <v>18</v>
      </c>
      <c r="R56" s="92">
        <v>3</v>
      </c>
      <c r="S56" s="92">
        <v>2</v>
      </c>
      <c r="T56" s="92">
        <v>2</v>
      </c>
      <c r="U56" s="92"/>
      <c r="V56" s="93">
        <f t="shared" si="0"/>
        <v>25</v>
      </c>
      <c r="W56" s="94"/>
    </row>
    <row r="57" spans="1:23" ht="36.6" customHeight="1">
      <c r="A57" s="43"/>
      <c r="B57" s="64" t="s">
        <v>122</v>
      </c>
      <c r="C57" s="65" t="s">
        <v>123</v>
      </c>
      <c r="D57" s="66" t="s">
        <v>16</v>
      </c>
      <c r="E57" s="90">
        <v>49</v>
      </c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2">
        <v>18</v>
      </c>
      <c r="R57" s="92">
        <v>3</v>
      </c>
      <c r="S57" s="92">
        <v>2</v>
      </c>
      <c r="T57" s="92">
        <v>2</v>
      </c>
      <c r="U57" s="92"/>
      <c r="V57" s="93">
        <f t="shared" si="0"/>
        <v>25</v>
      </c>
      <c r="W57" s="94"/>
    </row>
    <row r="58" spans="1:23" ht="36.6" customHeight="1">
      <c r="A58" s="43"/>
      <c r="B58" s="64" t="s">
        <v>124</v>
      </c>
      <c r="C58" s="65" t="s">
        <v>125</v>
      </c>
      <c r="D58" s="66" t="s">
        <v>77</v>
      </c>
      <c r="E58" s="90">
        <v>929</v>
      </c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2"/>
      <c r="R58" s="92">
        <v>110</v>
      </c>
      <c r="S58" s="92">
        <v>108</v>
      </c>
      <c r="T58" s="92">
        <v>90</v>
      </c>
      <c r="U58" s="92"/>
      <c r="V58" s="93">
        <f t="shared" si="0"/>
        <v>308</v>
      </c>
      <c r="W58" s="94"/>
    </row>
    <row r="59" spans="1:23" ht="36.6" customHeight="1">
      <c r="A59" s="43"/>
      <c r="B59" s="64" t="s">
        <v>126</v>
      </c>
      <c r="C59" s="65" t="s">
        <v>127</v>
      </c>
      <c r="D59" s="66" t="s">
        <v>77</v>
      </c>
      <c r="E59" s="90">
        <v>929</v>
      </c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2"/>
      <c r="R59" s="92">
        <v>110</v>
      </c>
      <c r="S59" s="92">
        <v>108</v>
      </c>
      <c r="T59" s="92">
        <v>90</v>
      </c>
      <c r="U59" s="92"/>
      <c r="V59" s="93">
        <f t="shared" si="0"/>
        <v>308</v>
      </c>
      <c r="W59" s="94"/>
    </row>
    <row r="60" spans="1:23" ht="36.6" customHeight="1">
      <c r="A60" s="43"/>
      <c r="B60" s="98" t="s">
        <v>128</v>
      </c>
      <c r="C60" s="99" t="s">
        <v>129</v>
      </c>
      <c r="D60" s="100" t="s">
        <v>77</v>
      </c>
      <c r="E60" s="90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2">
        <v>5</v>
      </c>
      <c r="R60" s="92">
        <v>4</v>
      </c>
      <c r="S60" s="92">
        <v>4</v>
      </c>
      <c r="T60" s="92">
        <v>6</v>
      </c>
      <c r="U60" s="92"/>
      <c r="V60" s="93">
        <f t="shared" si="0"/>
        <v>19</v>
      </c>
      <c r="W60" s="94"/>
    </row>
    <row r="61" spans="1:23" ht="36.6" customHeight="1">
      <c r="A61" s="43"/>
      <c r="B61" s="98" t="s">
        <v>130</v>
      </c>
      <c r="C61" s="99" t="s">
        <v>131</v>
      </c>
      <c r="D61" s="100" t="s">
        <v>77</v>
      </c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2">
        <v>5</v>
      </c>
      <c r="R61" s="92">
        <v>4</v>
      </c>
      <c r="S61" s="92">
        <v>4</v>
      </c>
      <c r="T61" s="92">
        <v>6</v>
      </c>
      <c r="U61" s="92"/>
      <c r="V61" s="93">
        <f t="shared" si="0"/>
        <v>19</v>
      </c>
      <c r="W61" s="94"/>
    </row>
    <row r="62" spans="1:23" ht="19.5" customHeight="1">
      <c r="A62" s="43"/>
      <c r="B62" s="201" t="s">
        <v>132</v>
      </c>
      <c r="C62" s="202"/>
      <c r="D62" s="203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5"/>
    </row>
    <row r="63" spans="1:23" ht="36.6" customHeight="1">
      <c r="A63" s="43"/>
      <c r="B63" s="64" t="s">
        <v>133</v>
      </c>
      <c r="C63" s="65" t="s">
        <v>134</v>
      </c>
      <c r="D63" s="66" t="s">
        <v>16</v>
      </c>
      <c r="E63" s="90">
        <v>36</v>
      </c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2"/>
      <c r="R63" s="92">
        <v>4</v>
      </c>
      <c r="S63" s="92">
        <v>4</v>
      </c>
      <c r="T63" s="92">
        <v>3</v>
      </c>
      <c r="U63" s="92"/>
      <c r="V63" s="93">
        <f t="shared" si="0"/>
        <v>11</v>
      </c>
      <c r="W63" s="94"/>
    </row>
    <row r="64" spans="1:23" ht="36.6" customHeight="1">
      <c r="A64" s="43"/>
      <c r="B64" s="64" t="s">
        <v>135</v>
      </c>
      <c r="C64" s="65" t="s">
        <v>136</v>
      </c>
      <c r="D64" s="66" t="s">
        <v>16</v>
      </c>
      <c r="E64" s="90">
        <v>4</v>
      </c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2">
        <v>1</v>
      </c>
      <c r="R64" s="92"/>
      <c r="S64" s="92"/>
      <c r="T64" s="92"/>
      <c r="U64" s="92"/>
      <c r="V64" s="93">
        <f t="shared" si="0"/>
        <v>1</v>
      </c>
      <c r="W64" s="94"/>
    </row>
    <row r="65" spans="1:23" ht="36.6" customHeight="1">
      <c r="A65" s="43"/>
      <c r="B65" s="64" t="s">
        <v>137</v>
      </c>
      <c r="C65" s="65" t="s">
        <v>138</v>
      </c>
      <c r="D65" s="66" t="s">
        <v>16</v>
      </c>
      <c r="E65" s="90">
        <v>1</v>
      </c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2"/>
      <c r="R65" s="92"/>
      <c r="S65" s="92"/>
      <c r="T65" s="92"/>
      <c r="U65" s="92"/>
      <c r="V65" s="93">
        <f t="shared" si="0"/>
        <v>0</v>
      </c>
      <c r="W65" s="94"/>
    </row>
    <row r="66" spans="1:23" ht="36.6" customHeight="1">
      <c r="A66" s="43"/>
      <c r="B66" s="64" t="s">
        <v>139</v>
      </c>
      <c r="C66" s="65" t="s">
        <v>140</v>
      </c>
      <c r="D66" s="66" t="s">
        <v>16</v>
      </c>
      <c r="E66" s="90">
        <v>4</v>
      </c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2">
        <v>1</v>
      </c>
      <c r="R66" s="92"/>
      <c r="S66" s="92"/>
      <c r="T66" s="92"/>
      <c r="U66" s="92"/>
      <c r="V66" s="93">
        <f t="shared" si="0"/>
        <v>1</v>
      </c>
      <c r="W66" s="94"/>
    </row>
    <row r="67" spans="1:23" ht="36.6" customHeight="1">
      <c r="A67" s="43"/>
      <c r="B67" s="64"/>
      <c r="C67" s="65" t="s">
        <v>141</v>
      </c>
      <c r="D67" s="66"/>
      <c r="E67" s="90">
        <v>4</v>
      </c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2"/>
      <c r="R67" s="92"/>
      <c r="S67" s="92"/>
      <c r="T67" s="92"/>
      <c r="U67" s="92"/>
      <c r="V67" s="93">
        <f t="shared" si="0"/>
        <v>0</v>
      </c>
      <c r="W67" s="94"/>
    </row>
    <row r="68" spans="1:23" ht="36.6" customHeight="1">
      <c r="A68" s="43"/>
      <c r="B68" s="64" t="s">
        <v>142</v>
      </c>
      <c r="C68" s="65" t="s">
        <v>143</v>
      </c>
      <c r="D68" s="66" t="s">
        <v>16</v>
      </c>
      <c r="E68" s="90">
        <v>1</v>
      </c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2">
        <v>1</v>
      </c>
      <c r="R68" s="92"/>
      <c r="S68" s="92"/>
      <c r="T68" s="92"/>
      <c r="U68" s="92"/>
      <c r="V68" s="93">
        <f t="shared" ref="V68:V131" si="1">Q68+R68+S68+T68+U68</f>
        <v>1</v>
      </c>
      <c r="W68" s="94"/>
    </row>
    <row r="69" spans="1:23" ht="36.6" customHeight="1">
      <c r="A69" s="43"/>
      <c r="B69" s="64" t="s">
        <v>144</v>
      </c>
      <c r="C69" s="65" t="s">
        <v>145</v>
      </c>
      <c r="D69" s="66" t="s">
        <v>16</v>
      </c>
      <c r="E69" s="90">
        <v>1</v>
      </c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2"/>
      <c r="R69" s="92"/>
      <c r="S69" s="92"/>
      <c r="T69" s="92"/>
      <c r="U69" s="92"/>
      <c r="V69" s="93">
        <f t="shared" si="1"/>
        <v>0</v>
      </c>
      <c r="W69" s="94"/>
    </row>
    <row r="70" spans="1:23" ht="36.6" customHeight="1">
      <c r="A70" s="43"/>
      <c r="B70" s="64" t="s">
        <v>146</v>
      </c>
      <c r="C70" s="65" t="s">
        <v>147</v>
      </c>
      <c r="D70" s="66" t="s">
        <v>16</v>
      </c>
      <c r="E70" s="90">
        <v>1</v>
      </c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2"/>
      <c r="R70" s="92"/>
      <c r="S70" s="92"/>
      <c r="T70" s="92"/>
      <c r="U70" s="92"/>
      <c r="V70" s="93">
        <f t="shared" si="1"/>
        <v>0</v>
      </c>
      <c r="W70" s="94"/>
    </row>
    <row r="71" spans="1:23" ht="36.6" customHeight="1">
      <c r="A71" s="43"/>
      <c r="B71" s="64" t="s">
        <v>148</v>
      </c>
      <c r="C71" s="65" t="s">
        <v>149</v>
      </c>
      <c r="D71" s="66" t="s">
        <v>16</v>
      </c>
      <c r="E71" s="90">
        <v>1</v>
      </c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2"/>
      <c r="R71" s="92"/>
      <c r="S71" s="92"/>
      <c r="T71" s="92"/>
      <c r="U71" s="92"/>
      <c r="V71" s="93">
        <f t="shared" si="1"/>
        <v>0</v>
      </c>
      <c r="W71" s="94"/>
    </row>
    <row r="72" spans="1:23" ht="36.6" customHeight="1">
      <c r="A72" s="43"/>
      <c r="B72" s="64" t="s">
        <v>150</v>
      </c>
      <c r="C72" s="65" t="s">
        <v>151</v>
      </c>
      <c r="D72" s="66" t="s">
        <v>16</v>
      </c>
      <c r="E72" s="90">
        <v>1</v>
      </c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2"/>
      <c r="R72" s="92"/>
      <c r="S72" s="92"/>
      <c r="T72" s="92"/>
      <c r="U72" s="92"/>
      <c r="V72" s="93">
        <f t="shared" si="1"/>
        <v>0</v>
      </c>
      <c r="W72" s="94"/>
    </row>
    <row r="73" spans="1:23" ht="36.6" customHeight="1">
      <c r="A73" s="43"/>
      <c r="B73" s="64" t="s">
        <v>152</v>
      </c>
      <c r="C73" s="65" t="s">
        <v>153</v>
      </c>
      <c r="D73" s="66" t="s">
        <v>16</v>
      </c>
      <c r="E73" s="90">
        <v>1</v>
      </c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2">
        <v>1</v>
      </c>
      <c r="R73" s="92"/>
      <c r="S73" s="92"/>
      <c r="T73" s="92"/>
      <c r="U73" s="92"/>
      <c r="V73" s="93">
        <f t="shared" si="1"/>
        <v>1</v>
      </c>
      <c r="W73" s="94"/>
    </row>
    <row r="74" spans="1:23" ht="36.6" customHeight="1">
      <c r="A74" s="43"/>
      <c r="B74" s="64" t="s">
        <v>154</v>
      </c>
      <c r="C74" s="65" t="s">
        <v>155</v>
      </c>
      <c r="D74" s="66" t="s">
        <v>16</v>
      </c>
      <c r="E74" s="90">
        <v>4</v>
      </c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2"/>
      <c r="R74" s="92"/>
      <c r="S74" s="92"/>
      <c r="T74" s="92"/>
      <c r="U74" s="92"/>
      <c r="V74" s="93">
        <f t="shared" si="1"/>
        <v>0</v>
      </c>
      <c r="W74" s="94"/>
    </row>
    <row r="75" spans="1:23" ht="36.6" customHeight="1">
      <c r="A75" s="43"/>
      <c r="B75" s="64" t="s">
        <v>156</v>
      </c>
      <c r="C75" s="65" t="s">
        <v>157</v>
      </c>
      <c r="D75" s="66" t="s">
        <v>16</v>
      </c>
      <c r="E75" s="90">
        <v>1</v>
      </c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2">
        <v>1</v>
      </c>
      <c r="R75" s="92"/>
      <c r="S75" s="92"/>
      <c r="T75" s="92"/>
      <c r="U75" s="92"/>
      <c r="V75" s="93">
        <f t="shared" si="1"/>
        <v>1</v>
      </c>
      <c r="W75" s="94"/>
    </row>
    <row r="76" spans="1:23" ht="36.6" customHeight="1">
      <c r="A76" s="43"/>
      <c r="B76" s="64" t="s">
        <v>158</v>
      </c>
      <c r="C76" s="65" t="s">
        <v>159</v>
      </c>
      <c r="D76" s="66" t="s">
        <v>16</v>
      </c>
      <c r="E76" s="90">
        <v>1</v>
      </c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2"/>
      <c r="R76" s="92"/>
      <c r="S76" s="92"/>
      <c r="T76" s="92"/>
      <c r="U76" s="92"/>
      <c r="V76" s="93">
        <f t="shared" si="1"/>
        <v>0</v>
      </c>
      <c r="W76" s="94"/>
    </row>
    <row r="77" spans="1:23" ht="36.6" customHeight="1">
      <c r="A77" s="43"/>
      <c r="B77" s="64" t="s">
        <v>160</v>
      </c>
      <c r="C77" s="65" t="s">
        <v>161</v>
      </c>
      <c r="D77" s="66" t="s">
        <v>16</v>
      </c>
      <c r="E77" s="90">
        <v>36</v>
      </c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2"/>
      <c r="R77" s="92"/>
      <c r="S77" s="92"/>
      <c r="T77" s="92"/>
      <c r="U77" s="92"/>
      <c r="V77" s="93">
        <f t="shared" si="1"/>
        <v>0</v>
      </c>
      <c r="W77" s="94"/>
    </row>
    <row r="78" spans="1:23" ht="36.6" customHeight="1">
      <c r="A78" s="43"/>
      <c r="B78" s="64" t="s">
        <v>162</v>
      </c>
      <c r="C78" s="65" t="s">
        <v>163</v>
      </c>
      <c r="D78" s="66" t="s">
        <v>16</v>
      </c>
      <c r="E78" s="90">
        <v>4</v>
      </c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2"/>
      <c r="R78" s="92"/>
      <c r="S78" s="92"/>
      <c r="T78" s="92"/>
      <c r="U78" s="92"/>
      <c r="V78" s="93">
        <f t="shared" si="1"/>
        <v>0</v>
      </c>
      <c r="W78" s="94"/>
    </row>
    <row r="79" spans="1:23" ht="36.6" customHeight="1">
      <c r="A79" s="43"/>
      <c r="B79" s="64" t="s">
        <v>164</v>
      </c>
      <c r="C79" s="65" t="s">
        <v>165</v>
      </c>
      <c r="D79" s="66" t="s">
        <v>16</v>
      </c>
      <c r="E79" s="90">
        <v>1</v>
      </c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2"/>
      <c r="R79" s="92"/>
      <c r="S79" s="92"/>
      <c r="T79" s="92"/>
      <c r="U79" s="92"/>
      <c r="V79" s="93">
        <f t="shared" si="1"/>
        <v>0</v>
      </c>
      <c r="W79" s="94"/>
    </row>
    <row r="80" spans="1:23" ht="36.6" customHeight="1">
      <c r="A80" s="43"/>
      <c r="B80" s="64" t="s">
        <v>166</v>
      </c>
      <c r="C80" s="65" t="s">
        <v>165</v>
      </c>
      <c r="D80" s="66" t="s">
        <v>16</v>
      </c>
      <c r="E80" s="90">
        <v>1</v>
      </c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2"/>
      <c r="R80" s="92"/>
      <c r="S80" s="92"/>
      <c r="T80" s="92"/>
      <c r="U80" s="92"/>
      <c r="V80" s="93">
        <f t="shared" si="1"/>
        <v>0</v>
      </c>
      <c r="W80" s="94"/>
    </row>
    <row r="81" spans="1:23" ht="36.6" customHeight="1">
      <c r="A81" s="43"/>
      <c r="B81" s="64" t="s">
        <v>167</v>
      </c>
      <c r="C81" s="65" t="s">
        <v>165</v>
      </c>
      <c r="D81" s="66" t="s">
        <v>16</v>
      </c>
      <c r="E81" s="90">
        <v>1</v>
      </c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2"/>
      <c r="R81" s="92"/>
      <c r="S81" s="92"/>
      <c r="T81" s="92"/>
      <c r="U81" s="92"/>
      <c r="V81" s="93">
        <f t="shared" si="1"/>
        <v>0</v>
      </c>
      <c r="W81" s="94"/>
    </row>
    <row r="82" spans="1:23" ht="36.6" customHeight="1">
      <c r="A82" s="43"/>
      <c r="B82" s="64" t="s">
        <v>168</v>
      </c>
      <c r="C82" s="65" t="s">
        <v>165</v>
      </c>
      <c r="D82" s="66" t="s">
        <v>16</v>
      </c>
      <c r="E82" s="90">
        <v>1</v>
      </c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2"/>
      <c r="R82" s="92"/>
      <c r="S82" s="92"/>
      <c r="T82" s="92"/>
      <c r="U82" s="92"/>
      <c r="V82" s="93">
        <f t="shared" si="1"/>
        <v>0</v>
      </c>
      <c r="W82" s="94"/>
    </row>
    <row r="83" spans="1:23" ht="36.6" customHeight="1">
      <c r="A83" s="43"/>
      <c r="B83" s="64" t="s">
        <v>169</v>
      </c>
      <c r="C83" s="65" t="s">
        <v>170</v>
      </c>
      <c r="D83" s="66" t="s">
        <v>16</v>
      </c>
      <c r="E83" s="90">
        <v>2</v>
      </c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2">
        <v>2</v>
      </c>
      <c r="R83" s="92"/>
      <c r="S83" s="92"/>
      <c r="T83" s="92"/>
      <c r="U83" s="92"/>
      <c r="V83" s="93">
        <f t="shared" si="1"/>
        <v>2</v>
      </c>
      <c r="W83" s="94"/>
    </row>
    <row r="84" spans="1:23" ht="36.6" customHeight="1">
      <c r="A84" s="43"/>
      <c r="B84" s="64"/>
      <c r="C84" s="65" t="s">
        <v>171</v>
      </c>
      <c r="D84" s="66" t="s">
        <v>16</v>
      </c>
      <c r="E84" s="90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2">
        <v>1</v>
      </c>
      <c r="R84" s="92"/>
      <c r="S84" s="92"/>
      <c r="T84" s="92"/>
      <c r="U84" s="92"/>
      <c r="V84" s="93">
        <f t="shared" si="1"/>
        <v>1</v>
      </c>
      <c r="W84" s="94"/>
    </row>
    <row r="85" spans="1:23" ht="17.55" customHeight="1">
      <c r="A85" s="43"/>
      <c r="B85" s="201" t="s">
        <v>172</v>
      </c>
      <c r="C85" s="206"/>
      <c r="D85" s="202"/>
      <c r="E85" s="90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207"/>
      <c r="R85" s="208"/>
      <c r="S85" s="208"/>
      <c r="T85" s="208"/>
      <c r="U85" s="208"/>
      <c r="V85" s="208"/>
      <c r="W85" s="209"/>
    </row>
    <row r="86" spans="1:23" ht="36.6" customHeight="1">
      <c r="A86" s="43"/>
      <c r="B86" s="64" t="s">
        <v>173</v>
      </c>
      <c r="C86" s="65" t="s">
        <v>174</v>
      </c>
      <c r="D86" s="66" t="s">
        <v>68</v>
      </c>
      <c r="E86" s="90">
        <v>12000</v>
      </c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2"/>
      <c r="R86" s="92"/>
      <c r="S86" s="92"/>
      <c r="T86" s="92"/>
      <c r="U86" s="92"/>
      <c r="V86" s="93">
        <f t="shared" si="1"/>
        <v>0</v>
      </c>
      <c r="W86" s="94"/>
    </row>
    <row r="87" spans="1:23" ht="36.6" customHeight="1">
      <c r="A87" s="43"/>
      <c r="B87" s="64" t="s">
        <v>175</v>
      </c>
      <c r="C87" s="65" t="s">
        <v>176</v>
      </c>
      <c r="D87" s="66" t="s">
        <v>68</v>
      </c>
      <c r="E87" s="90">
        <v>8500</v>
      </c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2"/>
      <c r="R87" s="92"/>
      <c r="S87" s="92"/>
      <c r="T87" s="92"/>
      <c r="U87" s="92"/>
      <c r="V87" s="93">
        <f t="shared" si="1"/>
        <v>0</v>
      </c>
      <c r="W87" s="94"/>
    </row>
    <row r="88" spans="1:23" ht="36.6" customHeight="1">
      <c r="A88" s="43"/>
      <c r="B88" s="64" t="s">
        <v>177</v>
      </c>
      <c r="C88" s="65" t="s">
        <v>178</v>
      </c>
      <c r="D88" s="66" t="s">
        <v>68</v>
      </c>
      <c r="E88" s="90">
        <v>3500</v>
      </c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2"/>
      <c r="R88" s="92"/>
      <c r="S88" s="92"/>
      <c r="T88" s="92"/>
      <c r="U88" s="92"/>
      <c r="V88" s="93">
        <f t="shared" si="1"/>
        <v>0</v>
      </c>
      <c r="W88" s="94"/>
    </row>
    <row r="89" spans="1:23" ht="36.6" customHeight="1">
      <c r="A89" s="43"/>
      <c r="B89" s="64" t="s">
        <v>179</v>
      </c>
      <c r="C89" s="65" t="s">
        <v>180</v>
      </c>
      <c r="D89" s="66" t="s">
        <v>77</v>
      </c>
      <c r="E89" s="90">
        <v>850</v>
      </c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2">
        <v>850</v>
      </c>
      <c r="R89" s="92"/>
      <c r="S89" s="92"/>
      <c r="T89" s="92"/>
      <c r="U89" s="92"/>
      <c r="V89" s="93">
        <f t="shared" si="1"/>
        <v>850</v>
      </c>
      <c r="W89" s="94"/>
    </row>
    <row r="90" spans="1:23" ht="36.6" customHeight="1">
      <c r="A90" s="43"/>
      <c r="B90" s="64" t="s">
        <v>181</v>
      </c>
      <c r="C90" s="65" t="s">
        <v>182</v>
      </c>
      <c r="D90" s="66" t="s">
        <v>77</v>
      </c>
      <c r="E90" s="90">
        <v>50</v>
      </c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2">
        <v>10</v>
      </c>
      <c r="R90" s="92"/>
      <c r="S90" s="92"/>
      <c r="T90" s="92"/>
      <c r="U90" s="92"/>
      <c r="V90" s="93">
        <f t="shared" si="1"/>
        <v>10</v>
      </c>
      <c r="W90" s="94"/>
    </row>
    <row r="91" spans="1:23" ht="36.6" customHeight="1">
      <c r="A91" s="43"/>
      <c r="B91" s="64" t="s">
        <v>183</v>
      </c>
      <c r="C91" s="65" t="s">
        <v>184</v>
      </c>
      <c r="D91" s="66" t="s">
        <v>77</v>
      </c>
      <c r="E91" s="90">
        <v>20</v>
      </c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2">
        <v>6</v>
      </c>
      <c r="R91" s="92"/>
      <c r="S91" s="92"/>
      <c r="T91" s="92"/>
      <c r="U91" s="92"/>
      <c r="V91" s="93">
        <f t="shared" si="1"/>
        <v>6</v>
      </c>
      <c r="W91" s="94"/>
    </row>
    <row r="92" spans="1:23" ht="36.6" customHeight="1">
      <c r="A92" s="43"/>
      <c r="B92" s="64" t="s">
        <v>185</v>
      </c>
      <c r="C92" s="65" t="s">
        <v>186</v>
      </c>
      <c r="D92" s="66" t="s">
        <v>77</v>
      </c>
      <c r="E92" s="90">
        <v>10</v>
      </c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2">
        <v>6</v>
      </c>
      <c r="R92" s="92"/>
      <c r="S92" s="92"/>
      <c r="T92" s="92"/>
      <c r="U92" s="92"/>
      <c r="V92" s="93">
        <f t="shared" si="1"/>
        <v>6</v>
      </c>
      <c r="W92" s="94"/>
    </row>
    <row r="93" spans="1:23" ht="36.6" customHeight="1">
      <c r="A93" s="43"/>
      <c r="B93" s="64" t="s">
        <v>187</v>
      </c>
      <c r="C93" s="65" t="s">
        <v>188</v>
      </c>
      <c r="D93" s="66" t="s">
        <v>77</v>
      </c>
      <c r="E93" s="90">
        <v>5</v>
      </c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2"/>
      <c r="R93" s="92"/>
      <c r="S93" s="92"/>
      <c r="T93" s="92"/>
      <c r="U93" s="92"/>
      <c r="V93" s="93">
        <f t="shared" si="1"/>
        <v>0</v>
      </c>
      <c r="W93" s="94"/>
    </row>
    <row r="94" spans="1:23" ht="36.6" customHeight="1">
      <c r="A94" s="43"/>
      <c r="B94" s="64" t="s">
        <v>189</v>
      </c>
      <c r="C94" s="65" t="s">
        <v>190</v>
      </c>
      <c r="D94" s="66" t="s">
        <v>77</v>
      </c>
      <c r="E94" s="90">
        <v>5</v>
      </c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2"/>
      <c r="R94" s="92"/>
      <c r="S94" s="92"/>
      <c r="T94" s="92"/>
      <c r="U94" s="92"/>
      <c r="V94" s="93">
        <f t="shared" si="1"/>
        <v>0</v>
      </c>
      <c r="W94" s="94"/>
    </row>
    <row r="95" spans="1:23" ht="36.6" customHeight="1">
      <c r="A95" s="43"/>
      <c r="B95" s="64" t="s">
        <v>191</v>
      </c>
      <c r="C95" s="65" t="s">
        <v>192</v>
      </c>
      <c r="D95" s="66" t="s">
        <v>68</v>
      </c>
      <c r="E95" s="90">
        <v>12760</v>
      </c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2">
        <v>200</v>
      </c>
      <c r="R95" s="92">
        <v>20</v>
      </c>
      <c r="S95" s="92">
        <v>20</v>
      </c>
      <c r="T95" s="92">
        <v>20</v>
      </c>
      <c r="U95" s="92"/>
      <c r="V95" s="93">
        <f t="shared" si="1"/>
        <v>260</v>
      </c>
      <c r="W95" s="94"/>
    </row>
    <row r="96" spans="1:23" ht="36.6" customHeight="1">
      <c r="A96" s="43"/>
      <c r="B96" s="64" t="s">
        <v>193</v>
      </c>
      <c r="C96" s="65" t="s">
        <v>194</v>
      </c>
      <c r="D96" s="66" t="s">
        <v>68</v>
      </c>
      <c r="E96" s="90">
        <v>13663</v>
      </c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2">
        <v>200</v>
      </c>
      <c r="R96" s="92"/>
      <c r="S96" s="92"/>
      <c r="T96" s="92"/>
      <c r="U96" s="92"/>
      <c r="V96" s="93">
        <f t="shared" si="1"/>
        <v>200</v>
      </c>
      <c r="W96" s="94"/>
    </row>
    <row r="97" spans="1:23" ht="36.6" customHeight="1">
      <c r="A97" s="43"/>
      <c r="B97" s="64"/>
      <c r="C97" s="65" t="s">
        <v>195</v>
      </c>
      <c r="D97" s="66"/>
      <c r="E97" s="90">
        <v>13663</v>
      </c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2"/>
      <c r="R97" s="92"/>
      <c r="S97" s="92"/>
      <c r="T97" s="92"/>
      <c r="U97" s="92"/>
      <c r="V97" s="93">
        <f t="shared" si="1"/>
        <v>0</v>
      </c>
      <c r="W97" s="94"/>
    </row>
    <row r="98" spans="1:23" ht="36.6" customHeight="1">
      <c r="A98" s="43"/>
      <c r="B98" s="64" t="s">
        <v>196</v>
      </c>
      <c r="C98" s="65" t="s">
        <v>197</v>
      </c>
      <c r="D98" s="66" t="s">
        <v>68</v>
      </c>
      <c r="E98" s="90">
        <v>2925</v>
      </c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2"/>
      <c r="R98" s="92">
        <v>20</v>
      </c>
      <c r="S98" s="92">
        <v>20</v>
      </c>
      <c r="T98" s="92">
        <v>20</v>
      </c>
      <c r="U98" s="92"/>
      <c r="V98" s="93">
        <f t="shared" si="1"/>
        <v>60</v>
      </c>
      <c r="W98" s="94"/>
    </row>
    <row r="99" spans="1:23" ht="36.6" customHeight="1">
      <c r="A99" s="43"/>
      <c r="B99" s="64"/>
      <c r="C99" s="65" t="s">
        <v>198</v>
      </c>
      <c r="D99" s="66"/>
      <c r="E99" s="90">
        <v>2925</v>
      </c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2"/>
      <c r="R99" s="92"/>
      <c r="S99" s="92"/>
      <c r="T99" s="92"/>
      <c r="U99" s="92"/>
      <c r="V99" s="93">
        <f t="shared" si="1"/>
        <v>0</v>
      </c>
      <c r="W99" s="94"/>
    </row>
    <row r="100" spans="1:23" ht="36.6" customHeight="1">
      <c r="A100" s="43"/>
      <c r="B100" s="64" t="s">
        <v>199</v>
      </c>
      <c r="C100" s="65" t="s">
        <v>200</v>
      </c>
      <c r="D100" s="66" t="s">
        <v>68</v>
      </c>
      <c r="E100" s="90">
        <v>44190</v>
      </c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2">
        <v>120</v>
      </c>
      <c r="R100" s="92">
        <v>890</v>
      </c>
      <c r="S100" s="92">
        <v>850</v>
      </c>
      <c r="T100" s="92">
        <v>740</v>
      </c>
      <c r="U100" s="92"/>
      <c r="V100" s="93">
        <f t="shared" si="1"/>
        <v>2600</v>
      </c>
      <c r="W100" s="94"/>
    </row>
    <row r="101" spans="1:23" ht="36.6" customHeight="1">
      <c r="A101" s="43"/>
      <c r="B101" s="64" t="s">
        <v>201</v>
      </c>
      <c r="C101" s="65" t="s">
        <v>202</v>
      </c>
      <c r="D101" s="66" t="s">
        <v>68</v>
      </c>
      <c r="E101" s="90">
        <v>21240</v>
      </c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2">
        <v>100</v>
      </c>
      <c r="R101" s="92">
        <v>540</v>
      </c>
      <c r="S101" s="92">
        <v>500</v>
      </c>
      <c r="T101" s="92">
        <v>440</v>
      </c>
      <c r="U101" s="92"/>
      <c r="V101" s="93">
        <f t="shared" si="1"/>
        <v>1580</v>
      </c>
      <c r="W101" s="94"/>
    </row>
    <row r="102" spans="1:23" ht="36.6" customHeight="1">
      <c r="A102" s="43"/>
      <c r="B102" s="64"/>
      <c r="C102" s="65" t="s">
        <v>203</v>
      </c>
      <c r="D102" s="66"/>
      <c r="E102" s="90">
        <v>21240</v>
      </c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2"/>
      <c r="R102" s="92"/>
      <c r="S102" s="92"/>
      <c r="T102" s="92"/>
      <c r="U102" s="92"/>
      <c r="V102" s="93">
        <f t="shared" si="1"/>
        <v>0</v>
      </c>
      <c r="W102" s="94"/>
    </row>
    <row r="103" spans="1:23" ht="36.6" customHeight="1">
      <c r="A103" s="43"/>
      <c r="B103" s="64" t="s">
        <v>204</v>
      </c>
      <c r="C103" s="65" t="s">
        <v>205</v>
      </c>
      <c r="D103" s="66" t="s">
        <v>68</v>
      </c>
      <c r="E103" s="90">
        <v>31788</v>
      </c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2">
        <v>20</v>
      </c>
      <c r="R103" s="92">
        <v>350</v>
      </c>
      <c r="S103" s="92">
        <v>350</v>
      </c>
      <c r="T103" s="92">
        <v>300</v>
      </c>
      <c r="U103" s="92"/>
      <c r="V103" s="93">
        <f t="shared" si="1"/>
        <v>1020</v>
      </c>
      <c r="W103" s="94"/>
    </row>
    <row r="104" spans="1:23" ht="36.6" customHeight="1">
      <c r="A104" s="43"/>
      <c r="B104" s="64"/>
      <c r="C104" s="65" t="s">
        <v>206</v>
      </c>
      <c r="D104" s="66"/>
      <c r="E104" s="90">
        <v>31788</v>
      </c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2"/>
      <c r="R104" s="92"/>
      <c r="S104" s="92"/>
      <c r="T104" s="92"/>
      <c r="U104" s="92"/>
      <c r="V104" s="93">
        <f t="shared" si="1"/>
        <v>0</v>
      </c>
      <c r="W104" s="94"/>
    </row>
    <row r="105" spans="1:23" ht="36.6" customHeight="1">
      <c r="A105" s="43"/>
      <c r="B105" s="64" t="s">
        <v>207</v>
      </c>
      <c r="C105" s="65" t="s">
        <v>208</v>
      </c>
      <c r="D105" s="66" t="s">
        <v>68</v>
      </c>
      <c r="E105" s="90">
        <v>320</v>
      </c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2">
        <v>8</v>
      </c>
      <c r="R105" s="92"/>
      <c r="S105" s="92"/>
      <c r="T105" s="92"/>
      <c r="U105" s="92"/>
      <c r="V105" s="93">
        <f t="shared" si="1"/>
        <v>8</v>
      </c>
      <c r="W105" s="94"/>
    </row>
    <row r="106" spans="1:23" ht="36.6" customHeight="1">
      <c r="A106" s="43"/>
      <c r="B106" s="64" t="s">
        <v>209</v>
      </c>
      <c r="C106" s="65" t="s">
        <v>210</v>
      </c>
      <c r="D106" s="66" t="s">
        <v>68</v>
      </c>
      <c r="E106" s="90">
        <v>384</v>
      </c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2">
        <v>8</v>
      </c>
      <c r="R106" s="92"/>
      <c r="S106" s="92"/>
      <c r="T106" s="92"/>
      <c r="U106" s="92"/>
      <c r="V106" s="93">
        <f t="shared" si="1"/>
        <v>8</v>
      </c>
      <c r="W106" s="94"/>
    </row>
    <row r="107" spans="1:23" ht="36.6" customHeight="1">
      <c r="A107" s="43"/>
      <c r="B107" s="64"/>
      <c r="C107" s="65" t="s">
        <v>211</v>
      </c>
      <c r="D107" s="66"/>
      <c r="E107" s="90">
        <v>384</v>
      </c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2"/>
      <c r="R107" s="92"/>
      <c r="S107" s="92"/>
      <c r="T107" s="92"/>
      <c r="U107" s="92"/>
      <c r="V107" s="93">
        <f t="shared" si="1"/>
        <v>0</v>
      </c>
      <c r="W107" s="94"/>
    </row>
    <row r="108" spans="1:23" ht="36.6" customHeight="1">
      <c r="A108" s="43"/>
      <c r="B108" s="64" t="s">
        <v>212</v>
      </c>
      <c r="C108" s="65" t="s">
        <v>213</v>
      </c>
      <c r="D108" s="66" t="s">
        <v>68</v>
      </c>
      <c r="E108" s="90">
        <v>1200</v>
      </c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2">
        <v>190</v>
      </c>
      <c r="R108" s="92"/>
      <c r="S108" s="92"/>
      <c r="T108" s="92"/>
      <c r="U108" s="92"/>
      <c r="V108" s="93">
        <f t="shared" si="1"/>
        <v>190</v>
      </c>
      <c r="W108" s="94"/>
    </row>
    <row r="109" spans="1:23" ht="36.6" customHeight="1">
      <c r="A109" s="43"/>
      <c r="B109" s="64" t="s">
        <v>214</v>
      </c>
      <c r="C109" s="65" t="s">
        <v>215</v>
      </c>
      <c r="D109" s="66" t="s">
        <v>68</v>
      </c>
      <c r="E109" s="90">
        <v>1560</v>
      </c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2">
        <v>190</v>
      </c>
      <c r="R109" s="92"/>
      <c r="S109" s="92"/>
      <c r="T109" s="92"/>
      <c r="U109" s="92"/>
      <c r="V109" s="93">
        <f t="shared" si="1"/>
        <v>190</v>
      </c>
      <c r="W109" s="94"/>
    </row>
    <row r="110" spans="1:23" ht="36.6" customHeight="1">
      <c r="A110" s="43"/>
      <c r="B110" s="64"/>
      <c r="C110" s="65" t="s">
        <v>216</v>
      </c>
      <c r="D110" s="66"/>
      <c r="E110" s="90">
        <v>1560</v>
      </c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2"/>
      <c r="R110" s="92"/>
      <c r="S110" s="92"/>
      <c r="T110" s="92"/>
      <c r="U110" s="92"/>
      <c r="V110" s="93">
        <f t="shared" si="1"/>
        <v>0</v>
      </c>
      <c r="W110" s="94"/>
    </row>
    <row r="111" spans="1:23" ht="36.6" customHeight="1">
      <c r="A111" s="43"/>
      <c r="B111" s="64" t="s">
        <v>217</v>
      </c>
      <c r="C111" s="65" t="s">
        <v>218</v>
      </c>
      <c r="D111" s="66" t="s">
        <v>68</v>
      </c>
      <c r="E111" s="90">
        <v>50</v>
      </c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2"/>
      <c r="R111" s="92"/>
      <c r="S111" s="92"/>
      <c r="T111" s="92"/>
      <c r="U111" s="92"/>
      <c r="V111" s="93">
        <f t="shared" si="1"/>
        <v>0</v>
      </c>
      <c r="W111" s="94"/>
    </row>
    <row r="112" spans="1:23" ht="36.6" customHeight="1">
      <c r="A112" s="43"/>
      <c r="B112" s="64" t="s">
        <v>219</v>
      </c>
      <c r="C112" s="65" t="s">
        <v>220</v>
      </c>
      <c r="D112" s="66" t="s">
        <v>68</v>
      </c>
      <c r="E112" s="90">
        <v>60</v>
      </c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2"/>
      <c r="R112" s="92"/>
      <c r="S112" s="92"/>
      <c r="T112" s="92"/>
      <c r="U112" s="92"/>
      <c r="V112" s="93">
        <f t="shared" si="1"/>
        <v>0</v>
      </c>
      <c r="W112" s="94"/>
    </row>
    <row r="113" spans="1:23" ht="36.6" customHeight="1">
      <c r="A113" s="43"/>
      <c r="B113" s="64"/>
      <c r="C113" s="65" t="s">
        <v>221</v>
      </c>
      <c r="D113" s="66"/>
      <c r="E113" s="90">
        <v>60</v>
      </c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2"/>
      <c r="R113" s="92"/>
      <c r="S113" s="92"/>
      <c r="T113" s="92"/>
      <c r="U113" s="92"/>
      <c r="V113" s="93">
        <f t="shared" si="1"/>
        <v>0</v>
      </c>
      <c r="W113" s="94"/>
    </row>
    <row r="114" spans="1:23" ht="36.6" customHeight="1">
      <c r="A114" s="43"/>
      <c r="B114" s="64" t="s">
        <v>222</v>
      </c>
      <c r="C114" s="65" t="s">
        <v>223</v>
      </c>
      <c r="D114" s="66" t="s">
        <v>68</v>
      </c>
      <c r="E114" s="90">
        <v>300</v>
      </c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2"/>
      <c r="R114" s="92"/>
      <c r="S114" s="92"/>
      <c r="T114" s="92"/>
      <c r="U114" s="92"/>
      <c r="V114" s="93">
        <f t="shared" si="1"/>
        <v>0</v>
      </c>
      <c r="W114" s="94"/>
    </row>
    <row r="115" spans="1:23" ht="36.6" customHeight="1">
      <c r="A115" s="43"/>
      <c r="B115" s="64" t="s">
        <v>224</v>
      </c>
      <c r="C115" s="65" t="s">
        <v>225</v>
      </c>
      <c r="D115" s="66" t="s">
        <v>68</v>
      </c>
      <c r="E115" s="90">
        <v>360</v>
      </c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2"/>
      <c r="R115" s="92"/>
      <c r="S115" s="92"/>
      <c r="T115" s="92"/>
      <c r="U115" s="92"/>
      <c r="V115" s="93">
        <f t="shared" si="1"/>
        <v>0</v>
      </c>
      <c r="W115" s="94"/>
    </row>
    <row r="116" spans="1:23" ht="36.6" customHeight="1">
      <c r="A116" s="43"/>
      <c r="B116" s="64"/>
      <c r="C116" s="65" t="s">
        <v>226</v>
      </c>
      <c r="D116" s="66"/>
      <c r="E116" s="90">
        <v>360</v>
      </c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2"/>
      <c r="R116" s="92"/>
      <c r="S116" s="92"/>
      <c r="T116" s="92"/>
      <c r="U116" s="92"/>
      <c r="V116" s="93">
        <f t="shared" si="1"/>
        <v>0</v>
      </c>
      <c r="W116" s="94"/>
    </row>
    <row r="117" spans="1:23" ht="36.6" customHeight="1">
      <c r="A117" s="43"/>
      <c r="B117" s="64" t="s">
        <v>227</v>
      </c>
      <c r="C117" s="65" t="s">
        <v>228</v>
      </c>
      <c r="D117" s="66" t="s">
        <v>68</v>
      </c>
      <c r="E117" s="90">
        <v>50</v>
      </c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2">
        <v>8</v>
      </c>
      <c r="R117" s="92"/>
      <c r="S117" s="92"/>
      <c r="T117" s="92"/>
      <c r="U117" s="92"/>
      <c r="V117" s="93">
        <f t="shared" si="1"/>
        <v>8</v>
      </c>
      <c r="W117" s="94"/>
    </row>
    <row r="118" spans="1:23" ht="36.6" customHeight="1">
      <c r="A118" s="43"/>
      <c r="B118" s="64" t="s">
        <v>229</v>
      </c>
      <c r="C118" s="65" t="s">
        <v>230</v>
      </c>
      <c r="D118" s="66" t="s">
        <v>68</v>
      </c>
      <c r="E118" s="90">
        <v>60</v>
      </c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2">
        <v>8</v>
      </c>
      <c r="R118" s="92"/>
      <c r="S118" s="92"/>
      <c r="T118" s="92"/>
      <c r="U118" s="92"/>
      <c r="V118" s="93">
        <f t="shared" si="1"/>
        <v>8</v>
      </c>
      <c r="W118" s="94"/>
    </row>
    <row r="119" spans="1:23" ht="36.6" customHeight="1">
      <c r="A119" s="43"/>
      <c r="B119" s="64"/>
      <c r="C119" s="65" t="s">
        <v>221</v>
      </c>
      <c r="D119" s="66"/>
      <c r="E119" s="90">
        <v>60</v>
      </c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2"/>
      <c r="R119" s="92"/>
      <c r="S119" s="92"/>
      <c r="T119" s="92"/>
      <c r="U119" s="92"/>
      <c r="V119" s="93">
        <f t="shared" si="1"/>
        <v>0</v>
      </c>
      <c r="W119" s="94"/>
    </row>
    <row r="120" spans="1:23" ht="36.6" customHeight="1">
      <c r="A120" s="43"/>
      <c r="B120" s="64" t="s">
        <v>231</v>
      </c>
      <c r="C120" s="65" t="s">
        <v>232</v>
      </c>
      <c r="D120" s="66" t="s">
        <v>68</v>
      </c>
      <c r="E120" s="90">
        <v>338</v>
      </c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2">
        <v>20</v>
      </c>
      <c r="R120" s="92"/>
      <c r="S120" s="92"/>
      <c r="T120" s="92"/>
      <c r="U120" s="92"/>
      <c r="V120" s="93">
        <f t="shared" si="1"/>
        <v>20</v>
      </c>
      <c r="W120" s="94"/>
    </row>
    <row r="121" spans="1:23" ht="36.6" customHeight="1">
      <c r="A121" s="43"/>
      <c r="B121" s="64"/>
      <c r="C121" s="65" t="s">
        <v>233</v>
      </c>
      <c r="D121" s="66"/>
      <c r="E121" s="90">
        <v>338</v>
      </c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2"/>
      <c r="R121" s="92"/>
      <c r="S121" s="92"/>
      <c r="T121" s="92"/>
      <c r="U121" s="92"/>
      <c r="V121" s="93">
        <f t="shared" si="1"/>
        <v>0</v>
      </c>
      <c r="W121" s="94"/>
    </row>
    <row r="122" spans="1:23" ht="36.6" customHeight="1">
      <c r="A122" s="43"/>
      <c r="B122" s="64" t="s">
        <v>234</v>
      </c>
      <c r="C122" s="65" t="s">
        <v>235</v>
      </c>
      <c r="D122" s="66" t="s">
        <v>68</v>
      </c>
      <c r="E122" s="90">
        <v>338</v>
      </c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2">
        <v>20</v>
      </c>
      <c r="R122" s="92"/>
      <c r="S122" s="92"/>
      <c r="T122" s="92"/>
      <c r="U122" s="92"/>
      <c r="V122" s="93">
        <f t="shared" si="1"/>
        <v>20</v>
      </c>
      <c r="W122" s="94"/>
    </row>
    <row r="123" spans="1:23" ht="36.6" customHeight="1">
      <c r="A123" s="43"/>
      <c r="B123" s="64"/>
      <c r="C123" s="65" t="s">
        <v>233</v>
      </c>
      <c r="D123" s="66"/>
      <c r="E123" s="90">
        <v>338</v>
      </c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2"/>
      <c r="R123" s="92"/>
      <c r="S123" s="92"/>
      <c r="T123" s="92"/>
      <c r="U123" s="92"/>
      <c r="V123" s="93">
        <f t="shared" si="1"/>
        <v>0</v>
      </c>
      <c r="W123" s="94"/>
    </row>
    <row r="124" spans="1:23" ht="36.6" customHeight="1">
      <c r="A124" s="43"/>
      <c r="B124" s="64" t="s">
        <v>236</v>
      </c>
      <c r="C124" s="65" t="s">
        <v>237</v>
      </c>
      <c r="D124" s="66" t="s">
        <v>68</v>
      </c>
      <c r="E124" s="90">
        <v>120</v>
      </c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2"/>
      <c r="R124" s="92"/>
      <c r="S124" s="92"/>
      <c r="T124" s="92"/>
      <c r="U124" s="92"/>
      <c r="V124" s="93">
        <f t="shared" si="1"/>
        <v>0</v>
      </c>
      <c r="W124" s="94"/>
    </row>
    <row r="125" spans="1:23" ht="36.6" customHeight="1">
      <c r="A125" s="43"/>
      <c r="B125" s="64" t="s">
        <v>238</v>
      </c>
      <c r="C125" s="65" t="s">
        <v>239</v>
      </c>
      <c r="D125" s="66" t="s">
        <v>68</v>
      </c>
      <c r="E125" s="90">
        <v>1440</v>
      </c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2"/>
      <c r="R125" s="92"/>
      <c r="S125" s="92"/>
      <c r="T125" s="92"/>
      <c r="U125" s="92"/>
      <c r="V125" s="93">
        <f t="shared" si="1"/>
        <v>0</v>
      </c>
      <c r="W125" s="94"/>
    </row>
    <row r="126" spans="1:23" ht="36.6" customHeight="1">
      <c r="A126" s="43"/>
      <c r="B126" s="64"/>
      <c r="C126" s="65" t="s">
        <v>240</v>
      </c>
      <c r="D126" s="66"/>
      <c r="E126" s="90">
        <v>1440</v>
      </c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2"/>
      <c r="R126" s="92"/>
      <c r="S126" s="92"/>
      <c r="T126" s="92"/>
      <c r="U126" s="92"/>
      <c r="V126" s="93">
        <f t="shared" si="1"/>
        <v>0</v>
      </c>
      <c r="W126" s="94"/>
    </row>
    <row r="127" spans="1:23" ht="36.6" customHeight="1">
      <c r="A127" s="43"/>
      <c r="B127" s="64" t="s">
        <v>241</v>
      </c>
      <c r="C127" s="65" t="s">
        <v>242</v>
      </c>
      <c r="D127" s="66" t="s">
        <v>77</v>
      </c>
      <c r="E127" s="90">
        <v>1</v>
      </c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2"/>
      <c r="R127" s="92">
        <v>4</v>
      </c>
      <c r="S127" s="92">
        <v>4</v>
      </c>
      <c r="T127" s="92">
        <v>3</v>
      </c>
      <c r="U127" s="92"/>
      <c r="V127" s="93">
        <f t="shared" si="1"/>
        <v>11</v>
      </c>
      <c r="W127" s="94"/>
    </row>
    <row r="128" spans="1:23" ht="36.6" customHeight="1">
      <c r="A128" s="43"/>
      <c r="B128" s="64" t="s">
        <v>243</v>
      </c>
      <c r="C128" s="65" t="s">
        <v>244</v>
      </c>
      <c r="D128" s="66" t="s">
        <v>68</v>
      </c>
      <c r="E128" s="90">
        <v>120</v>
      </c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2">
        <v>200</v>
      </c>
      <c r="R128" s="92"/>
      <c r="S128" s="92"/>
      <c r="T128" s="92"/>
      <c r="U128" s="92"/>
      <c r="V128" s="93">
        <f t="shared" si="1"/>
        <v>200</v>
      </c>
      <c r="W128" s="94"/>
    </row>
    <row r="129" spans="1:23" ht="36.6" customHeight="1">
      <c r="A129" s="43"/>
      <c r="B129" s="64" t="s">
        <v>245</v>
      </c>
      <c r="C129" s="65" t="s">
        <v>246</v>
      </c>
      <c r="D129" s="66" t="s">
        <v>68</v>
      </c>
      <c r="E129" s="90">
        <v>120</v>
      </c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2">
        <v>200</v>
      </c>
      <c r="R129" s="92"/>
      <c r="S129" s="92"/>
      <c r="T129" s="92"/>
      <c r="U129" s="92"/>
      <c r="V129" s="93">
        <f t="shared" si="1"/>
        <v>200</v>
      </c>
      <c r="W129" s="94"/>
    </row>
    <row r="130" spans="1:23" ht="36.6" customHeight="1">
      <c r="A130" s="43"/>
      <c r="B130" s="64" t="s">
        <v>247</v>
      </c>
      <c r="C130" s="65" t="s">
        <v>248</v>
      </c>
      <c r="D130" s="66" t="s">
        <v>68</v>
      </c>
      <c r="E130" s="90">
        <v>4200</v>
      </c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2"/>
      <c r="R130" s="92"/>
      <c r="S130" s="92"/>
      <c r="T130" s="92"/>
      <c r="U130" s="92"/>
      <c r="V130" s="93">
        <f t="shared" si="1"/>
        <v>0</v>
      </c>
      <c r="W130" s="94"/>
    </row>
    <row r="131" spans="1:23" ht="36.6" customHeight="1">
      <c r="A131" s="43"/>
      <c r="B131" s="64" t="s">
        <v>249</v>
      </c>
      <c r="C131" s="65" t="s">
        <v>250</v>
      </c>
      <c r="D131" s="66" t="s">
        <v>68</v>
      </c>
      <c r="E131" s="90">
        <v>5040</v>
      </c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2"/>
      <c r="R131" s="92"/>
      <c r="S131" s="92"/>
      <c r="T131" s="92"/>
      <c r="U131" s="92"/>
      <c r="V131" s="93">
        <f t="shared" si="1"/>
        <v>0</v>
      </c>
      <c r="W131" s="94"/>
    </row>
    <row r="132" spans="1:23" ht="36.6" customHeight="1">
      <c r="A132" s="43"/>
      <c r="B132" s="64"/>
      <c r="C132" s="65" t="s">
        <v>251</v>
      </c>
      <c r="D132" s="66"/>
      <c r="E132" s="90">
        <v>5040</v>
      </c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2"/>
      <c r="R132" s="92"/>
      <c r="S132" s="92"/>
      <c r="T132" s="92"/>
      <c r="U132" s="92"/>
      <c r="V132" s="93">
        <f t="shared" ref="V132:V168" si="2">Q132+R132+S132+T132+U132</f>
        <v>0</v>
      </c>
      <c r="W132" s="94"/>
    </row>
    <row r="133" spans="1:23" ht="36.6" customHeight="1">
      <c r="A133" s="43"/>
      <c r="B133" s="64" t="s">
        <v>252</v>
      </c>
      <c r="C133" s="65" t="s">
        <v>253</v>
      </c>
      <c r="D133" s="66"/>
      <c r="E133" s="90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2"/>
      <c r="R133" s="92"/>
      <c r="S133" s="92"/>
      <c r="T133" s="92"/>
      <c r="U133" s="92"/>
      <c r="V133" s="93"/>
      <c r="W133" s="94"/>
    </row>
    <row r="134" spans="1:23" ht="36.6" customHeight="1">
      <c r="A134" s="43"/>
      <c r="B134" s="64" t="s">
        <v>254</v>
      </c>
      <c r="C134" s="65" t="s">
        <v>255</v>
      </c>
      <c r="D134" s="66" t="s">
        <v>68</v>
      </c>
      <c r="E134" s="90">
        <v>350</v>
      </c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2"/>
      <c r="R134" s="92"/>
      <c r="S134" s="92"/>
      <c r="T134" s="92"/>
      <c r="U134" s="92"/>
      <c r="V134" s="93">
        <f t="shared" si="2"/>
        <v>0</v>
      </c>
      <c r="W134" s="94"/>
    </row>
    <row r="135" spans="1:23" ht="36.6" customHeight="1">
      <c r="A135" s="43"/>
      <c r="B135" s="64" t="s">
        <v>256</v>
      </c>
      <c r="C135" s="65" t="s">
        <v>257</v>
      </c>
      <c r="D135" s="66" t="s">
        <v>68</v>
      </c>
      <c r="E135" s="90">
        <v>350</v>
      </c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2"/>
      <c r="R135" s="92"/>
      <c r="S135" s="92"/>
      <c r="T135" s="92"/>
      <c r="U135" s="92"/>
      <c r="V135" s="93">
        <f t="shared" si="2"/>
        <v>0</v>
      </c>
      <c r="W135" s="94"/>
    </row>
    <row r="136" spans="1:23" ht="36.6" customHeight="1">
      <c r="A136" s="43"/>
      <c r="B136" s="64" t="s">
        <v>258</v>
      </c>
      <c r="C136" s="65" t="s">
        <v>259</v>
      </c>
      <c r="D136" s="66" t="s">
        <v>68</v>
      </c>
      <c r="E136" s="90">
        <v>100</v>
      </c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2"/>
      <c r="R136" s="92"/>
      <c r="S136" s="92"/>
      <c r="T136" s="92"/>
      <c r="U136" s="92"/>
      <c r="V136" s="93">
        <f t="shared" si="2"/>
        <v>0</v>
      </c>
      <c r="W136" s="94"/>
    </row>
    <row r="137" spans="1:23" ht="36.6" customHeight="1">
      <c r="A137" s="43"/>
      <c r="B137" s="64" t="s">
        <v>260</v>
      </c>
      <c r="C137" s="65" t="s">
        <v>261</v>
      </c>
      <c r="D137" s="66" t="s">
        <v>68</v>
      </c>
      <c r="E137" s="90">
        <v>100</v>
      </c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2"/>
      <c r="R137" s="92"/>
      <c r="S137" s="92"/>
      <c r="T137" s="92"/>
      <c r="U137" s="92"/>
      <c r="V137" s="93">
        <f t="shared" si="2"/>
        <v>0</v>
      </c>
      <c r="W137" s="94"/>
    </row>
    <row r="138" spans="1:23" ht="36.6" customHeight="1">
      <c r="A138" s="43"/>
      <c r="B138" s="64" t="s">
        <v>262</v>
      </c>
      <c r="C138" s="65" t="s">
        <v>263</v>
      </c>
      <c r="D138" s="66" t="s">
        <v>77</v>
      </c>
      <c r="E138" s="90">
        <v>200</v>
      </c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2"/>
      <c r="R138" s="92"/>
      <c r="S138" s="92"/>
      <c r="T138" s="92"/>
      <c r="U138" s="92"/>
      <c r="V138" s="93">
        <f t="shared" si="2"/>
        <v>0</v>
      </c>
      <c r="W138" s="94"/>
    </row>
    <row r="139" spans="1:23" ht="36.6" customHeight="1">
      <c r="A139" s="43"/>
      <c r="B139" s="64" t="s">
        <v>264</v>
      </c>
      <c r="C139" s="65" t="s">
        <v>265</v>
      </c>
      <c r="D139" s="66" t="s">
        <v>16</v>
      </c>
      <c r="E139" s="90">
        <v>200</v>
      </c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2"/>
      <c r="R139" s="92"/>
      <c r="S139" s="92"/>
      <c r="T139" s="92"/>
      <c r="U139" s="92"/>
      <c r="V139" s="93">
        <f t="shared" si="2"/>
        <v>0</v>
      </c>
      <c r="W139" s="94"/>
    </row>
    <row r="140" spans="1:23" ht="36.6" customHeight="1">
      <c r="A140" s="43"/>
      <c r="B140" s="64" t="s">
        <v>266</v>
      </c>
      <c r="C140" s="65" t="s">
        <v>267</v>
      </c>
      <c r="D140" s="66" t="s">
        <v>68</v>
      </c>
      <c r="E140" s="90">
        <v>10000</v>
      </c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2"/>
      <c r="R140" s="92"/>
      <c r="S140" s="92"/>
      <c r="T140" s="92"/>
      <c r="U140" s="92"/>
      <c r="V140" s="93">
        <f t="shared" si="2"/>
        <v>0</v>
      </c>
      <c r="W140" s="94"/>
    </row>
    <row r="141" spans="1:23" ht="36.6" customHeight="1">
      <c r="A141" s="43"/>
      <c r="B141" s="64" t="s">
        <v>268</v>
      </c>
      <c r="C141" s="65" t="s">
        <v>269</v>
      </c>
      <c r="D141" s="66" t="s">
        <v>68</v>
      </c>
      <c r="E141" s="90">
        <v>5000</v>
      </c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2"/>
      <c r="R141" s="92"/>
      <c r="S141" s="92"/>
      <c r="T141" s="92"/>
      <c r="U141" s="92"/>
      <c r="V141" s="93">
        <f t="shared" si="2"/>
        <v>0</v>
      </c>
      <c r="W141" s="94"/>
    </row>
    <row r="142" spans="1:23" ht="36.6" customHeight="1">
      <c r="A142" s="43"/>
      <c r="B142" s="64" t="s">
        <v>270</v>
      </c>
      <c r="C142" s="65" t="s">
        <v>271</v>
      </c>
      <c r="D142" s="66" t="s">
        <v>68</v>
      </c>
      <c r="E142" s="90">
        <v>5000</v>
      </c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2"/>
      <c r="R142" s="92"/>
      <c r="S142" s="92"/>
      <c r="T142" s="92"/>
      <c r="U142" s="92"/>
      <c r="V142" s="93">
        <f t="shared" si="2"/>
        <v>0</v>
      </c>
      <c r="W142" s="94"/>
    </row>
    <row r="143" spans="1:23" ht="19.5" customHeight="1">
      <c r="A143" s="43"/>
      <c r="B143" s="210" t="s">
        <v>272</v>
      </c>
      <c r="C143" s="211"/>
      <c r="D143" s="212"/>
      <c r="E143" s="90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207"/>
      <c r="R143" s="208"/>
      <c r="S143" s="208"/>
      <c r="T143" s="208"/>
      <c r="U143" s="208"/>
      <c r="V143" s="208"/>
      <c r="W143" s="209"/>
    </row>
    <row r="144" spans="1:23" ht="36.6" customHeight="1">
      <c r="A144" s="43"/>
      <c r="B144" s="64" t="s">
        <v>273</v>
      </c>
      <c r="C144" s="65" t="s">
        <v>274</v>
      </c>
      <c r="D144" s="66" t="s">
        <v>275</v>
      </c>
      <c r="E144" s="90">
        <v>20</v>
      </c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2"/>
      <c r="R144" s="92"/>
      <c r="S144" s="92"/>
      <c r="T144" s="92"/>
      <c r="U144" s="92"/>
      <c r="V144" s="93">
        <f t="shared" si="2"/>
        <v>0</v>
      </c>
      <c r="W144" s="94"/>
    </row>
    <row r="145" spans="1:23" ht="36.6" customHeight="1">
      <c r="A145" s="43"/>
      <c r="B145" s="64" t="s">
        <v>276</v>
      </c>
      <c r="C145" s="65" t="s">
        <v>277</v>
      </c>
      <c r="D145" s="66" t="s">
        <v>275</v>
      </c>
      <c r="E145" s="90">
        <v>50</v>
      </c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2"/>
      <c r="R145" s="92"/>
      <c r="S145" s="92"/>
      <c r="T145" s="92"/>
      <c r="U145" s="92"/>
      <c r="V145" s="93">
        <f t="shared" si="2"/>
        <v>0</v>
      </c>
      <c r="W145" s="94"/>
    </row>
    <row r="146" spans="1:23" ht="36.6" customHeight="1">
      <c r="A146" s="43"/>
      <c r="B146" s="64" t="s">
        <v>278</v>
      </c>
      <c r="C146" s="65" t="s">
        <v>279</v>
      </c>
      <c r="D146" s="66" t="s">
        <v>280</v>
      </c>
      <c r="E146" s="90">
        <v>1</v>
      </c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2"/>
      <c r="R146" s="92"/>
      <c r="S146" s="92"/>
      <c r="T146" s="92"/>
      <c r="U146" s="92"/>
      <c r="V146" s="93">
        <f t="shared" si="2"/>
        <v>0</v>
      </c>
      <c r="W146" s="94"/>
    </row>
    <row r="147" spans="1:23" ht="36.6" customHeight="1">
      <c r="A147" s="43"/>
      <c r="B147" s="64" t="s">
        <v>281</v>
      </c>
      <c r="C147" s="65" t="s">
        <v>282</v>
      </c>
      <c r="D147" s="66" t="s">
        <v>280</v>
      </c>
      <c r="E147" s="90">
        <v>1</v>
      </c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2"/>
      <c r="R147" s="92"/>
      <c r="S147" s="92"/>
      <c r="T147" s="92"/>
      <c r="U147" s="92"/>
      <c r="V147" s="93">
        <f t="shared" si="2"/>
        <v>0</v>
      </c>
      <c r="W147" s="94"/>
    </row>
    <row r="148" spans="1:23" ht="36.6" customHeight="1">
      <c r="A148" s="43"/>
      <c r="B148" s="64" t="s">
        <v>283</v>
      </c>
      <c r="C148" s="65" t="s">
        <v>284</v>
      </c>
      <c r="D148" s="66" t="s">
        <v>77</v>
      </c>
      <c r="E148" s="90">
        <v>1</v>
      </c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2"/>
      <c r="R148" s="92"/>
      <c r="S148" s="92"/>
      <c r="T148" s="92"/>
      <c r="U148" s="92"/>
      <c r="V148" s="93">
        <f t="shared" si="2"/>
        <v>0</v>
      </c>
      <c r="W148" s="94"/>
    </row>
    <row r="149" spans="1:23" ht="36.6" customHeight="1">
      <c r="A149" s="43"/>
      <c r="B149" s="64" t="s">
        <v>285</v>
      </c>
      <c r="C149" s="65" t="s">
        <v>286</v>
      </c>
      <c r="D149" s="66" t="s">
        <v>77</v>
      </c>
      <c r="E149" s="90">
        <v>26</v>
      </c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2"/>
      <c r="R149" s="92"/>
      <c r="S149" s="92"/>
      <c r="T149" s="92"/>
      <c r="U149" s="92"/>
      <c r="V149" s="93">
        <f t="shared" si="2"/>
        <v>0</v>
      </c>
      <c r="W149" s="94"/>
    </row>
    <row r="150" spans="1:23" ht="36.6" customHeight="1">
      <c r="A150" s="43"/>
      <c r="B150" s="64" t="s">
        <v>287</v>
      </c>
      <c r="C150" s="65" t="s">
        <v>288</v>
      </c>
      <c r="D150" s="66" t="s">
        <v>289</v>
      </c>
      <c r="E150" s="90">
        <v>20</v>
      </c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2"/>
      <c r="R150" s="92"/>
      <c r="S150" s="92"/>
      <c r="T150" s="92"/>
      <c r="U150" s="92"/>
      <c r="V150" s="93">
        <f t="shared" si="2"/>
        <v>0</v>
      </c>
      <c r="W150" s="94"/>
    </row>
    <row r="151" spans="1:23" ht="36.6" customHeight="1">
      <c r="A151" s="43"/>
      <c r="B151" s="64" t="s">
        <v>290</v>
      </c>
      <c r="C151" s="65" t="s">
        <v>291</v>
      </c>
      <c r="D151" s="66" t="s">
        <v>275</v>
      </c>
      <c r="E151" s="90">
        <v>10</v>
      </c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2"/>
      <c r="R151" s="92"/>
      <c r="S151" s="92"/>
      <c r="T151" s="92"/>
      <c r="U151" s="92"/>
      <c r="V151" s="93">
        <f t="shared" si="2"/>
        <v>0</v>
      </c>
      <c r="W151" s="94"/>
    </row>
    <row r="152" spans="1:23" ht="36.6" customHeight="1">
      <c r="A152" s="43"/>
      <c r="B152" s="64" t="s">
        <v>292</v>
      </c>
      <c r="C152" s="65" t="s">
        <v>293</v>
      </c>
      <c r="D152" s="66" t="s">
        <v>280</v>
      </c>
      <c r="E152" s="90">
        <v>1</v>
      </c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2"/>
      <c r="R152" s="92"/>
      <c r="S152" s="92"/>
      <c r="T152" s="92"/>
      <c r="U152" s="92"/>
      <c r="V152" s="93">
        <f t="shared" si="2"/>
        <v>0</v>
      </c>
      <c r="W152" s="94"/>
    </row>
    <row r="153" spans="1:23" ht="36.6" customHeight="1">
      <c r="A153" s="43"/>
      <c r="B153" s="64" t="s">
        <v>294</v>
      </c>
      <c r="C153" s="65" t="s">
        <v>295</v>
      </c>
      <c r="D153" s="66" t="s">
        <v>280</v>
      </c>
      <c r="E153" s="90">
        <v>1</v>
      </c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2"/>
      <c r="R153" s="92"/>
      <c r="S153" s="92"/>
      <c r="T153" s="92"/>
      <c r="U153" s="92"/>
      <c r="V153" s="93">
        <f t="shared" si="2"/>
        <v>0</v>
      </c>
      <c r="W153" s="94"/>
    </row>
    <row r="154" spans="1:23" ht="36.6" customHeight="1">
      <c r="A154" s="43"/>
      <c r="B154" s="98" t="s">
        <v>296</v>
      </c>
      <c r="C154" s="99" t="s">
        <v>297</v>
      </c>
      <c r="D154" s="66" t="s">
        <v>68</v>
      </c>
      <c r="E154" s="90">
        <v>1</v>
      </c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2"/>
      <c r="R154" s="92"/>
      <c r="S154" s="92"/>
      <c r="T154" s="92"/>
      <c r="U154" s="92"/>
      <c r="V154" s="93">
        <f t="shared" si="2"/>
        <v>0</v>
      </c>
      <c r="W154" s="94"/>
    </row>
    <row r="155" spans="1:23" ht="12.45" customHeight="1">
      <c r="A155" s="43"/>
      <c r="B155" s="198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200"/>
    </row>
    <row r="156" spans="1:23" ht="36.6" customHeight="1">
      <c r="A156" s="43"/>
      <c r="B156" s="101"/>
      <c r="C156" s="102" t="s">
        <v>298</v>
      </c>
      <c r="D156" s="102"/>
      <c r="E156" s="103" t="s">
        <v>16</v>
      </c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95"/>
      <c r="R156" s="95">
        <v>4</v>
      </c>
      <c r="S156" s="95">
        <v>4</v>
      </c>
      <c r="T156" s="95">
        <v>3</v>
      </c>
      <c r="U156" s="95"/>
      <c r="V156" s="96">
        <f t="shared" si="2"/>
        <v>11</v>
      </c>
      <c r="W156" s="105"/>
    </row>
    <row r="157" spans="1:23" hidden="1" outlineLevel="4">
      <c r="A157" s="43"/>
      <c r="B157" s="104"/>
      <c r="C157" s="102" t="s">
        <v>299</v>
      </c>
      <c r="D157" s="102"/>
      <c r="E157" s="103" t="s">
        <v>16</v>
      </c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95"/>
      <c r="R157" s="95"/>
      <c r="S157" s="95"/>
      <c r="T157" s="95"/>
      <c r="U157" s="95"/>
      <c r="V157" s="96">
        <f t="shared" si="2"/>
        <v>0</v>
      </c>
      <c r="W157" s="105"/>
    </row>
    <row r="158" spans="1:23" hidden="1" outlineLevel="4">
      <c r="A158" s="43"/>
      <c r="B158" s="104"/>
      <c r="C158" s="102" t="s">
        <v>300</v>
      </c>
      <c r="D158" s="102"/>
      <c r="E158" s="103" t="s">
        <v>16</v>
      </c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95"/>
      <c r="R158" s="95"/>
      <c r="S158" s="95"/>
      <c r="T158" s="95"/>
      <c r="U158" s="95"/>
      <c r="V158" s="96">
        <f t="shared" si="2"/>
        <v>0</v>
      </c>
      <c r="W158" s="105"/>
    </row>
    <row r="159" spans="1:23" ht="36.6" customHeight="1" collapsed="1">
      <c r="A159" s="43"/>
      <c r="B159" s="101"/>
      <c r="C159" s="102" t="s">
        <v>301</v>
      </c>
      <c r="D159" s="102" t="s">
        <v>280</v>
      </c>
      <c r="E159" s="103" t="s">
        <v>16</v>
      </c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95"/>
      <c r="R159" s="95">
        <v>4</v>
      </c>
      <c r="S159" s="95">
        <v>4</v>
      </c>
      <c r="T159" s="95">
        <v>3</v>
      </c>
      <c r="U159" s="95"/>
      <c r="V159" s="96">
        <f t="shared" si="2"/>
        <v>11</v>
      </c>
      <c r="W159" s="105"/>
    </row>
    <row r="160" spans="1:23" ht="36.6" customHeight="1">
      <c r="A160" s="43"/>
      <c r="B160" s="101"/>
      <c r="C160" s="102" t="s">
        <v>302</v>
      </c>
      <c r="D160" s="102"/>
      <c r="E160" s="103" t="s">
        <v>16</v>
      </c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95"/>
      <c r="R160" s="95"/>
      <c r="S160" s="95"/>
      <c r="T160" s="95"/>
      <c r="U160" s="95"/>
      <c r="V160" s="96">
        <f t="shared" si="2"/>
        <v>0</v>
      </c>
      <c r="W160" s="105"/>
    </row>
    <row r="161" spans="1:23" ht="36.6" customHeight="1">
      <c r="A161" s="43"/>
      <c r="B161" s="101"/>
      <c r="C161" s="102" t="s">
        <v>303</v>
      </c>
      <c r="D161" s="102"/>
      <c r="E161" s="103" t="s">
        <v>16</v>
      </c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95">
        <v>1</v>
      </c>
      <c r="R161" s="95"/>
      <c r="S161" s="95"/>
      <c r="T161" s="95"/>
      <c r="U161" s="95"/>
      <c r="V161" s="96">
        <f t="shared" si="2"/>
        <v>1</v>
      </c>
      <c r="W161" s="105"/>
    </row>
    <row r="162" spans="1:23" ht="36.6" customHeight="1">
      <c r="A162" s="43"/>
      <c r="B162" s="101"/>
      <c r="C162" s="102" t="s">
        <v>304</v>
      </c>
      <c r="D162" s="102" t="s">
        <v>16</v>
      </c>
      <c r="E162" s="103" t="s">
        <v>16</v>
      </c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95">
        <v>2</v>
      </c>
      <c r="R162" s="95">
        <v>4</v>
      </c>
      <c r="S162" s="95">
        <v>4</v>
      </c>
      <c r="T162" s="95">
        <v>3</v>
      </c>
      <c r="U162" s="95"/>
      <c r="V162" s="96">
        <f t="shared" si="2"/>
        <v>13</v>
      </c>
      <c r="W162" s="105"/>
    </row>
    <row r="163" spans="1:23" ht="36.6" customHeight="1">
      <c r="A163" s="43"/>
      <c r="B163" s="101"/>
      <c r="C163" s="102" t="s">
        <v>305</v>
      </c>
      <c r="D163" s="102"/>
      <c r="E163" s="103" t="s">
        <v>16</v>
      </c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95"/>
      <c r="R163" s="95"/>
      <c r="S163" s="95"/>
      <c r="T163" s="95"/>
      <c r="U163" s="95"/>
      <c r="V163" s="96">
        <f t="shared" si="2"/>
        <v>0</v>
      </c>
      <c r="W163" s="105"/>
    </row>
    <row r="164" spans="1:23" ht="36.6" customHeight="1">
      <c r="A164" s="43"/>
      <c r="B164" s="101"/>
      <c r="C164" s="102" t="s">
        <v>306</v>
      </c>
      <c r="D164" s="102"/>
      <c r="E164" s="103" t="s">
        <v>16</v>
      </c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95"/>
      <c r="R164" s="95"/>
      <c r="S164" s="95"/>
      <c r="T164" s="95"/>
      <c r="U164" s="95"/>
      <c r="V164" s="96">
        <f t="shared" si="2"/>
        <v>0</v>
      </c>
      <c r="W164" s="105"/>
    </row>
    <row r="165" spans="1:23" ht="36.6" customHeight="1">
      <c r="A165" s="43"/>
      <c r="B165" s="101"/>
      <c r="C165" s="102" t="s">
        <v>307</v>
      </c>
      <c r="D165" s="102"/>
      <c r="E165" s="103" t="s">
        <v>16</v>
      </c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95"/>
      <c r="R165" s="95"/>
      <c r="S165" s="95"/>
      <c r="T165" s="95"/>
      <c r="U165" s="95"/>
      <c r="V165" s="96">
        <f t="shared" si="2"/>
        <v>0</v>
      </c>
      <c r="W165" s="105"/>
    </row>
    <row r="166" spans="1:23" ht="36.6" customHeight="1">
      <c r="A166" s="43"/>
      <c r="B166" s="101"/>
      <c r="C166" s="102" t="s">
        <v>308</v>
      </c>
      <c r="D166" s="102"/>
      <c r="E166" s="103" t="s">
        <v>280</v>
      </c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95"/>
      <c r="R166" s="95">
        <v>1</v>
      </c>
      <c r="S166" s="95"/>
      <c r="T166" s="95"/>
      <c r="U166" s="95"/>
      <c r="V166" s="96">
        <f t="shared" si="2"/>
        <v>1</v>
      </c>
      <c r="W166" s="105"/>
    </row>
    <row r="167" spans="1:23" ht="36.6" customHeight="1">
      <c r="A167" s="43"/>
      <c r="B167" s="101"/>
      <c r="C167" s="102" t="s">
        <v>309</v>
      </c>
      <c r="D167" s="102"/>
      <c r="E167" s="103" t="s">
        <v>16</v>
      </c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95"/>
      <c r="R167" s="95">
        <v>4</v>
      </c>
      <c r="S167" s="95">
        <v>4</v>
      </c>
      <c r="T167" s="95">
        <v>3</v>
      </c>
      <c r="U167" s="95"/>
      <c r="V167" s="96">
        <f t="shared" si="2"/>
        <v>11</v>
      </c>
      <c r="W167" s="105"/>
    </row>
    <row r="168" spans="1:23" ht="36.6" customHeight="1">
      <c r="A168" s="43"/>
      <c r="B168" s="101"/>
      <c r="C168" s="102" t="s">
        <v>310</v>
      </c>
      <c r="D168" s="102"/>
      <c r="E168" s="103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95">
        <v>1</v>
      </c>
      <c r="R168" s="95"/>
      <c r="S168" s="95"/>
      <c r="T168" s="95"/>
      <c r="U168" s="95"/>
      <c r="V168" s="96">
        <f t="shared" si="2"/>
        <v>1</v>
      </c>
      <c r="W168" s="105"/>
    </row>
    <row r="169" spans="1:23" ht="36.6" customHeight="1">
      <c r="A169" s="43"/>
      <c r="B169" s="106"/>
      <c r="C169" s="106"/>
      <c r="Q169" s="107"/>
      <c r="R169" s="107"/>
      <c r="S169" s="107"/>
      <c r="T169" s="107"/>
      <c r="U169" s="107"/>
      <c r="V169" s="108"/>
      <c r="W169" s="109"/>
    </row>
    <row r="170" spans="1:23" ht="36.6" customHeight="1">
      <c r="A170" s="43"/>
      <c r="B170" s="106"/>
      <c r="C170" s="106"/>
      <c r="Q170" s="107"/>
      <c r="R170" s="107"/>
      <c r="S170" s="107"/>
      <c r="T170" s="107"/>
      <c r="U170" s="107"/>
      <c r="V170" s="108"/>
      <c r="W170" s="109"/>
    </row>
    <row r="171" spans="1:23" ht="36.6" customHeight="1">
      <c r="A171" s="43"/>
      <c r="B171" s="106"/>
      <c r="C171" s="106"/>
      <c r="Q171" s="107"/>
      <c r="R171" s="107"/>
      <c r="S171" s="107"/>
      <c r="T171" s="107"/>
      <c r="U171" s="107"/>
      <c r="V171" s="108"/>
      <c r="W171" s="109"/>
    </row>
    <row r="172" spans="1:23" ht="36.6" customHeight="1">
      <c r="A172" s="43"/>
      <c r="B172" s="106"/>
      <c r="C172" s="106"/>
      <c r="Q172" s="107"/>
      <c r="R172" s="107"/>
      <c r="S172" s="107"/>
      <c r="T172" s="107"/>
      <c r="U172" s="107"/>
      <c r="V172" s="108"/>
      <c r="W172" s="109"/>
    </row>
    <row r="173" spans="1:23" ht="36.6" customHeight="1">
      <c r="A173" s="43"/>
      <c r="B173" s="106"/>
      <c r="C173" s="106"/>
      <c r="Q173" s="107"/>
      <c r="R173" s="107"/>
      <c r="S173" s="107"/>
      <c r="T173" s="107"/>
      <c r="U173" s="107"/>
      <c r="V173" s="108"/>
      <c r="W173" s="109"/>
    </row>
    <row r="174" spans="1:23" ht="36.6" customHeight="1">
      <c r="A174" s="43"/>
      <c r="B174" s="106"/>
      <c r="C174" s="106"/>
      <c r="Q174" s="107"/>
      <c r="R174" s="107"/>
      <c r="S174" s="107"/>
      <c r="T174" s="107"/>
      <c r="U174" s="107"/>
      <c r="V174" s="108"/>
      <c r="W174" s="109"/>
    </row>
    <row r="175" spans="1:23" ht="36.6" customHeight="1">
      <c r="A175" s="43"/>
      <c r="B175" s="106"/>
      <c r="C175" s="106"/>
      <c r="Q175" s="107"/>
      <c r="R175" s="107"/>
      <c r="S175" s="107"/>
      <c r="T175" s="107"/>
      <c r="U175" s="107"/>
      <c r="V175" s="108"/>
      <c r="W175" s="109"/>
    </row>
    <row r="176" spans="1:23" ht="36.6" customHeight="1">
      <c r="A176" s="43"/>
      <c r="B176" s="106"/>
      <c r="C176" s="106"/>
      <c r="Q176" s="107"/>
      <c r="R176" s="107"/>
      <c r="S176" s="107"/>
      <c r="T176" s="107"/>
      <c r="U176" s="107"/>
      <c r="V176" s="108"/>
      <c r="W176" s="109"/>
    </row>
    <row r="177" spans="1:23" ht="36.6" customHeight="1">
      <c r="A177" s="43"/>
      <c r="B177" s="106"/>
      <c r="C177" s="106"/>
      <c r="Q177" s="107"/>
      <c r="R177" s="107"/>
      <c r="S177" s="107"/>
      <c r="T177" s="107"/>
      <c r="U177" s="107"/>
      <c r="V177" s="108"/>
      <c r="W177" s="109"/>
    </row>
    <row r="178" spans="1:23" ht="36.6" customHeight="1">
      <c r="A178" s="43"/>
      <c r="B178" s="106"/>
      <c r="C178" s="106"/>
      <c r="Q178" s="107"/>
      <c r="R178" s="107"/>
      <c r="S178" s="107"/>
      <c r="T178" s="107"/>
      <c r="U178" s="107"/>
      <c r="V178" s="108"/>
      <c r="W178" s="109"/>
    </row>
    <row r="179" spans="1:23" ht="36.6" customHeight="1">
      <c r="A179" s="43"/>
      <c r="B179" s="106"/>
      <c r="C179" s="106"/>
      <c r="Q179" s="107"/>
      <c r="R179" s="107"/>
      <c r="S179" s="107"/>
      <c r="T179" s="107"/>
      <c r="U179" s="107"/>
      <c r="V179" s="108"/>
      <c r="W179" s="109"/>
    </row>
    <row r="180" spans="1:23" ht="36.6" customHeight="1">
      <c r="A180" s="43"/>
      <c r="B180" s="106"/>
      <c r="C180" s="106"/>
      <c r="Q180" s="107"/>
      <c r="R180" s="107"/>
      <c r="S180" s="107"/>
      <c r="T180" s="107"/>
      <c r="U180" s="107"/>
      <c r="V180" s="108"/>
      <c r="W180" s="109"/>
    </row>
    <row r="181" spans="1:23" ht="36.6" customHeight="1">
      <c r="A181" s="43"/>
      <c r="B181" s="106"/>
      <c r="C181" s="106"/>
      <c r="Q181" s="107"/>
      <c r="R181" s="107"/>
      <c r="S181" s="107"/>
      <c r="T181" s="107"/>
      <c r="U181" s="107"/>
      <c r="V181" s="108"/>
      <c r="W181" s="109"/>
    </row>
    <row r="182" spans="1:23" ht="36.6" customHeight="1">
      <c r="A182" s="43"/>
      <c r="B182" s="106"/>
      <c r="C182" s="106"/>
      <c r="Q182" s="107"/>
      <c r="R182" s="107"/>
      <c r="S182" s="107"/>
      <c r="T182" s="107"/>
      <c r="U182" s="107"/>
      <c r="V182" s="108"/>
      <c r="W182" s="109"/>
    </row>
    <row r="183" spans="1:23" ht="36.6" customHeight="1">
      <c r="A183" s="43"/>
      <c r="B183" s="106"/>
      <c r="C183" s="106"/>
      <c r="Q183" s="107"/>
      <c r="R183" s="107"/>
      <c r="S183" s="107"/>
      <c r="T183" s="107"/>
      <c r="U183" s="107"/>
      <c r="V183" s="108"/>
      <c r="W183" s="109"/>
    </row>
    <row r="184" spans="1:23" ht="36.6" customHeight="1">
      <c r="A184" s="43"/>
      <c r="B184" s="106"/>
      <c r="C184" s="106"/>
      <c r="Q184" s="107"/>
      <c r="R184" s="107"/>
      <c r="S184" s="107"/>
      <c r="T184" s="107"/>
      <c r="U184" s="107"/>
      <c r="V184" s="108"/>
      <c r="W184" s="109"/>
    </row>
    <row r="185" spans="1:23" ht="36.6" customHeight="1">
      <c r="A185" s="43"/>
      <c r="B185" s="106"/>
      <c r="C185" s="106"/>
      <c r="Q185" s="107"/>
      <c r="R185" s="107"/>
      <c r="S185" s="107"/>
      <c r="T185" s="107"/>
      <c r="U185" s="107"/>
      <c r="V185" s="108"/>
      <c r="W185" s="109"/>
    </row>
    <row r="186" spans="1:23" ht="36.6" customHeight="1">
      <c r="A186" s="43"/>
      <c r="B186" s="106"/>
      <c r="C186" s="106"/>
      <c r="Q186" s="107"/>
      <c r="R186" s="107"/>
      <c r="S186" s="107"/>
      <c r="T186" s="107"/>
      <c r="U186" s="107"/>
      <c r="V186" s="108"/>
      <c r="W186" s="109"/>
    </row>
    <row r="187" spans="1:23" ht="36.6" customHeight="1">
      <c r="A187" s="43"/>
      <c r="B187" s="106"/>
      <c r="C187" s="106"/>
      <c r="Q187" s="107"/>
      <c r="R187" s="107"/>
      <c r="S187" s="107"/>
      <c r="T187" s="107"/>
      <c r="U187" s="107"/>
      <c r="V187" s="108"/>
      <c r="W187" s="109"/>
    </row>
    <row r="188" spans="1:23" ht="36.6" customHeight="1">
      <c r="A188" s="43"/>
      <c r="B188" s="106"/>
      <c r="C188" s="106"/>
      <c r="Q188" s="107"/>
      <c r="R188" s="107"/>
      <c r="S188" s="107"/>
      <c r="T188" s="107"/>
      <c r="U188" s="107"/>
      <c r="V188" s="108"/>
      <c r="W188" s="109"/>
    </row>
    <row r="189" spans="1:23" ht="36.6" customHeight="1">
      <c r="A189" s="43"/>
      <c r="B189" s="106"/>
      <c r="C189" s="106"/>
      <c r="Q189" s="107"/>
      <c r="R189" s="107"/>
      <c r="S189" s="107"/>
      <c r="T189" s="107"/>
      <c r="U189" s="107"/>
      <c r="V189" s="108"/>
      <c r="W189" s="109"/>
    </row>
    <row r="190" spans="1:23" ht="36.6" customHeight="1">
      <c r="A190" s="43"/>
      <c r="B190" s="106"/>
      <c r="C190" s="106"/>
      <c r="Q190" s="107"/>
      <c r="R190" s="107"/>
      <c r="S190" s="107"/>
      <c r="T190" s="107"/>
      <c r="U190" s="107"/>
      <c r="V190" s="108"/>
      <c r="W190" s="109"/>
    </row>
    <row r="191" spans="1:23" ht="36.6" customHeight="1">
      <c r="A191" s="43"/>
      <c r="B191" s="106"/>
      <c r="C191" s="106"/>
      <c r="Q191" s="107"/>
      <c r="R191" s="107"/>
      <c r="S191" s="107"/>
      <c r="T191" s="107"/>
      <c r="U191" s="107"/>
      <c r="V191" s="108"/>
      <c r="W191" s="109"/>
    </row>
    <row r="192" spans="1:23" ht="36.6" customHeight="1">
      <c r="A192" s="43"/>
      <c r="B192" s="106"/>
      <c r="C192" s="106"/>
      <c r="Q192" s="107"/>
      <c r="R192" s="107"/>
      <c r="S192" s="107"/>
      <c r="T192" s="107"/>
      <c r="U192" s="107"/>
      <c r="V192" s="108"/>
      <c r="W192" s="109"/>
    </row>
    <row r="193" spans="1:23" ht="36.6" customHeight="1">
      <c r="A193" s="43"/>
      <c r="B193" s="106"/>
      <c r="C193" s="106"/>
      <c r="Q193" s="107"/>
      <c r="R193" s="107"/>
      <c r="S193" s="107"/>
      <c r="T193" s="107"/>
      <c r="U193" s="107"/>
      <c r="V193" s="108"/>
      <c r="W193" s="109"/>
    </row>
    <row r="194" spans="1:23" ht="36.6" customHeight="1">
      <c r="A194" s="43"/>
      <c r="B194" s="106"/>
      <c r="C194" s="106"/>
      <c r="Q194" s="107"/>
      <c r="R194" s="107"/>
      <c r="S194" s="107"/>
      <c r="T194" s="107"/>
      <c r="U194" s="107"/>
      <c r="V194" s="108"/>
      <c r="W194" s="109"/>
    </row>
    <row r="195" spans="1:23" ht="36.6" customHeight="1">
      <c r="A195" s="43"/>
      <c r="B195" s="106"/>
      <c r="C195" s="106"/>
      <c r="Q195" s="107"/>
      <c r="R195" s="107"/>
      <c r="S195" s="107"/>
      <c r="T195" s="107"/>
      <c r="U195" s="107"/>
      <c r="V195" s="108"/>
      <c r="W195" s="109"/>
    </row>
    <row r="196" spans="1:23" ht="36.6" customHeight="1">
      <c r="A196" s="43"/>
      <c r="B196" s="106"/>
      <c r="C196" s="106"/>
      <c r="Q196" s="107"/>
      <c r="R196" s="107"/>
      <c r="S196" s="107"/>
      <c r="T196" s="107"/>
      <c r="U196" s="107"/>
      <c r="V196" s="108"/>
      <c r="W196" s="109"/>
    </row>
    <row r="197" spans="1:23" ht="36.6" customHeight="1">
      <c r="A197" s="43"/>
      <c r="B197" s="106"/>
      <c r="C197" s="106"/>
      <c r="Q197" s="107"/>
      <c r="R197" s="107"/>
      <c r="S197" s="107"/>
      <c r="T197" s="107"/>
      <c r="U197" s="107"/>
      <c r="V197" s="108"/>
      <c r="W197" s="109"/>
    </row>
    <row r="198" spans="1:23" ht="36.6" customHeight="1">
      <c r="A198" s="43"/>
      <c r="B198" s="106"/>
      <c r="C198" s="106"/>
      <c r="Q198" s="107"/>
      <c r="R198" s="107"/>
      <c r="S198" s="107"/>
      <c r="T198" s="107"/>
      <c r="U198" s="107"/>
      <c r="V198" s="108"/>
      <c r="W198" s="109"/>
    </row>
    <row r="199" spans="1:23" ht="36.6" customHeight="1">
      <c r="A199" s="43"/>
      <c r="B199" s="106"/>
      <c r="C199" s="106"/>
      <c r="Q199" s="107"/>
      <c r="R199" s="107"/>
      <c r="S199" s="107"/>
      <c r="T199" s="107"/>
      <c r="U199" s="107"/>
      <c r="V199" s="108"/>
      <c r="W199" s="109"/>
    </row>
    <row r="200" spans="1:23" ht="36.6" customHeight="1">
      <c r="A200" s="43"/>
      <c r="B200" s="106"/>
      <c r="C200" s="106"/>
      <c r="Q200" s="107"/>
      <c r="R200" s="107"/>
      <c r="S200" s="107"/>
      <c r="T200" s="107"/>
      <c r="U200" s="107"/>
      <c r="V200" s="108"/>
      <c r="W200" s="109"/>
    </row>
    <row r="201" spans="1:23" ht="36.6" customHeight="1">
      <c r="A201" s="43"/>
      <c r="B201" s="106"/>
      <c r="C201" s="106"/>
      <c r="Q201" s="107"/>
      <c r="R201" s="107"/>
      <c r="S201" s="107"/>
      <c r="T201" s="107"/>
      <c r="U201" s="107"/>
      <c r="V201" s="108"/>
      <c r="W201" s="109"/>
    </row>
    <row r="202" spans="1:23" ht="36.6" customHeight="1">
      <c r="A202" s="43"/>
      <c r="B202" s="106"/>
      <c r="C202" s="106"/>
      <c r="Q202" s="107"/>
      <c r="R202" s="107"/>
      <c r="S202" s="107"/>
      <c r="T202" s="107"/>
      <c r="U202" s="107"/>
      <c r="V202" s="108"/>
      <c r="W202" s="109"/>
    </row>
    <row r="203" spans="1:23" ht="36.6" customHeight="1">
      <c r="A203" s="43"/>
      <c r="B203" s="106"/>
      <c r="C203" s="106"/>
      <c r="Q203" s="107"/>
      <c r="R203" s="107"/>
      <c r="S203" s="107"/>
      <c r="T203" s="107"/>
      <c r="U203" s="107"/>
      <c r="V203" s="108"/>
      <c r="W203" s="109"/>
    </row>
    <row r="204" spans="1:23" ht="36.6" customHeight="1">
      <c r="A204" s="43"/>
      <c r="B204" s="106"/>
      <c r="C204" s="106"/>
      <c r="Q204" s="107"/>
      <c r="R204" s="107"/>
      <c r="S204" s="107"/>
      <c r="T204" s="107"/>
      <c r="U204" s="107"/>
      <c r="V204" s="108"/>
      <c r="W204" s="109"/>
    </row>
    <row r="205" spans="1:23" ht="36.6" customHeight="1">
      <c r="A205" s="43"/>
      <c r="B205" s="106"/>
      <c r="C205" s="106"/>
      <c r="Q205" s="107"/>
      <c r="R205" s="107"/>
      <c r="S205" s="107"/>
      <c r="T205" s="107"/>
      <c r="U205" s="107"/>
      <c r="V205" s="108"/>
      <c r="W205" s="109"/>
    </row>
    <row r="206" spans="1:23" ht="36.6" customHeight="1">
      <c r="A206" s="43"/>
      <c r="B206" s="106"/>
      <c r="C206" s="106"/>
      <c r="Q206" s="107"/>
      <c r="R206" s="107"/>
      <c r="S206" s="107"/>
      <c r="T206" s="107"/>
      <c r="U206" s="107"/>
      <c r="V206" s="108"/>
      <c r="W206" s="109"/>
    </row>
    <row r="207" spans="1:23" ht="36.6" customHeight="1">
      <c r="A207" s="43"/>
      <c r="B207" s="106"/>
      <c r="C207" s="106"/>
      <c r="Q207" s="107"/>
      <c r="R207" s="107"/>
      <c r="S207" s="107"/>
      <c r="T207" s="107"/>
      <c r="U207" s="107"/>
      <c r="V207" s="108"/>
      <c r="W207" s="109"/>
    </row>
    <row r="208" spans="1:23" ht="36.6" customHeight="1">
      <c r="A208" s="43"/>
      <c r="B208" s="106"/>
      <c r="C208" s="106"/>
      <c r="Q208" s="107"/>
      <c r="R208" s="107"/>
      <c r="S208" s="107"/>
      <c r="T208" s="107"/>
      <c r="U208" s="107"/>
      <c r="V208" s="108"/>
      <c r="W208" s="109"/>
    </row>
    <row r="209" spans="1:33" hidden="1" outlineLevel="4">
      <c r="A209" s="43"/>
      <c r="B209" s="106"/>
      <c r="C209" s="106"/>
      <c r="Q209" s="107"/>
      <c r="R209" s="107"/>
      <c r="S209" s="107"/>
      <c r="T209" s="107"/>
      <c r="U209" s="107"/>
      <c r="V209" s="108"/>
      <c r="W209" s="109"/>
    </row>
    <row r="210" spans="1:33" hidden="1" outlineLevel="4">
      <c r="A210" s="43"/>
      <c r="B210" s="106"/>
      <c r="C210" s="106"/>
      <c r="Q210" s="107"/>
      <c r="R210" s="107"/>
      <c r="S210" s="107"/>
      <c r="T210" s="107"/>
      <c r="U210" s="107"/>
      <c r="V210" s="108"/>
      <c r="W210" s="109"/>
    </row>
    <row r="211" spans="1:33" hidden="1" outlineLevel="4">
      <c r="A211" s="43"/>
      <c r="B211" s="106"/>
      <c r="C211" s="106"/>
      <c r="Q211" s="107"/>
      <c r="R211" s="107"/>
      <c r="S211" s="107"/>
      <c r="T211" s="107"/>
      <c r="U211" s="107"/>
      <c r="V211" s="108"/>
      <c r="W211" s="109"/>
    </row>
    <row r="212" spans="1:33" hidden="1" outlineLevel="4">
      <c r="A212" s="43"/>
      <c r="B212" s="106"/>
      <c r="C212" s="106"/>
      <c r="Q212" s="107"/>
      <c r="R212" s="107"/>
      <c r="S212" s="107"/>
      <c r="T212" s="107"/>
      <c r="U212" s="107"/>
      <c r="V212" s="108"/>
      <c r="W212" s="109"/>
    </row>
    <row r="213" spans="1:33" hidden="1" outlineLevel="4">
      <c r="A213" s="43"/>
      <c r="B213" s="106"/>
      <c r="C213" s="106"/>
      <c r="Q213" s="107"/>
      <c r="R213" s="107"/>
      <c r="S213" s="107"/>
      <c r="T213" s="107"/>
      <c r="U213" s="107"/>
      <c r="V213" s="108"/>
      <c r="W213" s="109"/>
    </row>
    <row r="214" spans="1:33" hidden="1" outlineLevel="4">
      <c r="A214" s="43"/>
      <c r="B214" s="106"/>
      <c r="C214" s="106"/>
      <c r="Q214" s="107"/>
      <c r="R214" s="107"/>
      <c r="S214" s="107"/>
      <c r="T214" s="107"/>
      <c r="U214" s="107"/>
      <c r="V214" s="108"/>
      <c r="W214" s="109"/>
    </row>
    <row r="215" spans="1:33" hidden="1" outlineLevel="4">
      <c r="A215" s="43"/>
      <c r="B215" s="106"/>
      <c r="C215" s="106"/>
      <c r="Q215" s="107"/>
      <c r="R215" s="107"/>
      <c r="S215" s="107"/>
      <c r="T215" s="107"/>
      <c r="U215" s="107"/>
      <c r="V215" s="108"/>
      <c r="W215" s="109"/>
    </row>
    <row r="216" spans="1:33" hidden="1" outlineLevel="4">
      <c r="A216" s="43"/>
      <c r="B216" s="106"/>
      <c r="C216" s="106"/>
      <c r="Q216" s="107"/>
      <c r="R216" s="107"/>
      <c r="S216" s="107"/>
      <c r="T216" s="107"/>
      <c r="U216" s="107"/>
      <c r="V216" s="108"/>
      <c r="W216" s="109"/>
    </row>
    <row r="217" spans="1:33" hidden="1" outlineLevel="4">
      <c r="A217" s="43"/>
      <c r="B217" s="106"/>
      <c r="C217" s="106"/>
      <c r="Q217" s="107"/>
      <c r="R217" s="107"/>
      <c r="S217" s="107"/>
      <c r="T217" s="107"/>
      <c r="U217" s="107"/>
      <c r="V217" s="108"/>
      <c r="W217" s="109"/>
    </row>
    <row r="218" spans="1:33" hidden="1" outlineLevel="4">
      <c r="A218" s="43"/>
      <c r="B218" s="106"/>
      <c r="C218" s="106"/>
      <c r="Q218" s="107"/>
      <c r="R218" s="107"/>
      <c r="S218" s="107"/>
      <c r="T218" s="107"/>
      <c r="U218" s="107"/>
      <c r="V218" s="108"/>
      <c r="W218" s="109"/>
    </row>
    <row r="219" spans="1:33" hidden="1" outlineLevel="4">
      <c r="A219" s="43"/>
      <c r="B219" s="106"/>
      <c r="C219" s="106"/>
      <c r="Q219" s="107"/>
      <c r="R219" s="107"/>
      <c r="S219" s="107"/>
      <c r="T219" s="107"/>
      <c r="U219" s="107"/>
      <c r="V219" s="108"/>
      <c r="W219" s="109"/>
    </row>
    <row r="220" spans="1:33" hidden="1" outlineLevel="4">
      <c r="A220" s="43"/>
      <c r="B220" s="106"/>
      <c r="C220" s="106"/>
      <c r="Q220" s="107"/>
      <c r="R220" s="107"/>
      <c r="S220" s="107"/>
      <c r="T220" s="107"/>
      <c r="U220" s="107"/>
      <c r="V220" s="108"/>
      <c r="W220" s="109"/>
    </row>
    <row r="221" spans="1:33" hidden="1" outlineLevel="4">
      <c r="A221" s="43"/>
      <c r="B221" s="106"/>
      <c r="C221" s="106"/>
      <c r="Q221" s="107"/>
      <c r="R221" s="107"/>
      <c r="S221" s="107"/>
      <c r="T221" s="107"/>
      <c r="U221" s="107"/>
      <c r="V221" s="108"/>
      <c r="W221" s="109"/>
    </row>
    <row r="222" spans="1:33" hidden="1" outlineLevel="4">
      <c r="A222" s="43"/>
      <c r="B222" s="106"/>
      <c r="C222" s="106"/>
      <c r="Q222" s="107"/>
      <c r="R222" s="107"/>
      <c r="S222" s="107"/>
      <c r="T222" s="107"/>
      <c r="U222" s="107"/>
      <c r="V222" s="108"/>
      <c r="W222" s="109"/>
    </row>
    <row r="223" spans="1:33" s="46" customFormat="1" outlineLevel="3" collapsed="1">
      <c r="A223" s="43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7"/>
      <c r="R223" s="107"/>
      <c r="S223" s="107"/>
      <c r="T223" s="107"/>
      <c r="U223" s="107"/>
      <c r="V223" s="108"/>
      <c r="W223" s="109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</row>
    <row r="224" spans="1:33" hidden="1" outlineLevel="4">
      <c r="A224" s="43"/>
      <c r="B224" s="106"/>
      <c r="C224" s="106"/>
      <c r="Q224" s="107"/>
      <c r="R224" s="107"/>
      <c r="S224" s="107"/>
      <c r="T224" s="107"/>
      <c r="U224" s="107"/>
      <c r="V224" s="108"/>
      <c r="W224" s="109"/>
    </row>
    <row r="225" spans="1:33" hidden="1" outlineLevel="4">
      <c r="A225" s="43"/>
      <c r="B225" s="106"/>
      <c r="C225" s="106"/>
      <c r="Q225" s="107"/>
      <c r="R225" s="107"/>
      <c r="S225" s="107"/>
      <c r="T225" s="107"/>
      <c r="U225" s="107"/>
      <c r="V225" s="108"/>
      <c r="W225" s="109"/>
    </row>
    <row r="226" spans="1:33" hidden="1" outlineLevel="4">
      <c r="A226" s="43"/>
      <c r="B226" s="106"/>
      <c r="C226" s="106"/>
      <c r="Q226" s="107"/>
      <c r="R226" s="107"/>
      <c r="S226" s="107"/>
      <c r="T226" s="107"/>
      <c r="U226" s="107"/>
      <c r="V226" s="108"/>
      <c r="W226" s="109"/>
    </row>
    <row r="227" spans="1:33" hidden="1" outlineLevel="4">
      <c r="A227" s="43"/>
      <c r="B227" s="106"/>
      <c r="C227" s="106"/>
      <c r="Q227" s="107"/>
      <c r="R227" s="107"/>
      <c r="S227" s="107"/>
      <c r="T227" s="107"/>
      <c r="U227" s="107"/>
      <c r="V227" s="108"/>
      <c r="W227" s="109"/>
    </row>
    <row r="228" spans="1:33" hidden="1" outlineLevel="4">
      <c r="A228" s="43"/>
      <c r="B228" s="106"/>
      <c r="C228" s="106"/>
      <c r="Q228" s="107"/>
      <c r="R228" s="107"/>
      <c r="S228" s="107"/>
      <c r="T228" s="107"/>
      <c r="U228" s="107"/>
      <c r="V228" s="108"/>
      <c r="W228" s="109"/>
    </row>
    <row r="229" spans="1:33" hidden="1" outlineLevel="4">
      <c r="A229" s="43"/>
      <c r="B229" s="106"/>
      <c r="C229" s="106"/>
      <c r="Q229" s="107"/>
      <c r="R229" s="107"/>
      <c r="S229" s="107"/>
      <c r="T229" s="107"/>
      <c r="U229" s="107"/>
      <c r="V229" s="108"/>
      <c r="W229" s="109"/>
    </row>
    <row r="230" spans="1:33" hidden="1" outlineLevel="4">
      <c r="A230" s="43"/>
      <c r="B230" s="106"/>
      <c r="C230" s="106"/>
      <c r="Q230" s="107"/>
      <c r="R230" s="107"/>
      <c r="S230" s="107"/>
      <c r="T230" s="107"/>
      <c r="U230" s="107"/>
      <c r="V230" s="108"/>
      <c r="W230" s="109"/>
    </row>
    <row r="231" spans="1:33" hidden="1" outlineLevel="4">
      <c r="A231" s="43"/>
      <c r="B231" s="106"/>
      <c r="C231" s="106"/>
      <c r="Q231" s="107"/>
      <c r="R231" s="107"/>
      <c r="S231" s="107"/>
      <c r="T231" s="107"/>
      <c r="U231" s="107"/>
      <c r="V231" s="108"/>
      <c r="W231" s="109"/>
    </row>
    <row r="232" spans="1:33" hidden="1" outlineLevel="4">
      <c r="A232" s="43"/>
      <c r="B232" s="106"/>
      <c r="C232" s="106"/>
      <c r="Q232" s="107"/>
      <c r="R232" s="107"/>
      <c r="S232" s="107"/>
      <c r="T232" s="107"/>
      <c r="U232" s="107"/>
      <c r="V232" s="108"/>
      <c r="W232" s="109"/>
    </row>
    <row r="233" spans="1:33" hidden="1" outlineLevel="4">
      <c r="A233" s="43"/>
      <c r="B233" s="106"/>
      <c r="C233" s="106"/>
      <c r="Q233" s="107"/>
      <c r="R233" s="107"/>
      <c r="S233" s="107"/>
      <c r="T233" s="107"/>
      <c r="U233" s="107"/>
      <c r="V233" s="108"/>
      <c r="W233" s="109"/>
    </row>
    <row r="234" spans="1:33" hidden="1" outlineLevel="4">
      <c r="A234" s="43"/>
      <c r="B234" s="106"/>
      <c r="C234" s="106"/>
      <c r="Q234" s="107"/>
      <c r="R234" s="107"/>
      <c r="S234" s="107"/>
      <c r="T234" s="107"/>
      <c r="U234" s="107"/>
      <c r="V234" s="108"/>
      <c r="W234" s="109"/>
    </row>
    <row r="235" spans="1:33" hidden="1" outlineLevel="4">
      <c r="A235" s="43"/>
      <c r="B235" s="106"/>
      <c r="C235" s="106"/>
      <c r="Q235" s="107"/>
      <c r="R235" s="107"/>
      <c r="S235" s="107"/>
      <c r="T235" s="107"/>
      <c r="U235" s="107"/>
      <c r="V235" s="108"/>
      <c r="W235" s="109"/>
    </row>
    <row r="236" spans="1:33" hidden="1" outlineLevel="4">
      <c r="A236" s="43"/>
      <c r="B236" s="106"/>
      <c r="C236" s="106"/>
      <c r="Q236" s="107"/>
      <c r="R236" s="107"/>
      <c r="S236" s="107"/>
      <c r="T236" s="107"/>
      <c r="U236" s="107"/>
      <c r="V236" s="108"/>
      <c r="W236" s="109"/>
    </row>
    <row r="237" spans="1:33" hidden="1" outlineLevel="4">
      <c r="A237" s="43"/>
      <c r="B237" s="106"/>
      <c r="C237" s="106"/>
      <c r="Q237" s="107"/>
      <c r="R237" s="107"/>
      <c r="S237" s="107"/>
      <c r="T237" s="107"/>
      <c r="U237" s="107"/>
      <c r="V237" s="108"/>
      <c r="W237" s="109"/>
    </row>
    <row r="238" spans="1:33" hidden="1" outlineLevel="4">
      <c r="A238" s="43"/>
      <c r="B238" s="106"/>
      <c r="C238" s="106"/>
      <c r="Q238" s="107"/>
      <c r="R238" s="107"/>
      <c r="S238" s="107"/>
      <c r="T238" s="107"/>
      <c r="U238" s="107"/>
      <c r="V238" s="108"/>
      <c r="W238" s="109"/>
    </row>
    <row r="239" spans="1:33" s="46" customFormat="1" outlineLevel="3" collapsed="1">
      <c r="A239" s="43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7"/>
      <c r="R239" s="107"/>
      <c r="S239" s="107"/>
      <c r="T239" s="107"/>
      <c r="U239" s="107"/>
      <c r="V239" s="108"/>
      <c r="W239" s="109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</row>
    <row r="240" spans="1:33" hidden="1" outlineLevel="4">
      <c r="A240" s="43"/>
      <c r="B240" s="106"/>
      <c r="C240" s="106"/>
      <c r="Q240" s="107"/>
      <c r="R240" s="107"/>
      <c r="S240" s="107"/>
      <c r="T240" s="107"/>
      <c r="U240" s="107"/>
      <c r="V240" s="108"/>
      <c r="W240" s="109"/>
    </row>
    <row r="241" spans="1:33" hidden="1" outlineLevel="4">
      <c r="A241" s="43"/>
      <c r="B241" s="106"/>
      <c r="C241" s="106"/>
      <c r="Q241" s="107"/>
      <c r="R241" s="107"/>
      <c r="S241" s="107"/>
      <c r="T241" s="107"/>
      <c r="U241" s="107"/>
      <c r="V241" s="108"/>
      <c r="W241" s="109"/>
    </row>
    <row r="242" spans="1:33" hidden="1" outlineLevel="4">
      <c r="A242" s="43"/>
      <c r="B242" s="106"/>
      <c r="C242" s="106"/>
      <c r="Q242" s="107"/>
      <c r="R242" s="107"/>
      <c r="S242" s="107"/>
      <c r="T242" s="107"/>
      <c r="U242" s="107"/>
      <c r="V242" s="108"/>
      <c r="W242" s="109"/>
    </row>
    <row r="243" spans="1:33" hidden="1" outlineLevel="4">
      <c r="A243" s="43"/>
      <c r="B243" s="106"/>
      <c r="C243" s="106"/>
      <c r="Q243" s="107"/>
      <c r="R243" s="107"/>
      <c r="S243" s="107"/>
      <c r="T243" s="107"/>
      <c r="U243" s="107"/>
      <c r="V243" s="108"/>
      <c r="W243" s="109"/>
    </row>
    <row r="244" spans="1:33" hidden="1" outlineLevel="4">
      <c r="A244" s="43"/>
      <c r="B244" s="106"/>
      <c r="C244" s="106"/>
      <c r="Q244" s="107"/>
      <c r="R244" s="107"/>
      <c r="S244" s="107"/>
      <c r="T244" s="107"/>
      <c r="U244" s="107"/>
      <c r="V244" s="108"/>
      <c r="W244" s="109"/>
    </row>
    <row r="245" spans="1:33" hidden="1" outlineLevel="4">
      <c r="A245" s="43"/>
      <c r="B245" s="106"/>
      <c r="C245" s="106"/>
      <c r="Q245" s="107"/>
      <c r="R245" s="107"/>
      <c r="S245" s="107"/>
      <c r="T245" s="107"/>
      <c r="U245" s="107"/>
      <c r="V245" s="108"/>
      <c r="W245" s="109"/>
    </row>
    <row r="246" spans="1:33" hidden="1" outlineLevel="4">
      <c r="A246" s="43"/>
      <c r="B246" s="106"/>
      <c r="C246" s="106"/>
      <c r="Q246" s="107"/>
      <c r="R246" s="107"/>
      <c r="S246" s="107"/>
      <c r="T246" s="107"/>
      <c r="U246" s="107"/>
      <c r="V246" s="108"/>
      <c r="W246" s="109"/>
    </row>
    <row r="247" spans="1:33" hidden="1" outlineLevel="4">
      <c r="A247" s="43"/>
      <c r="B247" s="106"/>
      <c r="C247" s="106"/>
      <c r="Q247" s="107"/>
      <c r="R247" s="107"/>
      <c r="S247" s="107"/>
      <c r="T247" s="107"/>
      <c r="U247" s="107"/>
      <c r="V247" s="108"/>
      <c r="W247" s="109"/>
    </row>
    <row r="248" spans="1:33" hidden="1" outlineLevel="4">
      <c r="A248" s="43"/>
      <c r="B248" s="106"/>
      <c r="C248" s="106"/>
      <c r="Q248" s="107"/>
      <c r="R248" s="107"/>
      <c r="S248" s="107"/>
      <c r="T248" s="107"/>
      <c r="U248" s="107"/>
      <c r="V248" s="108"/>
      <c r="W248" s="109"/>
    </row>
    <row r="249" spans="1:33" hidden="1" outlineLevel="4">
      <c r="A249" s="43"/>
      <c r="B249" s="106"/>
      <c r="C249" s="106"/>
      <c r="Q249" s="107"/>
      <c r="R249" s="107"/>
      <c r="S249" s="107"/>
      <c r="T249" s="107"/>
      <c r="U249" s="107"/>
      <c r="V249" s="108"/>
      <c r="W249" s="109"/>
    </row>
    <row r="250" spans="1:33" hidden="1" outlineLevel="4">
      <c r="A250" s="43"/>
      <c r="B250" s="106"/>
      <c r="C250" s="106"/>
      <c r="Q250" s="107"/>
      <c r="R250" s="107"/>
      <c r="S250" s="107"/>
      <c r="T250" s="107"/>
      <c r="U250" s="107"/>
      <c r="V250" s="108"/>
      <c r="W250" s="109"/>
    </row>
    <row r="251" spans="1:33" hidden="1" outlineLevel="4">
      <c r="A251" s="43"/>
      <c r="B251" s="106"/>
      <c r="C251" s="106"/>
      <c r="Q251" s="107"/>
      <c r="R251" s="107"/>
      <c r="S251" s="107"/>
      <c r="T251" s="107"/>
      <c r="U251" s="107"/>
      <c r="V251" s="108"/>
      <c r="W251" s="109"/>
    </row>
    <row r="252" spans="1:33" hidden="1" outlineLevel="4">
      <c r="A252" s="43"/>
      <c r="B252" s="106"/>
      <c r="C252" s="106"/>
      <c r="Q252" s="107"/>
      <c r="R252" s="107"/>
      <c r="S252" s="107"/>
      <c r="T252" s="107"/>
      <c r="U252" s="107"/>
      <c r="V252" s="108"/>
      <c r="W252" s="109"/>
    </row>
    <row r="253" spans="1:33" hidden="1" outlineLevel="4">
      <c r="A253" s="43"/>
      <c r="B253" s="106"/>
      <c r="C253" s="106"/>
      <c r="Q253" s="107"/>
      <c r="R253" s="107"/>
      <c r="S253" s="107"/>
      <c r="T253" s="107"/>
      <c r="U253" s="107"/>
      <c r="V253" s="108"/>
      <c r="W253" s="109"/>
    </row>
    <row r="254" spans="1:33" hidden="1" outlineLevel="4">
      <c r="A254" s="43"/>
      <c r="B254" s="106"/>
      <c r="C254" s="106"/>
      <c r="Q254" s="107"/>
      <c r="R254" s="107"/>
      <c r="S254" s="107"/>
      <c r="T254" s="107"/>
      <c r="U254" s="107"/>
      <c r="V254" s="108"/>
      <c r="W254" s="109"/>
    </row>
    <row r="255" spans="1:33" s="46" customFormat="1" outlineLevel="3" collapsed="1">
      <c r="A255" s="43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7"/>
      <c r="R255" s="107"/>
      <c r="S255" s="107"/>
      <c r="T255" s="107"/>
      <c r="U255" s="107"/>
      <c r="V255" s="108"/>
      <c r="W255" s="109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</row>
    <row r="256" spans="1:33" hidden="1" outlineLevel="4">
      <c r="A256" s="43"/>
      <c r="B256" s="106"/>
      <c r="C256" s="106"/>
      <c r="Q256" s="107"/>
      <c r="R256" s="107"/>
      <c r="S256" s="107"/>
      <c r="T256" s="107"/>
      <c r="U256" s="107"/>
      <c r="V256" s="108"/>
      <c r="W256" s="109"/>
    </row>
    <row r="257" spans="1:33" hidden="1" outlineLevel="4">
      <c r="A257" s="43"/>
      <c r="B257" s="106"/>
      <c r="C257" s="106"/>
      <c r="Q257" s="107"/>
      <c r="R257" s="107"/>
      <c r="S257" s="107"/>
      <c r="T257" s="107"/>
      <c r="U257" s="107"/>
      <c r="V257" s="108"/>
      <c r="W257" s="109"/>
    </row>
    <row r="258" spans="1:33" hidden="1" outlineLevel="4">
      <c r="A258" s="43"/>
      <c r="B258" s="106"/>
      <c r="C258" s="106"/>
      <c r="Q258" s="107"/>
      <c r="R258" s="107"/>
      <c r="S258" s="107"/>
      <c r="T258" s="107"/>
      <c r="U258" s="107"/>
      <c r="V258" s="108"/>
      <c r="W258" s="109"/>
    </row>
    <row r="259" spans="1:33" hidden="1" outlineLevel="4">
      <c r="A259" s="43"/>
      <c r="B259" s="106"/>
      <c r="C259" s="106"/>
      <c r="Q259" s="107"/>
      <c r="R259" s="107"/>
      <c r="S259" s="107"/>
      <c r="T259" s="107"/>
      <c r="U259" s="107"/>
      <c r="V259" s="108"/>
      <c r="W259" s="109"/>
    </row>
    <row r="260" spans="1:33" hidden="1" outlineLevel="4">
      <c r="A260" s="43"/>
      <c r="B260" s="106"/>
      <c r="C260" s="106"/>
      <c r="Q260" s="107"/>
      <c r="R260" s="107"/>
      <c r="S260" s="107"/>
      <c r="T260" s="107"/>
      <c r="U260" s="107"/>
      <c r="V260" s="108"/>
      <c r="W260" s="109"/>
    </row>
    <row r="261" spans="1:33" hidden="1" outlineLevel="4">
      <c r="A261" s="43"/>
      <c r="B261" s="106"/>
      <c r="C261" s="106"/>
      <c r="Q261" s="107"/>
      <c r="R261" s="107"/>
      <c r="S261" s="107"/>
      <c r="T261" s="107"/>
      <c r="U261" s="107"/>
      <c r="V261" s="108"/>
      <c r="W261" s="109"/>
    </row>
    <row r="262" spans="1:33" hidden="1" outlineLevel="4">
      <c r="A262" s="43"/>
      <c r="B262" s="106"/>
      <c r="C262" s="106"/>
      <c r="Q262" s="107"/>
      <c r="R262" s="107"/>
      <c r="S262" s="107"/>
      <c r="T262" s="107"/>
      <c r="U262" s="107"/>
      <c r="V262" s="108"/>
      <c r="W262" s="109"/>
    </row>
    <row r="263" spans="1:33" hidden="1" outlineLevel="4">
      <c r="A263" s="43"/>
      <c r="B263" s="106"/>
      <c r="C263" s="106"/>
      <c r="Q263" s="107"/>
      <c r="R263" s="107"/>
      <c r="S263" s="107"/>
      <c r="T263" s="107"/>
      <c r="U263" s="107"/>
      <c r="V263" s="108"/>
      <c r="W263" s="109"/>
    </row>
    <row r="264" spans="1:33" hidden="1" outlineLevel="4">
      <c r="A264" s="43"/>
      <c r="B264" s="106"/>
      <c r="C264" s="106"/>
      <c r="Q264" s="107"/>
      <c r="R264" s="107"/>
      <c r="S264" s="107"/>
      <c r="T264" s="107"/>
      <c r="U264" s="107"/>
      <c r="V264" s="108"/>
      <c r="W264" s="109"/>
    </row>
    <row r="265" spans="1:33" hidden="1" outlineLevel="4">
      <c r="A265" s="43"/>
      <c r="B265" s="106"/>
      <c r="C265" s="106"/>
      <c r="Q265" s="107"/>
      <c r="R265" s="107"/>
      <c r="S265" s="107"/>
      <c r="T265" s="107"/>
      <c r="U265" s="107"/>
      <c r="V265" s="108"/>
      <c r="W265" s="109"/>
    </row>
    <row r="266" spans="1:33" hidden="1" outlineLevel="4">
      <c r="A266" s="43"/>
      <c r="B266" s="106"/>
      <c r="C266" s="106"/>
      <c r="Q266" s="107"/>
      <c r="R266" s="107"/>
      <c r="S266" s="107"/>
      <c r="T266" s="107"/>
      <c r="U266" s="107"/>
      <c r="V266" s="108"/>
      <c r="W266" s="109"/>
    </row>
    <row r="267" spans="1:33" hidden="1" outlineLevel="4">
      <c r="A267" s="43"/>
      <c r="B267" s="106"/>
      <c r="C267" s="106"/>
      <c r="Q267" s="107"/>
      <c r="R267" s="107"/>
      <c r="S267" s="107"/>
      <c r="T267" s="107"/>
      <c r="U267" s="107"/>
      <c r="V267" s="108"/>
      <c r="W267" s="109"/>
    </row>
    <row r="268" spans="1:33" hidden="1" outlineLevel="4">
      <c r="A268" s="43"/>
      <c r="B268" s="106"/>
      <c r="C268" s="106"/>
      <c r="Q268" s="107"/>
      <c r="R268" s="107"/>
      <c r="S268" s="107"/>
      <c r="T268" s="107"/>
      <c r="U268" s="107"/>
      <c r="V268" s="108"/>
      <c r="W268" s="109"/>
    </row>
    <row r="269" spans="1:33" hidden="1" outlineLevel="4">
      <c r="A269" s="43"/>
      <c r="B269" s="106"/>
      <c r="C269" s="106"/>
      <c r="Q269" s="107"/>
      <c r="R269" s="107"/>
      <c r="S269" s="107"/>
      <c r="T269" s="107"/>
      <c r="U269" s="107"/>
      <c r="V269" s="108"/>
      <c r="W269" s="109"/>
    </row>
    <row r="270" spans="1:33" hidden="1" outlineLevel="4">
      <c r="A270" s="43"/>
      <c r="B270" s="106"/>
      <c r="C270" s="106"/>
      <c r="Q270" s="107"/>
      <c r="R270" s="107"/>
      <c r="S270" s="107"/>
      <c r="T270" s="107"/>
      <c r="U270" s="107"/>
      <c r="V270" s="108"/>
      <c r="W270" s="109"/>
    </row>
    <row r="271" spans="1:33" hidden="1" outlineLevel="4">
      <c r="A271" s="43"/>
      <c r="B271" s="106"/>
      <c r="C271" s="106"/>
      <c r="Q271" s="107"/>
      <c r="R271" s="107"/>
      <c r="S271" s="107"/>
      <c r="T271" s="107"/>
      <c r="U271" s="107"/>
      <c r="V271" s="108"/>
      <c r="W271" s="109"/>
    </row>
    <row r="272" spans="1:33" s="46" customFormat="1" outlineLevel="3" collapsed="1">
      <c r="A272" s="43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7"/>
      <c r="R272" s="107"/>
      <c r="S272" s="107"/>
      <c r="T272" s="107"/>
      <c r="U272" s="107"/>
      <c r="V272" s="108"/>
      <c r="W272" s="109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</row>
    <row r="273" spans="1:23" hidden="1" outlineLevel="4">
      <c r="A273" s="43"/>
      <c r="B273" s="106"/>
      <c r="C273" s="106"/>
      <c r="Q273" s="107"/>
      <c r="R273" s="107"/>
      <c r="S273" s="107"/>
      <c r="T273" s="107"/>
      <c r="U273" s="107"/>
      <c r="V273" s="108"/>
      <c r="W273" s="109"/>
    </row>
    <row r="274" spans="1:23" hidden="1" outlineLevel="4">
      <c r="A274" s="43"/>
      <c r="B274" s="106"/>
      <c r="C274" s="106"/>
      <c r="Q274" s="107"/>
      <c r="R274" s="107"/>
      <c r="S274" s="107"/>
      <c r="T274" s="107"/>
      <c r="U274" s="107"/>
      <c r="V274" s="108"/>
      <c r="W274" s="109"/>
    </row>
    <row r="275" spans="1:23" hidden="1" outlineLevel="4">
      <c r="A275" s="43"/>
      <c r="B275" s="106"/>
      <c r="C275" s="106"/>
      <c r="Q275" s="107"/>
      <c r="R275" s="107"/>
      <c r="S275" s="107"/>
      <c r="T275" s="107"/>
      <c r="U275" s="107"/>
      <c r="V275" s="108"/>
      <c r="W275" s="109"/>
    </row>
    <row r="276" spans="1:23" hidden="1" outlineLevel="4">
      <c r="A276" s="43"/>
      <c r="B276" s="106"/>
      <c r="C276" s="106"/>
      <c r="Q276" s="107"/>
      <c r="R276" s="107"/>
      <c r="S276" s="107"/>
      <c r="T276" s="107"/>
      <c r="U276" s="107"/>
      <c r="V276" s="108"/>
      <c r="W276" s="109"/>
    </row>
    <row r="277" spans="1:23" hidden="1" outlineLevel="4">
      <c r="A277" s="43"/>
      <c r="B277" s="106"/>
      <c r="C277" s="106"/>
      <c r="Q277" s="107"/>
      <c r="R277" s="107"/>
      <c r="S277" s="107"/>
      <c r="T277" s="107"/>
      <c r="U277" s="107"/>
      <c r="V277" s="108"/>
      <c r="W277" s="109"/>
    </row>
    <row r="278" spans="1:23" hidden="1" outlineLevel="4">
      <c r="A278" s="43"/>
      <c r="B278" s="106"/>
      <c r="C278" s="106"/>
      <c r="Q278" s="107"/>
      <c r="R278" s="107"/>
      <c r="S278" s="107"/>
      <c r="T278" s="107"/>
      <c r="U278" s="107"/>
      <c r="V278" s="108"/>
      <c r="W278" s="109"/>
    </row>
    <row r="279" spans="1:23" hidden="1" outlineLevel="4">
      <c r="A279" s="43"/>
      <c r="B279" s="106"/>
      <c r="C279" s="106"/>
      <c r="Q279" s="107"/>
      <c r="R279" s="107"/>
      <c r="S279" s="107"/>
      <c r="T279" s="107"/>
      <c r="U279" s="107"/>
      <c r="V279" s="108"/>
      <c r="W279" s="109"/>
    </row>
    <row r="280" spans="1:23" hidden="1" outlineLevel="4">
      <c r="A280" s="43"/>
      <c r="B280" s="106"/>
      <c r="C280" s="106"/>
      <c r="Q280" s="107"/>
      <c r="R280" s="107"/>
      <c r="S280" s="107"/>
      <c r="T280" s="107"/>
      <c r="U280" s="107"/>
      <c r="V280" s="108"/>
      <c r="W280" s="109"/>
    </row>
    <row r="281" spans="1:23" hidden="1" outlineLevel="4">
      <c r="A281" s="43"/>
      <c r="B281" s="106"/>
      <c r="C281" s="106"/>
      <c r="Q281" s="107"/>
      <c r="R281" s="107"/>
      <c r="S281" s="107"/>
      <c r="T281" s="107"/>
      <c r="U281" s="107"/>
      <c r="V281" s="108"/>
      <c r="W281" s="109"/>
    </row>
    <row r="282" spans="1:23" hidden="1" outlineLevel="4">
      <c r="A282" s="43"/>
      <c r="B282" s="106"/>
      <c r="C282" s="106"/>
      <c r="Q282" s="107"/>
      <c r="R282" s="107"/>
      <c r="S282" s="107"/>
      <c r="T282" s="107"/>
      <c r="U282" s="107"/>
      <c r="V282" s="108"/>
      <c r="W282" s="109"/>
    </row>
    <row r="283" spans="1:23" hidden="1" outlineLevel="4">
      <c r="A283" s="43"/>
      <c r="B283" s="106"/>
      <c r="C283" s="106"/>
      <c r="Q283" s="107"/>
      <c r="R283" s="107"/>
      <c r="S283" s="107"/>
      <c r="T283" s="107"/>
      <c r="U283" s="107"/>
      <c r="V283" s="108"/>
      <c r="W283" s="109"/>
    </row>
    <row r="284" spans="1:23" hidden="1" outlineLevel="4">
      <c r="A284" s="43"/>
      <c r="B284" s="106"/>
      <c r="C284" s="106"/>
      <c r="Q284" s="107"/>
      <c r="R284" s="107"/>
      <c r="S284" s="107"/>
      <c r="T284" s="107"/>
      <c r="U284" s="107"/>
      <c r="V284" s="108"/>
      <c r="W284" s="109"/>
    </row>
    <row r="285" spans="1:23" hidden="1" outlineLevel="4">
      <c r="A285" s="43"/>
      <c r="B285" s="106"/>
      <c r="C285" s="106"/>
      <c r="Q285" s="107"/>
      <c r="R285" s="107"/>
      <c r="S285" s="107"/>
      <c r="T285" s="107"/>
      <c r="U285" s="107"/>
      <c r="V285" s="108"/>
      <c r="W285" s="109"/>
    </row>
    <row r="286" spans="1:23" hidden="1" outlineLevel="4">
      <c r="A286" s="43"/>
      <c r="B286" s="106"/>
      <c r="C286" s="106"/>
      <c r="Q286" s="107"/>
      <c r="R286" s="107"/>
      <c r="S286" s="107"/>
      <c r="T286" s="107"/>
      <c r="U286" s="107"/>
      <c r="V286" s="108"/>
      <c r="W286" s="109"/>
    </row>
    <row r="287" spans="1:23" hidden="1" outlineLevel="4">
      <c r="A287" s="43"/>
      <c r="B287" s="106"/>
      <c r="C287" s="106"/>
      <c r="Q287" s="107"/>
      <c r="R287" s="107"/>
      <c r="S287" s="107"/>
      <c r="T287" s="107"/>
      <c r="U287" s="107"/>
      <c r="V287" s="108"/>
      <c r="W287" s="109"/>
    </row>
    <row r="288" spans="1:23" hidden="1" outlineLevel="4">
      <c r="A288" s="43"/>
      <c r="B288" s="106"/>
      <c r="C288" s="106"/>
      <c r="Q288" s="107"/>
      <c r="R288" s="107"/>
      <c r="S288" s="107"/>
      <c r="T288" s="107"/>
      <c r="U288" s="107"/>
      <c r="V288" s="108"/>
      <c r="W288" s="109"/>
    </row>
    <row r="289" spans="1:33" hidden="1" outlineLevel="4">
      <c r="A289" s="43"/>
      <c r="B289" s="106"/>
      <c r="C289" s="106"/>
      <c r="Q289" s="107"/>
      <c r="R289" s="107"/>
      <c r="S289" s="107"/>
      <c r="T289" s="107"/>
      <c r="U289" s="107"/>
      <c r="V289" s="108"/>
      <c r="W289" s="109"/>
    </row>
    <row r="290" spans="1:33" s="46" customFormat="1" outlineLevel="3" collapsed="1">
      <c r="A290" s="43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7"/>
      <c r="R290" s="107"/>
      <c r="S290" s="107"/>
      <c r="T290" s="107"/>
      <c r="U290" s="107"/>
      <c r="V290" s="108"/>
      <c r="W290" s="109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</row>
    <row r="291" spans="1:33" hidden="1" outlineLevel="4">
      <c r="A291" s="43"/>
      <c r="B291" s="106"/>
      <c r="C291" s="106"/>
      <c r="Q291" s="107"/>
      <c r="R291" s="107"/>
      <c r="S291" s="107"/>
      <c r="T291" s="107"/>
      <c r="U291" s="107"/>
      <c r="V291" s="108"/>
      <c r="W291" s="109"/>
    </row>
    <row r="292" spans="1:33" hidden="1" outlineLevel="4">
      <c r="A292" s="43"/>
      <c r="B292" s="106"/>
      <c r="C292" s="106"/>
      <c r="Q292" s="107"/>
      <c r="R292" s="107"/>
      <c r="S292" s="107"/>
      <c r="T292" s="107"/>
      <c r="U292" s="107"/>
      <c r="V292" s="108"/>
      <c r="W292" s="109"/>
    </row>
    <row r="293" spans="1:33" hidden="1" outlineLevel="4">
      <c r="A293" s="43"/>
      <c r="B293" s="106"/>
      <c r="C293" s="106"/>
      <c r="Q293" s="107"/>
      <c r="R293" s="107"/>
      <c r="S293" s="107"/>
      <c r="T293" s="107"/>
      <c r="U293" s="107"/>
      <c r="V293" s="108"/>
      <c r="W293" s="109"/>
    </row>
    <row r="294" spans="1:33" hidden="1" outlineLevel="4">
      <c r="A294" s="43"/>
      <c r="B294" s="106"/>
      <c r="C294" s="106"/>
      <c r="Q294" s="107"/>
      <c r="R294" s="107"/>
      <c r="S294" s="107"/>
      <c r="T294" s="107"/>
      <c r="U294" s="107"/>
      <c r="V294" s="108"/>
      <c r="W294" s="109"/>
    </row>
    <row r="295" spans="1:33" hidden="1" outlineLevel="4">
      <c r="A295" s="43"/>
      <c r="B295" s="106"/>
      <c r="C295" s="106"/>
      <c r="Q295" s="107"/>
      <c r="R295" s="107"/>
      <c r="S295" s="107"/>
      <c r="T295" s="107"/>
      <c r="U295" s="107"/>
      <c r="V295" s="108"/>
      <c r="W295" s="109"/>
    </row>
    <row r="296" spans="1:33" hidden="1" outlineLevel="4">
      <c r="A296" s="43"/>
      <c r="B296" s="106"/>
      <c r="C296" s="106"/>
      <c r="Q296" s="107"/>
      <c r="R296" s="107"/>
      <c r="S296" s="107"/>
      <c r="T296" s="107"/>
      <c r="U296" s="107"/>
      <c r="V296" s="108"/>
      <c r="W296" s="109"/>
    </row>
    <row r="297" spans="1:33" hidden="1" outlineLevel="4">
      <c r="A297" s="43"/>
      <c r="B297" s="106"/>
      <c r="C297" s="106"/>
      <c r="Q297" s="107"/>
      <c r="R297" s="107"/>
      <c r="S297" s="107"/>
      <c r="T297" s="107"/>
      <c r="U297" s="107"/>
      <c r="V297" s="108"/>
      <c r="W297" s="109"/>
    </row>
    <row r="298" spans="1:33" hidden="1" outlineLevel="4">
      <c r="A298" s="43"/>
      <c r="B298" s="106"/>
      <c r="C298" s="106"/>
      <c r="Q298" s="107"/>
      <c r="R298" s="107"/>
      <c r="S298" s="107"/>
      <c r="T298" s="107"/>
      <c r="U298" s="107"/>
      <c r="V298" s="108"/>
      <c r="W298" s="109"/>
    </row>
    <row r="299" spans="1:33" hidden="1" outlineLevel="4">
      <c r="A299" s="43"/>
      <c r="B299" s="106"/>
      <c r="C299" s="106"/>
      <c r="Q299" s="107"/>
      <c r="R299" s="107"/>
      <c r="S299" s="107"/>
      <c r="T299" s="107"/>
      <c r="U299" s="107"/>
      <c r="V299" s="108"/>
      <c r="W299" s="109"/>
    </row>
    <row r="300" spans="1:33" hidden="1" outlineLevel="4">
      <c r="A300" s="43"/>
      <c r="B300" s="106"/>
      <c r="C300" s="106"/>
      <c r="Q300" s="107"/>
      <c r="R300" s="107"/>
      <c r="S300" s="107"/>
      <c r="T300" s="107"/>
      <c r="U300" s="107"/>
      <c r="V300" s="108"/>
      <c r="W300" s="109"/>
    </row>
    <row r="301" spans="1:33" hidden="1" outlineLevel="4">
      <c r="A301" s="43"/>
      <c r="B301" s="106"/>
      <c r="C301" s="106"/>
      <c r="Q301" s="107"/>
      <c r="R301" s="107"/>
      <c r="S301" s="107"/>
      <c r="T301" s="107"/>
      <c r="U301" s="107"/>
      <c r="V301" s="108"/>
      <c r="W301" s="109"/>
    </row>
    <row r="302" spans="1:33" hidden="1" outlineLevel="4">
      <c r="A302" s="43"/>
      <c r="B302" s="106"/>
      <c r="C302" s="106"/>
      <c r="Q302" s="107"/>
      <c r="R302" s="107"/>
      <c r="S302" s="107"/>
      <c r="T302" s="107"/>
      <c r="U302" s="107"/>
      <c r="V302" s="108"/>
      <c r="W302" s="109"/>
    </row>
    <row r="303" spans="1:33" hidden="1" outlineLevel="4">
      <c r="A303" s="43"/>
      <c r="B303" s="106"/>
      <c r="C303" s="106"/>
      <c r="Q303" s="107"/>
      <c r="R303" s="107"/>
      <c r="S303" s="107"/>
      <c r="T303" s="107"/>
      <c r="U303" s="107"/>
      <c r="V303" s="108"/>
      <c r="W303" s="109"/>
    </row>
    <row r="304" spans="1:33" hidden="1" outlineLevel="4">
      <c r="A304" s="43"/>
      <c r="B304" s="106"/>
      <c r="C304" s="106"/>
      <c r="Q304" s="107"/>
      <c r="R304" s="107"/>
      <c r="S304" s="107"/>
      <c r="T304" s="107"/>
      <c r="U304" s="107"/>
      <c r="V304" s="108"/>
      <c r="W304" s="109"/>
    </row>
    <row r="305" spans="1:33" hidden="1" outlineLevel="4">
      <c r="A305" s="43"/>
      <c r="B305" s="106"/>
      <c r="C305" s="106"/>
      <c r="Q305" s="107"/>
      <c r="R305" s="107"/>
      <c r="S305" s="107"/>
      <c r="T305" s="107"/>
      <c r="U305" s="107"/>
      <c r="V305" s="108"/>
      <c r="W305" s="109"/>
    </row>
    <row r="306" spans="1:33" s="46" customFormat="1" outlineLevel="3" collapsed="1">
      <c r="A306" s="43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7"/>
      <c r="R306" s="107"/>
      <c r="S306" s="107"/>
      <c r="T306" s="107"/>
      <c r="U306" s="107"/>
      <c r="V306" s="108"/>
      <c r="W306" s="109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</row>
    <row r="307" spans="1:33" hidden="1" outlineLevel="4">
      <c r="A307" s="43"/>
      <c r="B307" s="106"/>
      <c r="C307" s="106"/>
      <c r="Q307" s="107"/>
      <c r="R307" s="107"/>
      <c r="S307" s="107"/>
      <c r="T307" s="107"/>
      <c r="U307" s="107"/>
      <c r="V307" s="108"/>
      <c r="W307" s="109"/>
    </row>
    <row r="308" spans="1:33" hidden="1" outlineLevel="4">
      <c r="A308" s="43"/>
      <c r="B308" s="106"/>
      <c r="C308" s="106"/>
      <c r="Q308" s="107"/>
      <c r="R308" s="107"/>
      <c r="S308" s="107"/>
      <c r="T308" s="107"/>
      <c r="U308" s="107"/>
      <c r="V308" s="108"/>
      <c r="W308" s="109"/>
    </row>
    <row r="309" spans="1:33" hidden="1" outlineLevel="4">
      <c r="A309" s="43"/>
      <c r="B309" s="106"/>
      <c r="C309" s="106"/>
      <c r="Q309" s="107"/>
      <c r="R309" s="107"/>
      <c r="S309" s="107"/>
      <c r="T309" s="107"/>
      <c r="U309" s="107"/>
      <c r="V309" s="108"/>
      <c r="W309" s="109"/>
    </row>
    <row r="310" spans="1:33" hidden="1" outlineLevel="4">
      <c r="A310" s="43"/>
      <c r="B310" s="106"/>
      <c r="C310" s="106"/>
      <c r="Q310" s="107"/>
      <c r="R310" s="107"/>
      <c r="S310" s="107"/>
      <c r="T310" s="107"/>
      <c r="U310" s="107"/>
      <c r="V310" s="108"/>
      <c r="W310" s="109"/>
    </row>
    <row r="311" spans="1:33" hidden="1" outlineLevel="4">
      <c r="A311" s="43"/>
      <c r="B311" s="106"/>
      <c r="C311" s="106"/>
      <c r="Q311" s="107"/>
      <c r="R311" s="107"/>
      <c r="S311" s="107"/>
      <c r="T311" s="107"/>
      <c r="U311" s="107"/>
      <c r="V311" s="108"/>
      <c r="W311" s="109"/>
    </row>
    <row r="312" spans="1:33" hidden="1" outlineLevel="4">
      <c r="A312" s="43"/>
      <c r="B312" s="106"/>
      <c r="C312" s="106"/>
      <c r="Q312" s="107"/>
      <c r="R312" s="107"/>
      <c r="S312" s="107"/>
      <c r="T312" s="107"/>
      <c r="U312" s="107"/>
      <c r="V312" s="108"/>
      <c r="W312" s="109"/>
    </row>
    <row r="313" spans="1:33" hidden="1" outlineLevel="4">
      <c r="A313" s="43"/>
      <c r="B313" s="106"/>
      <c r="C313" s="106"/>
      <c r="Q313" s="107"/>
      <c r="R313" s="107"/>
      <c r="S313" s="107"/>
      <c r="T313" s="107"/>
      <c r="U313" s="107"/>
      <c r="V313" s="108"/>
      <c r="W313" s="109"/>
    </row>
    <row r="314" spans="1:33" hidden="1" outlineLevel="4">
      <c r="A314" s="43"/>
      <c r="B314" s="106"/>
      <c r="C314" s="106"/>
      <c r="Q314" s="107"/>
      <c r="R314" s="107"/>
      <c r="S314" s="107"/>
      <c r="T314" s="107"/>
      <c r="U314" s="107"/>
      <c r="V314" s="108"/>
      <c r="W314" s="109"/>
    </row>
    <row r="315" spans="1:33" hidden="1" outlineLevel="4">
      <c r="A315" s="43"/>
      <c r="B315" s="106"/>
      <c r="C315" s="106"/>
      <c r="Q315" s="107"/>
      <c r="R315" s="107"/>
      <c r="S315" s="107"/>
      <c r="T315" s="107"/>
      <c r="U315" s="107"/>
      <c r="V315" s="108"/>
      <c r="W315" s="109"/>
    </row>
    <row r="316" spans="1:33" hidden="1" outlineLevel="4">
      <c r="A316" s="43"/>
      <c r="B316" s="106"/>
      <c r="C316" s="106"/>
      <c r="Q316" s="107"/>
      <c r="R316" s="107"/>
      <c r="S316" s="107"/>
      <c r="T316" s="107"/>
      <c r="U316" s="107"/>
      <c r="V316" s="108"/>
      <c r="W316" s="109"/>
    </row>
    <row r="317" spans="1:33" hidden="1" outlineLevel="4">
      <c r="A317" s="43"/>
      <c r="B317" s="106"/>
      <c r="C317" s="106"/>
      <c r="Q317" s="107"/>
      <c r="R317" s="107"/>
      <c r="S317" s="107"/>
      <c r="T317" s="107"/>
      <c r="U317" s="107"/>
      <c r="V317" s="108"/>
      <c r="W317" s="109"/>
    </row>
    <row r="318" spans="1:33" hidden="1" outlineLevel="4">
      <c r="A318" s="43"/>
      <c r="B318" s="106"/>
      <c r="C318" s="106"/>
      <c r="Q318" s="107"/>
      <c r="R318" s="107"/>
      <c r="S318" s="107"/>
      <c r="T318" s="107"/>
      <c r="U318" s="107"/>
      <c r="V318" s="108"/>
      <c r="W318" s="109"/>
    </row>
    <row r="319" spans="1:33" hidden="1" outlineLevel="4">
      <c r="A319" s="43"/>
      <c r="B319" s="106"/>
      <c r="C319" s="106"/>
      <c r="Q319" s="107"/>
      <c r="R319" s="107"/>
      <c r="S319" s="107"/>
      <c r="T319" s="107"/>
      <c r="U319" s="107"/>
      <c r="V319" s="108"/>
      <c r="W319" s="109"/>
    </row>
    <row r="320" spans="1:33" hidden="1" outlineLevel="4">
      <c r="A320" s="43"/>
      <c r="B320" s="106"/>
      <c r="C320" s="106"/>
      <c r="Q320" s="107"/>
      <c r="R320" s="107"/>
      <c r="S320" s="107"/>
      <c r="T320" s="107"/>
      <c r="U320" s="107"/>
      <c r="V320" s="108"/>
      <c r="W320" s="109"/>
    </row>
    <row r="321" spans="1:33" hidden="1" outlineLevel="4">
      <c r="A321" s="43"/>
      <c r="B321" s="106"/>
      <c r="C321" s="106"/>
      <c r="Q321" s="107"/>
      <c r="R321" s="107"/>
      <c r="S321" s="107"/>
      <c r="T321" s="107"/>
      <c r="U321" s="107"/>
      <c r="V321" s="108"/>
      <c r="W321" s="109"/>
    </row>
    <row r="322" spans="1:33" s="46" customFormat="1" outlineLevel="3" collapsed="1">
      <c r="A322" s="43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7"/>
      <c r="R322" s="107"/>
      <c r="S322" s="107"/>
      <c r="T322" s="107"/>
      <c r="U322" s="107"/>
      <c r="V322" s="108"/>
      <c r="W322" s="109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</row>
    <row r="323" spans="1:33" hidden="1" outlineLevel="4">
      <c r="A323" s="43"/>
      <c r="B323" s="106"/>
      <c r="C323" s="106"/>
      <c r="Q323" s="107"/>
      <c r="R323" s="107"/>
      <c r="S323" s="107"/>
      <c r="T323" s="107"/>
      <c r="U323" s="107"/>
      <c r="V323" s="108"/>
      <c r="W323" s="109"/>
    </row>
    <row r="324" spans="1:33" hidden="1" outlineLevel="4">
      <c r="A324" s="43"/>
      <c r="B324" s="106"/>
      <c r="C324" s="106"/>
      <c r="Q324" s="107"/>
      <c r="R324" s="107"/>
      <c r="S324" s="107"/>
      <c r="T324" s="107"/>
      <c r="U324" s="107"/>
      <c r="V324" s="108"/>
      <c r="W324" s="109"/>
    </row>
    <row r="325" spans="1:33" hidden="1" outlineLevel="4">
      <c r="A325" s="43"/>
      <c r="B325" s="106"/>
      <c r="C325" s="106"/>
      <c r="Q325" s="107"/>
      <c r="R325" s="107"/>
      <c r="S325" s="107"/>
      <c r="T325" s="107"/>
      <c r="U325" s="107"/>
      <c r="V325" s="108"/>
      <c r="W325" s="109"/>
    </row>
    <row r="326" spans="1:33" hidden="1" outlineLevel="4">
      <c r="A326" s="43"/>
      <c r="B326" s="106"/>
      <c r="C326" s="106"/>
      <c r="Q326" s="107"/>
      <c r="R326" s="107"/>
      <c r="S326" s="107"/>
      <c r="T326" s="107"/>
      <c r="U326" s="107"/>
      <c r="V326" s="108"/>
      <c r="W326" s="109"/>
    </row>
    <row r="327" spans="1:33" hidden="1" outlineLevel="4">
      <c r="A327" s="43"/>
      <c r="B327" s="106"/>
      <c r="C327" s="106"/>
      <c r="Q327" s="107"/>
      <c r="R327" s="107"/>
      <c r="S327" s="107"/>
      <c r="T327" s="107"/>
      <c r="U327" s="107"/>
      <c r="V327" s="108"/>
      <c r="W327" s="109"/>
    </row>
    <row r="328" spans="1:33" hidden="1" outlineLevel="4">
      <c r="A328" s="43"/>
      <c r="B328" s="106"/>
      <c r="C328" s="106"/>
      <c r="Q328" s="107"/>
      <c r="R328" s="107"/>
      <c r="S328" s="107"/>
      <c r="T328" s="107"/>
      <c r="U328" s="107"/>
      <c r="V328" s="108"/>
      <c r="W328" s="109"/>
    </row>
    <row r="329" spans="1:33" hidden="1" outlineLevel="4">
      <c r="A329" s="43"/>
      <c r="B329" s="106"/>
      <c r="C329" s="106"/>
      <c r="Q329" s="107"/>
      <c r="R329" s="107"/>
      <c r="S329" s="107"/>
      <c r="T329" s="107"/>
      <c r="U329" s="107"/>
      <c r="V329" s="108"/>
      <c r="W329" s="109"/>
    </row>
    <row r="330" spans="1:33" hidden="1" outlineLevel="4">
      <c r="A330" s="43"/>
      <c r="B330" s="106"/>
      <c r="C330" s="106"/>
      <c r="Q330" s="107"/>
      <c r="R330" s="107"/>
      <c r="S330" s="107"/>
      <c r="T330" s="107"/>
      <c r="U330" s="107"/>
      <c r="V330" s="108"/>
      <c r="W330" s="109"/>
    </row>
    <row r="331" spans="1:33" hidden="1" outlineLevel="4">
      <c r="A331" s="43"/>
      <c r="B331" s="106"/>
      <c r="C331" s="106"/>
      <c r="Q331" s="107"/>
      <c r="R331" s="107"/>
      <c r="S331" s="107"/>
      <c r="T331" s="107"/>
      <c r="U331" s="107"/>
      <c r="V331" s="108"/>
      <c r="W331" s="109"/>
    </row>
    <row r="332" spans="1:33" hidden="1" outlineLevel="4">
      <c r="A332" s="43"/>
      <c r="B332" s="106"/>
      <c r="C332" s="106"/>
      <c r="Q332" s="107"/>
      <c r="R332" s="107"/>
      <c r="S332" s="107"/>
      <c r="T332" s="107"/>
      <c r="U332" s="107"/>
      <c r="V332" s="108"/>
      <c r="W332" s="109"/>
    </row>
    <row r="333" spans="1:33" hidden="1" outlineLevel="4">
      <c r="A333" s="43"/>
      <c r="B333" s="106"/>
      <c r="C333" s="106"/>
      <c r="Q333" s="107"/>
      <c r="R333" s="107"/>
      <c r="S333" s="107"/>
      <c r="T333" s="107"/>
      <c r="U333" s="107"/>
      <c r="V333" s="108"/>
      <c r="W333" s="109"/>
    </row>
    <row r="334" spans="1:33" hidden="1" outlineLevel="4">
      <c r="A334" s="43"/>
      <c r="B334" s="106"/>
      <c r="C334" s="106"/>
      <c r="Q334" s="107"/>
      <c r="R334" s="107"/>
      <c r="S334" s="107"/>
      <c r="T334" s="107"/>
      <c r="U334" s="107"/>
      <c r="V334" s="108"/>
      <c r="W334" s="109"/>
    </row>
    <row r="335" spans="1:33" hidden="1" outlineLevel="4">
      <c r="A335" s="43"/>
      <c r="B335" s="106"/>
      <c r="C335" s="106"/>
      <c r="Q335" s="107"/>
      <c r="R335" s="107"/>
      <c r="S335" s="107"/>
      <c r="T335" s="107"/>
      <c r="U335" s="107"/>
      <c r="V335" s="108"/>
      <c r="W335" s="109"/>
    </row>
    <row r="336" spans="1:33" hidden="1" outlineLevel="4">
      <c r="A336" s="43"/>
      <c r="B336" s="106"/>
      <c r="C336" s="106"/>
      <c r="Q336" s="107"/>
      <c r="R336" s="107"/>
      <c r="S336" s="107"/>
      <c r="T336" s="107"/>
      <c r="U336" s="107"/>
      <c r="V336" s="108"/>
      <c r="W336" s="109"/>
    </row>
    <row r="337" spans="1:33" hidden="1" outlineLevel="4">
      <c r="A337" s="43"/>
      <c r="B337" s="106"/>
      <c r="C337" s="106"/>
      <c r="Q337" s="107"/>
      <c r="R337" s="107"/>
      <c r="S337" s="107"/>
      <c r="T337" s="107"/>
      <c r="U337" s="107"/>
      <c r="V337" s="108"/>
      <c r="W337" s="109"/>
    </row>
    <row r="338" spans="1:33" s="46" customFormat="1" outlineLevel="3" collapsed="1">
      <c r="A338" s="43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7"/>
      <c r="R338" s="107"/>
      <c r="S338" s="107"/>
      <c r="T338" s="107"/>
      <c r="U338" s="107"/>
      <c r="V338" s="108"/>
      <c r="W338" s="109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</row>
    <row r="339" spans="1:33" hidden="1" outlineLevel="4">
      <c r="A339" s="43"/>
      <c r="B339" s="106"/>
      <c r="C339" s="106"/>
      <c r="Q339" s="107"/>
      <c r="R339" s="107"/>
      <c r="S339" s="107"/>
      <c r="T339" s="107"/>
      <c r="U339" s="107"/>
      <c r="V339" s="108"/>
      <c r="W339" s="109"/>
    </row>
    <row r="340" spans="1:33" hidden="1" outlineLevel="4">
      <c r="A340" s="43"/>
      <c r="B340" s="106"/>
      <c r="C340" s="106"/>
      <c r="Q340" s="107"/>
      <c r="R340" s="107"/>
      <c r="S340" s="107"/>
      <c r="T340" s="107"/>
      <c r="U340" s="107"/>
      <c r="V340" s="108"/>
      <c r="W340" s="109"/>
    </row>
    <row r="341" spans="1:33" hidden="1" outlineLevel="4">
      <c r="A341" s="43"/>
      <c r="B341" s="106"/>
      <c r="C341" s="106"/>
      <c r="Q341" s="107"/>
      <c r="R341" s="107"/>
      <c r="S341" s="107"/>
      <c r="T341" s="107"/>
      <c r="U341" s="107"/>
      <c r="V341" s="108"/>
      <c r="W341" s="109"/>
    </row>
    <row r="342" spans="1:33" hidden="1" outlineLevel="4">
      <c r="A342" s="43"/>
      <c r="B342" s="106"/>
      <c r="C342" s="106"/>
      <c r="Q342" s="107"/>
      <c r="R342" s="107"/>
      <c r="S342" s="107"/>
      <c r="T342" s="107"/>
      <c r="U342" s="107"/>
      <c r="V342" s="108"/>
      <c r="W342" s="109"/>
    </row>
    <row r="343" spans="1:33" s="46" customFormat="1" outlineLevel="3" collapsed="1">
      <c r="A343" s="43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7"/>
      <c r="R343" s="107"/>
      <c r="S343" s="107"/>
      <c r="T343" s="107"/>
      <c r="U343" s="107"/>
      <c r="V343" s="108"/>
      <c r="W343" s="109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</row>
    <row r="344" spans="1:33" hidden="1" outlineLevel="4">
      <c r="A344" s="43"/>
      <c r="B344" s="106"/>
      <c r="C344" s="106"/>
      <c r="Q344" s="107"/>
      <c r="R344" s="107"/>
      <c r="S344" s="107"/>
      <c r="T344" s="107"/>
      <c r="U344" s="107"/>
      <c r="V344" s="108"/>
      <c r="W344" s="109"/>
    </row>
    <row r="345" spans="1:33" hidden="1" outlineLevel="4">
      <c r="A345" s="43"/>
      <c r="B345" s="106"/>
      <c r="C345" s="106"/>
      <c r="Q345" s="107"/>
      <c r="R345" s="107"/>
      <c r="S345" s="107"/>
      <c r="T345" s="107"/>
      <c r="U345" s="107"/>
      <c r="V345" s="108"/>
      <c r="W345" s="109"/>
    </row>
    <row r="346" spans="1:33" hidden="1" outlineLevel="4">
      <c r="A346" s="43"/>
      <c r="B346" s="106"/>
      <c r="C346" s="106"/>
      <c r="Q346" s="107"/>
      <c r="R346" s="107"/>
      <c r="S346" s="107"/>
      <c r="T346" s="107"/>
      <c r="U346" s="107"/>
      <c r="V346" s="108"/>
      <c r="W346" s="109"/>
    </row>
    <row r="347" spans="1:33" hidden="1" outlineLevel="4">
      <c r="A347" s="43"/>
      <c r="B347" s="106"/>
      <c r="C347" s="106"/>
      <c r="Q347" s="107"/>
      <c r="R347" s="107"/>
      <c r="S347" s="107"/>
      <c r="T347" s="107"/>
      <c r="U347" s="107"/>
      <c r="V347" s="108"/>
      <c r="W347" s="109"/>
    </row>
    <row r="348" spans="1:33" s="46" customFormat="1" outlineLevel="3" collapsed="1">
      <c r="A348" s="43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7"/>
      <c r="R348" s="107"/>
      <c r="S348" s="107"/>
      <c r="T348" s="107"/>
      <c r="U348" s="107"/>
      <c r="V348" s="108"/>
      <c r="W348" s="109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</row>
    <row r="349" spans="1:33" hidden="1" outlineLevel="4">
      <c r="A349" s="43"/>
      <c r="B349" s="106"/>
      <c r="C349" s="106"/>
      <c r="Q349" s="107"/>
      <c r="R349" s="107"/>
      <c r="S349" s="107"/>
      <c r="T349" s="107"/>
      <c r="U349" s="107"/>
      <c r="V349" s="108"/>
      <c r="W349" s="109"/>
    </row>
    <row r="350" spans="1:33" hidden="1" outlineLevel="4">
      <c r="A350" s="43"/>
      <c r="B350" s="106"/>
      <c r="C350" s="106"/>
      <c r="Q350" s="107"/>
      <c r="R350" s="107"/>
      <c r="S350" s="107"/>
      <c r="T350" s="107"/>
      <c r="U350" s="107"/>
      <c r="V350" s="108"/>
      <c r="W350" s="109"/>
    </row>
    <row r="351" spans="1:33" hidden="1" outlineLevel="4">
      <c r="A351" s="43"/>
      <c r="B351" s="106"/>
      <c r="C351" s="106"/>
      <c r="Q351" s="107"/>
      <c r="R351" s="107"/>
      <c r="S351" s="107"/>
      <c r="T351" s="107"/>
      <c r="U351" s="107"/>
      <c r="V351" s="108"/>
      <c r="W351" s="109"/>
    </row>
    <row r="352" spans="1:33" hidden="1" outlineLevel="4">
      <c r="A352" s="43"/>
      <c r="B352" s="106"/>
      <c r="C352" s="106"/>
      <c r="Q352" s="107"/>
      <c r="R352" s="107"/>
      <c r="S352" s="107"/>
      <c r="T352" s="107"/>
      <c r="U352" s="107"/>
      <c r="V352" s="108"/>
      <c r="W352" s="109"/>
    </row>
    <row r="353" spans="1:33" s="46" customFormat="1" outlineLevel="3" collapsed="1">
      <c r="A353" s="43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7"/>
      <c r="R353" s="107"/>
      <c r="S353" s="107"/>
      <c r="T353" s="107"/>
      <c r="U353" s="107"/>
      <c r="V353" s="108"/>
      <c r="W353" s="109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</row>
    <row r="354" spans="1:33" hidden="1" outlineLevel="4">
      <c r="A354" s="43"/>
      <c r="B354" s="106"/>
      <c r="C354" s="106"/>
      <c r="Q354" s="107"/>
      <c r="R354" s="107"/>
      <c r="S354" s="107"/>
      <c r="T354" s="107"/>
      <c r="U354" s="107"/>
      <c r="V354" s="108"/>
      <c r="W354" s="109"/>
    </row>
    <row r="355" spans="1:33" hidden="1" outlineLevel="4">
      <c r="A355" s="43"/>
      <c r="B355" s="106"/>
      <c r="C355" s="106"/>
      <c r="Q355" s="107"/>
      <c r="R355" s="107"/>
      <c r="S355" s="107"/>
      <c r="T355" s="107"/>
      <c r="U355" s="107"/>
      <c r="V355" s="108"/>
      <c r="W355" s="109"/>
    </row>
    <row r="356" spans="1:33" hidden="1" outlineLevel="4">
      <c r="A356" s="43"/>
      <c r="B356" s="106"/>
      <c r="C356" s="106"/>
      <c r="Q356" s="107"/>
      <c r="R356" s="107"/>
      <c r="S356" s="107"/>
      <c r="T356" s="107"/>
      <c r="U356" s="107"/>
      <c r="V356" s="108"/>
      <c r="W356" s="109"/>
    </row>
    <row r="357" spans="1:33" hidden="1" outlineLevel="4">
      <c r="A357" s="43"/>
      <c r="B357" s="106"/>
      <c r="C357" s="106"/>
      <c r="Q357" s="107"/>
      <c r="R357" s="107"/>
      <c r="S357" s="107"/>
      <c r="T357" s="107"/>
      <c r="U357" s="107"/>
      <c r="V357" s="108"/>
      <c r="W357" s="109"/>
    </row>
    <row r="358" spans="1:33" s="46" customFormat="1" outlineLevel="3" collapsed="1">
      <c r="A358" s="43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7"/>
      <c r="R358" s="107"/>
      <c r="S358" s="107"/>
      <c r="T358" s="107"/>
      <c r="U358" s="107"/>
      <c r="V358" s="108"/>
      <c r="W358" s="109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</row>
    <row r="359" spans="1:33" hidden="1" outlineLevel="4">
      <c r="A359" s="43"/>
      <c r="B359" s="106"/>
      <c r="C359" s="106"/>
      <c r="Q359" s="107"/>
      <c r="R359" s="107"/>
      <c r="S359" s="107"/>
      <c r="T359" s="107"/>
      <c r="U359" s="107"/>
      <c r="V359" s="108"/>
      <c r="W359" s="109"/>
    </row>
    <row r="360" spans="1:33" hidden="1" outlineLevel="4">
      <c r="A360" s="43"/>
      <c r="B360" s="106"/>
      <c r="C360" s="106"/>
      <c r="Q360" s="107"/>
      <c r="R360" s="107"/>
      <c r="S360" s="107"/>
      <c r="T360" s="107"/>
      <c r="U360" s="107"/>
      <c r="V360" s="108"/>
      <c r="W360" s="109"/>
    </row>
    <row r="361" spans="1:33" hidden="1" outlineLevel="4">
      <c r="A361" s="43"/>
      <c r="B361" s="106"/>
      <c r="C361" s="106"/>
      <c r="Q361" s="107"/>
      <c r="R361" s="107"/>
      <c r="S361" s="107"/>
      <c r="T361" s="107"/>
      <c r="U361" s="107"/>
      <c r="V361" s="108"/>
      <c r="W361" s="109"/>
    </row>
    <row r="362" spans="1:33" hidden="1" outlineLevel="4">
      <c r="A362" s="43"/>
      <c r="B362" s="106"/>
      <c r="C362" s="106"/>
      <c r="Q362" s="107"/>
      <c r="R362" s="107"/>
      <c r="S362" s="107"/>
      <c r="T362" s="107"/>
      <c r="U362" s="107"/>
      <c r="V362" s="108"/>
      <c r="W362" s="109"/>
    </row>
    <row r="363" spans="1:33" hidden="1" outlineLevel="4">
      <c r="A363" s="43"/>
      <c r="B363" s="106"/>
      <c r="C363" s="106"/>
      <c r="Q363" s="107"/>
      <c r="R363" s="107"/>
      <c r="S363" s="107"/>
      <c r="T363" s="107"/>
      <c r="U363" s="107"/>
      <c r="V363" s="108"/>
      <c r="W363" s="109"/>
    </row>
    <row r="364" spans="1:33" hidden="1" outlineLevel="4">
      <c r="A364" s="43"/>
      <c r="B364" s="106"/>
      <c r="C364" s="106"/>
      <c r="Q364" s="107"/>
      <c r="R364" s="107"/>
      <c r="S364" s="107"/>
      <c r="T364" s="107"/>
      <c r="U364" s="107"/>
      <c r="V364" s="108"/>
      <c r="W364" s="109"/>
    </row>
    <row r="365" spans="1:33" hidden="1" outlineLevel="4">
      <c r="A365" s="43"/>
      <c r="B365" s="106"/>
      <c r="C365" s="106"/>
      <c r="Q365" s="107"/>
      <c r="R365" s="107"/>
      <c r="S365" s="107"/>
      <c r="T365" s="107"/>
      <c r="U365" s="107"/>
      <c r="V365" s="108"/>
      <c r="W365" s="109"/>
    </row>
    <row r="366" spans="1:33" hidden="1" outlineLevel="4">
      <c r="A366" s="43"/>
      <c r="B366" s="106"/>
      <c r="C366" s="106"/>
      <c r="Q366" s="107"/>
      <c r="R366" s="107"/>
      <c r="S366" s="107"/>
      <c r="T366" s="107"/>
      <c r="U366" s="107"/>
      <c r="V366" s="108"/>
      <c r="W366" s="109"/>
    </row>
    <row r="367" spans="1:33" hidden="1" outlineLevel="4">
      <c r="A367" s="43"/>
      <c r="B367" s="106"/>
      <c r="C367" s="106"/>
      <c r="Q367" s="107"/>
      <c r="R367" s="107"/>
      <c r="S367" s="107"/>
      <c r="T367" s="107"/>
      <c r="U367" s="107"/>
      <c r="V367" s="108"/>
      <c r="W367" s="109"/>
    </row>
    <row r="368" spans="1:33" hidden="1" outlineLevel="4">
      <c r="A368" s="43"/>
      <c r="B368" s="106"/>
      <c r="C368" s="106"/>
      <c r="Q368" s="107"/>
      <c r="R368" s="107"/>
      <c r="S368" s="107"/>
      <c r="T368" s="107"/>
      <c r="U368" s="107"/>
      <c r="V368" s="108"/>
      <c r="W368" s="109"/>
    </row>
    <row r="369" spans="1:33" hidden="1" outlineLevel="4">
      <c r="A369" s="43"/>
      <c r="B369" s="106"/>
      <c r="C369" s="106"/>
      <c r="Q369" s="107"/>
      <c r="R369" s="107"/>
      <c r="S369" s="107"/>
      <c r="T369" s="107"/>
      <c r="U369" s="107"/>
      <c r="V369" s="108"/>
      <c r="W369" s="109"/>
    </row>
    <row r="370" spans="1:33" hidden="1" outlineLevel="4">
      <c r="A370" s="43"/>
      <c r="B370" s="106"/>
      <c r="C370" s="106"/>
      <c r="Q370" s="107"/>
      <c r="R370" s="107"/>
      <c r="S370" s="107"/>
      <c r="T370" s="107"/>
      <c r="U370" s="107"/>
      <c r="V370" s="108"/>
      <c r="W370" s="109"/>
    </row>
    <row r="371" spans="1:33" s="46" customFormat="1" outlineLevel="3" collapsed="1">
      <c r="A371" s="43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7"/>
      <c r="R371" s="107"/>
      <c r="S371" s="107"/>
      <c r="T371" s="107"/>
      <c r="U371" s="107"/>
      <c r="V371" s="108"/>
      <c r="W371" s="109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</row>
    <row r="372" spans="1:33" outlineLevel="4">
      <c r="A372" s="43"/>
      <c r="B372" s="106"/>
      <c r="C372" s="106"/>
      <c r="Q372" s="107"/>
      <c r="R372" s="107"/>
      <c r="S372" s="107"/>
      <c r="T372" s="107"/>
      <c r="U372" s="107"/>
      <c r="V372" s="108"/>
      <c r="W372" s="109"/>
    </row>
    <row r="373" spans="1:33" s="46" customFormat="1" outlineLevel="3">
      <c r="A373" s="43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7"/>
      <c r="R373" s="107"/>
      <c r="S373" s="107"/>
      <c r="T373" s="107"/>
      <c r="U373" s="107"/>
      <c r="V373" s="108"/>
      <c r="W373" s="109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</row>
    <row r="374" spans="1:33" outlineLevel="4">
      <c r="A374" s="43"/>
      <c r="B374" s="106"/>
      <c r="C374" s="106"/>
      <c r="Q374" s="107"/>
      <c r="R374" s="107"/>
      <c r="S374" s="107"/>
      <c r="T374" s="107"/>
      <c r="U374" s="107"/>
      <c r="V374" s="108"/>
      <c r="W374" s="109"/>
    </row>
    <row r="375" spans="1:33" outlineLevel="4">
      <c r="A375" s="43"/>
      <c r="B375" s="106"/>
      <c r="C375" s="106"/>
      <c r="Q375" s="107"/>
      <c r="R375" s="107"/>
      <c r="S375" s="107"/>
      <c r="T375" s="107"/>
      <c r="U375" s="107"/>
      <c r="V375" s="108"/>
      <c r="W375" s="109"/>
    </row>
    <row r="376" spans="1:33" outlineLevel="4">
      <c r="A376" s="43"/>
      <c r="B376" s="106"/>
      <c r="C376" s="106"/>
      <c r="Q376" s="107"/>
      <c r="R376" s="107"/>
      <c r="S376" s="107"/>
      <c r="T376" s="107"/>
      <c r="U376" s="107"/>
      <c r="V376" s="108"/>
      <c r="W376" s="109"/>
    </row>
    <row r="377" spans="1:33" s="46" customFormat="1" outlineLevel="3">
      <c r="A377" s="43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7"/>
      <c r="R377" s="107"/>
      <c r="S377" s="107"/>
      <c r="T377" s="107"/>
      <c r="U377" s="107"/>
      <c r="V377" s="108"/>
      <c r="W377" s="109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</row>
    <row r="378" spans="1:33" outlineLevel="4">
      <c r="A378" s="43"/>
      <c r="B378" s="106"/>
      <c r="C378" s="106"/>
      <c r="Q378" s="107"/>
      <c r="R378" s="107"/>
      <c r="S378" s="107"/>
      <c r="T378" s="107"/>
      <c r="U378" s="107"/>
      <c r="V378" s="108"/>
      <c r="W378" s="109"/>
    </row>
    <row r="379" spans="1:33" outlineLevel="4">
      <c r="A379" s="43"/>
      <c r="B379" s="106"/>
      <c r="C379" s="106"/>
      <c r="Q379" s="107"/>
      <c r="R379" s="107"/>
      <c r="S379" s="107"/>
      <c r="T379" s="107"/>
      <c r="U379" s="107"/>
      <c r="V379" s="108"/>
      <c r="W379" s="109"/>
    </row>
    <row r="380" spans="1:33" outlineLevel="4">
      <c r="A380" s="43"/>
      <c r="B380" s="106"/>
      <c r="C380" s="106"/>
      <c r="Q380" s="107"/>
      <c r="R380" s="107"/>
      <c r="S380" s="107"/>
      <c r="T380" s="107"/>
      <c r="U380" s="107"/>
      <c r="V380" s="108"/>
      <c r="W380" s="109"/>
    </row>
    <row r="381" spans="1:33" outlineLevel="4">
      <c r="A381" s="43"/>
      <c r="B381" s="106"/>
      <c r="C381" s="106"/>
      <c r="Q381" s="107"/>
      <c r="R381" s="107"/>
      <c r="S381" s="107"/>
      <c r="T381" s="107"/>
      <c r="U381" s="107"/>
      <c r="V381" s="108"/>
      <c r="W381" s="109"/>
    </row>
    <row r="382" spans="1:33" outlineLevel="4">
      <c r="A382" s="43"/>
      <c r="B382" s="106"/>
      <c r="C382" s="106"/>
      <c r="Q382" s="107"/>
      <c r="R382" s="107"/>
      <c r="S382" s="107"/>
      <c r="T382" s="107"/>
      <c r="U382" s="107"/>
      <c r="V382" s="108"/>
      <c r="W382" s="109"/>
    </row>
    <row r="383" spans="1:33" outlineLevel="4">
      <c r="A383" s="43"/>
      <c r="B383" s="106"/>
      <c r="C383" s="106"/>
      <c r="Q383" s="107"/>
      <c r="R383" s="107"/>
      <c r="S383" s="107"/>
      <c r="T383" s="107"/>
      <c r="U383" s="107"/>
      <c r="V383" s="108"/>
      <c r="W383" s="109"/>
    </row>
    <row r="384" spans="1:33" outlineLevel="4">
      <c r="A384" s="43"/>
      <c r="B384" s="106"/>
      <c r="C384" s="106"/>
      <c r="Q384" s="107"/>
      <c r="R384" s="107"/>
      <c r="S384" s="107"/>
      <c r="T384" s="107"/>
      <c r="U384" s="107"/>
      <c r="V384" s="108"/>
      <c r="W384" s="109"/>
    </row>
    <row r="385" spans="1:33" s="46" customFormat="1" outlineLevel="3">
      <c r="A385" s="43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7"/>
      <c r="R385" s="107"/>
      <c r="S385" s="107"/>
      <c r="T385" s="107"/>
      <c r="U385" s="107"/>
      <c r="V385" s="108"/>
      <c r="W385" s="109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</row>
    <row r="386" spans="1:33" outlineLevel="4">
      <c r="A386" s="43"/>
      <c r="B386" s="106"/>
      <c r="C386" s="106"/>
      <c r="Q386" s="107"/>
      <c r="R386" s="107"/>
      <c r="S386" s="107"/>
      <c r="T386" s="107"/>
      <c r="U386" s="107"/>
      <c r="V386" s="108"/>
      <c r="W386" s="109"/>
    </row>
    <row r="387" spans="1:33" outlineLevel="4">
      <c r="A387" s="43"/>
      <c r="B387" s="106"/>
      <c r="C387" s="106"/>
      <c r="Q387" s="107"/>
      <c r="R387" s="107"/>
      <c r="S387" s="107"/>
      <c r="T387" s="107"/>
      <c r="U387" s="107"/>
      <c r="V387" s="108"/>
      <c r="W387" s="109"/>
    </row>
    <row r="388" spans="1:33" outlineLevel="4">
      <c r="A388" s="43"/>
      <c r="B388" s="106"/>
      <c r="C388" s="106"/>
      <c r="Q388" s="107"/>
      <c r="R388" s="107"/>
      <c r="S388" s="107"/>
      <c r="T388" s="107"/>
      <c r="U388" s="107"/>
      <c r="V388" s="108"/>
      <c r="W388" s="109"/>
    </row>
    <row r="389" spans="1:33" outlineLevel="4">
      <c r="A389" s="43"/>
      <c r="B389" s="106"/>
      <c r="C389" s="106"/>
      <c r="Q389" s="107"/>
      <c r="R389" s="107"/>
      <c r="S389" s="107"/>
      <c r="T389" s="107"/>
      <c r="U389" s="107"/>
      <c r="V389" s="108"/>
      <c r="W389" s="109"/>
    </row>
    <row r="390" spans="1:33" outlineLevel="4">
      <c r="A390" s="43"/>
      <c r="B390" s="106"/>
      <c r="C390" s="106"/>
      <c r="Q390" s="107"/>
      <c r="R390" s="107"/>
      <c r="S390" s="107"/>
      <c r="T390" s="107"/>
      <c r="U390" s="107"/>
      <c r="V390" s="108"/>
      <c r="W390" s="109"/>
    </row>
    <row r="391" spans="1:33" outlineLevel="4">
      <c r="A391" s="43"/>
      <c r="B391" s="106"/>
      <c r="C391" s="106"/>
      <c r="Q391" s="107"/>
      <c r="R391" s="107"/>
      <c r="S391" s="107"/>
      <c r="T391" s="107"/>
      <c r="U391" s="107"/>
      <c r="V391" s="108"/>
      <c r="W391" s="109"/>
    </row>
    <row r="392" spans="1:33" outlineLevel="4">
      <c r="A392" s="43"/>
      <c r="B392" s="106"/>
      <c r="C392" s="106"/>
      <c r="Q392" s="107"/>
      <c r="R392" s="107"/>
      <c r="S392" s="107"/>
      <c r="T392" s="107"/>
      <c r="U392" s="107"/>
      <c r="V392" s="108"/>
      <c r="W392" s="109"/>
    </row>
    <row r="393" spans="1:33" s="46" customFormat="1" outlineLevel="3">
      <c r="A393" s="43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7"/>
      <c r="R393" s="107"/>
      <c r="S393" s="107"/>
      <c r="T393" s="107"/>
      <c r="U393" s="107"/>
      <c r="V393" s="108"/>
      <c r="W393" s="109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</row>
    <row r="394" spans="1:33" outlineLevel="4">
      <c r="A394" s="43"/>
      <c r="B394" s="106"/>
      <c r="C394" s="106"/>
      <c r="Q394" s="107"/>
      <c r="R394" s="107"/>
      <c r="S394" s="107"/>
      <c r="T394" s="107"/>
      <c r="U394" s="107"/>
      <c r="V394" s="108"/>
      <c r="W394" s="109"/>
    </row>
    <row r="395" spans="1:33" outlineLevel="4">
      <c r="A395" s="43"/>
      <c r="B395" s="106"/>
      <c r="C395" s="106"/>
      <c r="Q395" s="107"/>
      <c r="R395" s="107"/>
      <c r="S395" s="107"/>
      <c r="T395" s="107"/>
      <c r="U395" s="107"/>
      <c r="V395" s="108"/>
      <c r="W395" s="109"/>
    </row>
    <row r="396" spans="1:33" outlineLevel="4">
      <c r="A396" s="43"/>
      <c r="B396" s="106"/>
      <c r="C396" s="106"/>
      <c r="Q396" s="107"/>
      <c r="R396" s="107"/>
      <c r="S396" s="107"/>
      <c r="T396" s="107"/>
      <c r="U396" s="107"/>
      <c r="V396" s="108"/>
      <c r="W396" s="109"/>
    </row>
    <row r="397" spans="1:33" outlineLevel="4">
      <c r="A397" s="43"/>
      <c r="B397" s="106"/>
      <c r="C397" s="106"/>
      <c r="Q397" s="107"/>
      <c r="R397" s="107"/>
      <c r="S397" s="107"/>
      <c r="T397" s="107"/>
      <c r="U397" s="107"/>
      <c r="V397" s="108"/>
      <c r="W397" s="109"/>
    </row>
    <row r="398" spans="1:33" outlineLevel="4">
      <c r="A398" s="43"/>
      <c r="B398" s="106"/>
      <c r="C398" s="106"/>
      <c r="Q398" s="107"/>
      <c r="R398" s="107"/>
      <c r="S398" s="107"/>
      <c r="T398" s="107"/>
      <c r="U398" s="107"/>
      <c r="V398" s="108"/>
      <c r="W398" s="109"/>
    </row>
    <row r="399" spans="1:33" outlineLevel="4">
      <c r="A399" s="43"/>
      <c r="B399" s="106"/>
      <c r="C399" s="106"/>
      <c r="Q399" s="107"/>
      <c r="R399" s="107"/>
      <c r="S399" s="107"/>
      <c r="T399" s="107"/>
      <c r="U399" s="107"/>
      <c r="V399" s="108"/>
      <c r="W399" s="109"/>
    </row>
    <row r="400" spans="1:33" outlineLevel="4">
      <c r="A400" s="43"/>
      <c r="B400" s="106"/>
      <c r="C400" s="106"/>
      <c r="Q400" s="107"/>
      <c r="R400" s="107"/>
      <c r="S400" s="107"/>
      <c r="T400" s="107"/>
      <c r="U400" s="107"/>
      <c r="V400" s="108"/>
      <c r="W400" s="109"/>
    </row>
    <row r="401" spans="1:33" outlineLevel="4">
      <c r="A401" s="43"/>
      <c r="B401" s="106"/>
      <c r="C401" s="106"/>
      <c r="Q401" s="107"/>
      <c r="R401" s="107"/>
      <c r="S401" s="107"/>
      <c r="T401" s="107"/>
      <c r="U401" s="107"/>
      <c r="V401" s="108"/>
      <c r="W401" s="109"/>
    </row>
    <row r="402" spans="1:33" s="46" customFormat="1" outlineLevel="3">
      <c r="A402" s="43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7"/>
      <c r="R402" s="107"/>
      <c r="S402" s="107"/>
      <c r="T402" s="107"/>
      <c r="U402" s="107"/>
      <c r="V402" s="108"/>
      <c r="W402" s="109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</row>
    <row r="403" spans="1:33" outlineLevel="4">
      <c r="A403" s="43"/>
      <c r="B403" s="106"/>
      <c r="C403" s="106"/>
      <c r="Q403" s="107"/>
      <c r="R403" s="107"/>
      <c r="S403" s="107"/>
      <c r="T403" s="107"/>
      <c r="U403" s="107"/>
      <c r="V403" s="108"/>
      <c r="W403" s="109"/>
    </row>
    <row r="404" spans="1:33" outlineLevel="4">
      <c r="A404" s="43"/>
      <c r="B404" s="106"/>
      <c r="C404" s="106"/>
      <c r="Q404" s="107"/>
      <c r="R404" s="107"/>
      <c r="S404" s="107"/>
      <c r="T404" s="107"/>
      <c r="U404" s="107"/>
      <c r="V404" s="108"/>
      <c r="W404" s="109"/>
    </row>
    <row r="405" spans="1:33" outlineLevel="4">
      <c r="A405" s="43"/>
      <c r="B405" s="106"/>
      <c r="C405" s="106"/>
      <c r="Q405" s="107"/>
      <c r="R405" s="107"/>
      <c r="S405" s="107"/>
      <c r="T405" s="107"/>
      <c r="U405" s="107"/>
      <c r="V405" s="108"/>
      <c r="W405" s="109"/>
    </row>
    <row r="406" spans="1:33" s="46" customFormat="1" outlineLevel="3">
      <c r="A406" s="43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7"/>
      <c r="R406" s="107"/>
      <c r="S406" s="107"/>
      <c r="T406" s="107"/>
      <c r="U406" s="107"/>
      <c r="V406" s="108"/>
      <c r="W406" s="109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</row>
    <row r="407" spans="1:33" outlineLevel="4">
      <c r="A407" s="43"/>
      <c r="B407" s="106"/>
      <c r="C407" s="106"/>
      <c r="Q407" s="107"/>
      <c r="R407" s="107"/>
      <c r="S407" s="107"/>
      <c r="T407" s="107"/>
      <c r="U407" s="107"/>
      <c r="V407" s="108"/>
      <c r="W407" s="109"/>
    </row>
    <row r="408" spans="1:33" outlineLevel="4">
      <c r="A408" s="43"/>
      <c r="B408" s="106"/>
      <c r="C408" s="106"/>
      <c r="Q408" s="107"/>
      <c r="R408" s="107"/>
      <c r="S408" s="107"/>
      <c r="T408" s="107"/>
      <c r="U408" s="107"/>
      <c r="V408" s="108"/>
      <c r="W408" s="109"/>
    </row>
    <row r="409" spans="1:33" outlineLevel="4">
      <c r="A409" s="43"/>
      <c r="B409" s="106"/>
      <c r="C409" s="106"/>
      <c r="Q409" s="107"/>
      <c r="R409" s="107"/>
      <c r="S409" s="107"/>
      <c r="T409" s="107"/>
      <c r="U409" s="107"/>
      <c r="V409" s="108"/>
      <c r="W409" s="109"/>
    </row>
    <row r="410" spans="1:33" outlineLevel="4">
      <c r="A410" s="43"/>
      <c r="B410" s="106"/>
      <c r="C410" s="106"/>
      <c r="Q410" s="107"/>
      <c r="R410" s="107"/>
      <c r="S410" s="107"/>
      <c r="T410" s="107"/>
      <c r="U410" s="107"/>
      <c r="V410" s="108"/>
      <c r="W410" s="109"/>
    </row>
    <row r="411" spans="1:33" outlineLevel="4">
      <c r="A411" s="43"/>
      <c r="B411" s="106"/>
      <c r="C411" s="106"/>
      <c r="Q411" s="107"/>
      <c r="R411" s="107"/>
      <c r="S411" s="107"/>
      <c r="T411" s="107"/>
      <c r="U411" s="107"/>
      <c r="V411" s="108"/>
      <c r="W411" s="109"/>
    </row>
    <row r="412" spans="1:33" outlineLevel="4">
      <c r="A412" s="43"/>
      <c r="B412" s="106"/>
      <c r="C412" s="106"/>
      <c r="Q412" s="107"/>
      <c r="R412" s="107"/>
      <c r="S412" s="107"/>
      <c r="T412" s="107"/>
      <c r="U412" s="107"/>
      <c r="V412" s="108"/>
      <c r="W412" s="109"/>
    </row>
    <row r="413" spans="1:33" outlineLevel="4">
      <c r="A413" s="43"/>
      <c r="B413" s="106"/>
      <c r="C413" s="106"/>
      <c r="Q413" s="107"/>
      <c r="R413" s="107"/>
      <c r="S413" s="107"/>
      <c r="T413" s="107"/>
      <c r="U413" s="107"/>
      <c r="V413" s="108"/>
      <c r="W413" s="109"/>
    </row>
    <row r="414" spans="1:33" s="46" customFormat="1" outlineLevel="3">
      <c r="A414" s="43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7"/>
      <c r="R414" s="107"/>
      <c r="S414" s="107"/>
      <c r="T414" s="107"/>
      <c r="U414" s="107"/>
      <c r="V414" s="108"/>
      <c r="W414" s="109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</row>
    <row r="415" spans="1:33" outlineLevel="4">
      <c r="A415" s="43"/>
      <c r="B415" s="106"/>
      <c r="C415" s="106"/>
      <c r="Q415" s="107"/>
      <c r="R415" s="107"/>
      <c r="S415" s="107"/>
      <c r="T415" s="107"/>
      <c r="U415" s="107"/>
      <c r="V415" s="108"/>
      <c r="W415" s="109"/>
    </row>
    <row r="416" spans="1:33" outlineLevel="4">
      <c r="A416" s="43"/>
      <c r="B416" s="106"/>
      <c r="C416" s="106"/>
      <c r="Q416" s="107"/>
      <c r="R416" s="107"/>
      <c r="S416" s="107"/>
      <c r="T416" s="107"/>
      <c r="U416" s="107"/>
      <c r="V416" s="108"/>
      <c r="W416" s="109"/>
    </row>
    <row r="417" spans="1:33" outlineLevel="4">
      <c r="A417" s="43"/>
      <c r="B417" s="106"/>
      <c r="C417" s="106"/>
      <c r="Q417" s="107"/>
      <c r="R417" s="107"/>
      <c r="S417" s="107"/>
      <c r="T417" s="107"/>
      <c r="U417" s="107"/>
      <c r="V417" s="108"/>
      <c r="W417" s="109"/>
    </row>
    <row r="418" spans="1:33" outlineLevel="4">
      <c r="A418" s="43"/>
      <c r="B418" s="106"/>
      <c r="C418" s="106"/>
      <c r="Q418" s="107"/>
      <c r="R418" s="107"/>
      <c r="S418" s="107"/>
      <c r="T418" s="107"/>
      <c r="U418" s="107"/>
      <c r="V418" s="108"/>
      <c r="W418" s="109"/>
    </row>
    <row r="419" spans="1:33" outlineLevel="4">
      <c r="A419" s="43"/>
      <c r="B419" s="106"/>
      <c r="C419" s="106"/>
      <c r="Q419" s="107"/>
      <c r="R419" s="107"/>
      <c r="S419" s="107"/>
      <c r="T419" s="107"/>
      <c r="U419" s="107"/>
      <c r="V419" s="108"/>
      <c r="W419" s="109"/>
    </row>
    <row r="420" spans="1:33" outlineLevel="4">
      <c r="A420" s="43"/>
      <c r="B420" s="106"/>
      <c r="C420" s="106"/>
      <c r="Q420" s="107"/>
      <c r="R420" s="107"/>
      <c r="S420" s="107"/>
      <c r="T420" s="107"/>
      <c r="U420" s="107"/>
      <c r="V420" s="108"/>
      <c r="W420" s="109"/>
    </row>
    <row r="421" spans="1:33" outlineLevel="4">
      <c r="A421" s="43"/>
      <c r="B421" s="106"/>
      <c r="C421" s="106"/>
      <c r="Q421" s="107"/>
      <c r="R421" s="107"/>
      <c r="S421" s="107"/>
      <c r="T421" s="107"/>
      <c r="U421" s="107"/>
      <c r="V421" s="108"/>
      <c r="W421" s="109"/>
    </row>
    <row r="422" spans="1:33" s="46" customFormat="1" outlineLevel="3">
      <c r="A422" s="43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7"/>
      <c r="R422" s="107"/>
      <c r="S422" s="107"/>
      <c r="T422" s="107"/>
      <c r="U422" s="107"/>
      <c r="V422" s="108"/>
      <c r="W422" s="109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</row>
    <row r="423" spans="1:33" outlineLevel="4">
      <c r="A423" s="43"/>
      <c r="B423" s="106"/>
      <c r="C423" s="106"/>
      <c r="Q423" s="107"/>
      <c r="R423" s="107"/>
      <c r="S423" s="107"/>
      <c r="T423" s="107"/>
      <c r="U423" s="107"/>
      <c r="V423" s="108"/>
      <c r="W423" s="109"/>
    </row>
    <row r="424" spans="1:33" s="46" customFormat="1" outlineLevel="3">
      <c r="A424" s="43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7"/>
      <c r="R424" s="107"/>
      <c r="S424" s="107"/>
      <c r="T424" s="107"/>
      <c r="U424" s="107"/>
      <c r="V424" s="108"/>
      <c r="W424" s="109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</row>
    <row r="425" spans="1:33" outlineLevel="4">
      <c r="A425" s="43"/>
      <c r="B425" s="106"/>
      <c r="C425" s="106"/>
      <c r="Q425" s="107"/>
      <c r="R425" s="107"/>
      <c r="S425" s="107"/>
      <c r="T425" s="107"/>
      <c r="U425" s="107"/>
      <c r="V425" s="108"/>
      <c r="W425" s="109"/>
    </row>
    <row r="426" spans="1:33" outlineLevel="4">
      <c r="A426" s="43"/>
      <c r="B426" s="106"/>
      <c r="C426" s="106"/>
      <c r="Q426" s="107"/>
      <c r="R426" s="107"/>
      <c r="S426" s="107"/>
      <c r="T426" s="107"/>
      <c r="U426" s="107"/>
      <c r="V426" s="108"/>
      <c r="W426" s="109"/>
    </row>
    <row r="427" spans="1:33" outlineLevel="4">
      <c r="A427" s="43"/>
      <c r="B427" s="106"/>
      <c r="C427" s="106"/>
      <c r="W427" s="111"/>
    </row>
    <row r="428" spans="1:33" outlineLevel="4">
      <c r="A428" s="43"/>
      <c r="B428" s="106"/>
      <c r="C428" s="106"/>
      <c r="W428" s="111"/>
    </row>
    <row r="429" spans="1:33" outlineLevel="4">
      <c r="A429" s="43"/>
      <c r="B429" s="106"/>
      <c r="C429" s="106"/>
      <c r="W429" s="111"/>
    </row>
    <row r="430" spans="1:33" s="46" customFormat="1" ht="17.399999999999999" outlineLevel="3"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85"/>
      <c r="R430" s="85"/>
      <c r="S430" s="85"/>
      <c r="T430" s="85"/>
      <c r="U430" s="85"/>
      <c r="V430" s="85"/>
      <c r="W430" s="86"/>
    </row>
    <row r="431" spans="1:33" outlineLevel="4">
      <c r="A431" s="43"/>
      <c r="B431" s="106"/>
      <c r="C431" s="106"/>
      <c r="W431" s="111"/>
    </row>
    <row r="432" spans="1:33" outlineLevel="4">
      <c r="A432" s="43"/>
      <c r="B432" s="106"/>
      <c r="C432" s="106"/>
      <c r="W432" s="111"/>
    </row>
    <row r="433" spans="1:23" outlineLevel="4">
      <c r="A433" s="43"/>
      <c r="B433" s="106"/>
      <c r="C433" s="106"/>
      <c r="W433" s="111"/>
    </row>
    <row r="434" spans="1:23" outlineLevel="4">
      <c r="A434" s="43"/>
      <c r="B434" s="106"/>
      <c r="C434" s="106"/>
      <c r="W434" s="111"/>
    </row>
    <row r="435" spans="1:23" outlineLevel="4">
      <c r="A435" s="43"/>
      <c r="B435" s="106"/>
      <c r="C435" s="106"/>
      <c r="W435" s="111"/>
    </row>
    <row r="436" spans="1:23" outlineLevel="4">
      <c r="A436" s="43"/>
      <c r="B436" s="106"/>
      <c r="C436" s="106"/>
      <c r="W436" s="111"/>
    </row>
    <row r="437" spans="1:23" s="46" customFormat="1" ht="17.399999999999999" outlineLevel="3"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85"/>
      <c r="R437" s="85"/>
      <c r="S437" s="85"/>
      <c r="T437" s="85"/>
      <c r="U437" s="85"/>
      <c r="V437" s="85"/>
      <c r="W437" s="86"/>
    </row>
    <row r="438" spans="1:23" hidden="1" outlineLevel="4">
      <c r="A438" s="43"/>
      <c r="B438" s="106"/>
      <c r="C438" s="106"/>
      <c r="W438" s="111"/>
    </row>
    <row r="439" spans="1:23" hidden="1" outlineLevel="4">
      <c r="A439" s="43"/>
      <c r="B439" s="106"/>
      <c r="C439" s="106"/>
      <c r="W439" s="111"/>
    </row>
    <row r="440" spans="1:23" s="46" customFormat="1" ht="17.399999999999999" outlineLevel="1">
      <c r="A440" s="47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85"/>
      <c r="R440" s="85"/>
      <c r="S440" s="85"/>
      <c r="T440" s="85"/>
      <c r="U440" s="85"/>
      <c r="V440" s="85"/>
      <c r="W440" s="86"/>
    </row>
    <row r="441" spans="1:23" s="46" customFormat="1" ht="17.399999999999999" outlineLevel="2">
      <c r="A441" s="47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85"/>
      <c r="R441" s="85"/>
      <c r="S441" s="85"/>
      <c r="T441" s="85"/>
      <c r="U441" s="85"/>
      <c r="V441" s="85"/>
      <c r="W441" s="86"/>
    </row>
    <row r="442" spans="1:23" s="46" customFormat="1" ht="17.399999999999999" outlineLevel="3">
      <c r="A442" s="47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85"/>
      <c r="R442" s="85"/>
      <c r="S442" s="85"/>
      <c r="T442" s="85"/>
      <c r="U442" s="85"/>
      <c r="V442" s="85"/>
      <c r="W442" s="86"/>
    </row>
    <row r="443" spans="1:23" outlineLevel="4">
      <c r="A443" s="45"/>
      <c r="B443" s="106"/>
      <c r="C443" s="106"/>
      <c r="W443" s="111"/>
    </row>
    <row r="444" spans="1:23" s="46" customFormat="1" ht="17.399999999999999" outlineLevel="3">
      <c r="A444" s="47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85"/>
      <c r="R444" s="85"/>
      <c r="S444" s="85"/>
      <c r="T444" s="85"/>
      <c r="U444" s="85"/>
      <c r="V444" s="85"/>
      <c r="W444" s="86"/>
    </row>
    <row r="445" spans="1:23" hidden="1" outlineLevel="4">
      <c r="A445" s="43"/>
      <c r="B445" s="106"/>
      <c r="C445" s="106"/>
      <c r="W445" s="111"/>
    </row>
    <row r="446" spans="1:23">
      <c r="A446" s="43"/>
      <c r="B446" s="106"/>
      <c r="C446" s="106"/>
      <c r="W446" s="111"/>
    </row>
    <row r="447" spans="1:23">
      <c r="A447" s="48"/>
    </row>
    <row r="448" spans="1:23">
      <c r="A448" s="48"/>
    </row>
    <row r="449" spans="1:1">
      <c r="A449" s="48"/>
    </row>
    <row r="450" spans="1:1">
      <c r="A450" s="48"/>
    </row>
    <row r="451" spans="1:1">
      <c r="A451" s="48"/>
    </row>
    <row r="452" spans="1:1">
      <c r="A452" s="48"/>
    </row>
    <row r="453" spans="1:1">
      <c r="A453" s="48"/>
    </row>
    <row r="454" spans="1:1">
      <c r="A454" s="48"/>
    </row>
  </sheetData>
  <mergeCells count="7">
    <mergeCell ref="B155:W155"/>
    <mergeCell ref="B62:C62"/>
    <mergeCell ref="D62:W62"/>
    <mergeCell ref="B85:D85"/>
    <mergeCell ref="Q85:W85"/>
    <mergeCell ref="B143:D143"/>
    <mergeCell ref="Q143:W143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7D66-383A-4AB0-8897-A40CBC7A32EA}">
  <dimension ref="A1:K126"/>
  <sheetViews>
    <sheetView zoomScaleNormal="100" workbookViewId="0">
      <pane ySplit="2" topLeftCell="A120" activePane="bottomLeft" state="frozen"/>
      <selection pane="bottomLeft" activeCell="T37" sqref="T37"/>
    </sheetView>
  </sheetViews>
  <sheetFormatPr defaultRowHeight="18"/>
  <cols>
    <col min="1" max="1" width="2.21875" style="27" customWidth="1"/>
    <col min="2" max="2" width="10.21875" style="52" customWidth="1"/>
    <col min="3" max="3" width="41.21875" style="52" customWidth="1"/>
    <col min="4" max="4" width="13.44140625" style="53" customWidth="1"/>
    <col min="5" max="9" width="14.33203125" style="53" customWidth="1"/>
    <col min="10" max="10" width="14.33203125" style="54" customWidth="1"/>
    <col min="11" max="11" width="45.5546875" style="52" customWidth="1"/>
  </cols>
  <sheetData>
    <row r="1" spans="2:11" ht="25.05" customHeight="1"/>
    <row r="2" spans="2:11" ht="31.2">
      <c r="B2" s="56" t="s">
        <v>1141</v>
      </c>
      <c r="C2" s="56" t="s">
        <v>661</v>
      </c>
      <c r="D2" s="57" t="s">
        <v>7</v>
      </c>
      <c r="E2" s="58" t="s">
        <v>1143</v>
      </c>
      <c r="F2" s="58" t="s">
        <v>1144</v>
      </c>
      <c r="G2" s="58" t="s">
        <v>1145</v>
      </c>
      <c r="H2" s="58" t="s">
        <v>1146</v>
      </c>
      <c r="I2" s="58" t="s">
        <v>1147</v>
      </c>
      <c r="J2" s="59" t="s">
        <v>1138</v>
      </c>
      <c r="K2" s="60" t="s">
        <v>1139</v>
      </c>
    </row>
    <row r="3" spans="2:11" ht="33.6" customHeight="1">
      <c r="B3" s="77" t="s">
        <v>311</v>
      </c>
      <c r="C3" s="78" t="s">
        <v>312</v>
      </c>
      <c r="D3" s="67"/>
      <c r="E3" s="67"/>
      <c r="F3" s="67"/>
      <c r="G3" s="67"/>
      <c r="H3" s="67"/>
      <c r="I3" s="67"/>
      <c r="J3" s="68">
        <f>E3+F3+G3+H3+I3</f>
        <v>0</v>
      </c>
      <c r="K3" s="69"/>
    </row>
    <row r="4" spans="2:11" ht="33.6" customHeight="1">
      <c r="B4" s="77" t="s">
        <v>313</v>
      </c>
      <c r="C4" s="78" t="s">
        <v>314</v>
      </c>
      <c r="D4" s="67"/>
      <c r="E4" s="67"/>
      <c r="F4" s="67"/>
      <c r="G4" s="67"/>
      <c r="H4" s="67"/>
      <c r="I4" s="67"/>
      <c r="J4" s="68">
        <f t="shared" ref="J4:J66" si="0">E4+F4+G4+H4+I4</f>
        <v>0</v>
      </c>
      <c r="K4" s="69"/>
    </row>
    <row r="5" spans="2:11" ht="33.6" customHeight="1">
      <c r="B5" s="77" t="s">
        <v>315</v>
      </c>
      <c r="C5" s="78" t="s">
        <v>316</v>
      </c>
      <c r="D5" s="67"/>
      <c r="E5" s="67"/>
      <c r="F5" s="67"/>
      <c r="G5" s="67"/>
      <c r="H5" s="67"/>
      <c r="I5" s="67"/>
      <c r="J5" s="68">
        <f t="shared" si="0"/>
        <v>0</v>
      </c>
      <c r="K5" s="69"/>
    </row>
    <row r="6" spans="2:11" ht="33.6" customHeight="1">
      <c r="B6" s="77" t="s">
        <v>317</v>
      </c>
      <c r="C6" s="78" t="s">
        <v>318</v>
      </c>
      <c r="D6" s="67"/>
      <c r="E6" s="67"/>
      <c r="F6" s="67"/>
      <c r="G6" s="67"/>
      <c r="H6" s="67"/>
      <c r="I6" s="67"/>
      <c r="J6" s="68">
        <f t="shared" si="0"/>
        <v>0</v>
      </c>
      <c r="K6" s="69"/>
    </row>
    <row r="7" spans="2:11" ht="33.6" customHeight="1">
      <c r="B7" s="77" t="s">
        <v>319</v>
      </c>
      <c r="C7" s="78" t="s">
        <v>320</v>
      </c>
      <c r="D7" s="67"/>
      <c r="E7" s="67"/>
      <c r="F7" s="67">
        <v>8</v>
      </c>
      <c r="G7" s="67">
        <v>8</v>
      </c>
      <c r="H7" s="67">
        <v>6</v>
      </c>
      <c r="I7" s="67"/>
      <c r="J7" s="68">
        <f t="shared" si="0"/>
        <v>22</v>
      </c>
      <c r="K7" s="69"/>
    </row>
    <row r="8" spans="2:11" ht="33.6" customHeight="1">
      <c r="B8" s="77" t="s">
        <v>321</v>
      </c>
      <c r="C8" s="213" t="s">
        <v>172</v>
      </c>
      <c r="D8" s="214"/>
      <c r="E8" s="214"/>
      <c r="F8" s="214"/>
      <c r="G8" s="214"/>
      <c r="H8" s="214"/>
      <c r="I8" s="214"/>
      <c r="J8" s="214"/>
      <c r="K8" s="215"/>
    </row>
    <row r="9" spans="2:11" ht="33.6" customHeight="1">
      <c r="B9" s="77" t="s">
        <v>322</v>
      </c>
      <c r="C9" s="78" t="s">
        <v>323</v>
      </c>
      <c r="D9" s="67"/>
      <c r="E9" s="67"/>
      <c r="F9" s="67">
        <v>150</v>
      </c>
      <c r="G9" s="67">
        <v>180</v>
      </c>
      <c r="H9" s="67">
        <v>150</v>
      </c>
      <c r="I9" s="67"/>
      <c r="J9" s="68">
        <f t="shared" si="0"/>
        <v>480</v>
      </c>
      <c r="K9" s="69"/>
    </row>
    <row r="10" spans="2:11" ht="33.6" customHeight="1">
      <c r="B10" s="77" t="s">
        <v>324</v>
      </c>
      <c r="C10" s="79" t="s">
        <v>325</v>
      </c>
      <c r="D10" s="67"/>
      <c r="E10" s="67"/>
      <c r="F10" s="67"/>
      <c r="G10" s="67"/>
      <c r="H10" s="67"/>
      <c r="I10" s="67"/>
      <c r="J10" s="68"/>
      <c r="K10" s="69"/>
    </row>
    <row r="11" spans="2:11" ht="33.6" customHeight="1">
      <c r="B11" s="77" t="s">
        <v>326</v>
      </c>
      <c r="C11" s="78" t="s">
        <v>327</v>
      </c>
      <c r="D11" s="67"/>
      <c r="E11" s="67"/>
      <c r="F11" s="67">
        <v>4</v>
      </c>
      <c r="G11" s="67">
        <v>4</v>
      </c>
      <c r="H11" s="67">
        <v>3</v>
      </c>
      <c r="I11" s="67"/>
      <c r="J11" s="68">
        <f t="shared" si="0"/>
        <v>11</v>
      </c>
      <c r="K11" s="69"/>
    </row>
    <row r="12" spans="2:11" ht="33.6" customHeight="1">
      <c r="B12" s="77" t="s">
        <v>328</v>
      </c>
      <c r="C12" s="78" t="s">
        <v>329</v>
      </c>
      <c r="D12" s="67"/>
      <c r="E12" s="67"/>
      <c r="F12" s="67">
        <v>8</v>
      </c>
      <c r="G12" s="67">
        <v>8</v>
      </c>
      <c r="H12" s="67">
        <v>6</v>
      </c>
      <c r="I12" s="67"/>
      <c r="J12" s="68">
        <f t="shared" si="0"/>
        <v>22</v>
      </c>
      <c r="K12" s="69"/>
    </row>
    <row r="13" spans="2:11" ht="33.6" customHeight="1">
      <c r="B13" s="77" t="s">
        <v>330</v>
      </c>
      <c r="C13" s="78" t="s">
        <v>331</v>
      </c>
      <c r="D13" s="67"/>
      <c r="E13" s="67"/>
      <c r="F13" s="67">
        <v>8</v>
      </c>
      <c r="G13" s="67">
        <v>8</v>
      </c>
      <c r="H13" s="67">
        <v>6</v>
      </c>
      <c r="I13" s="67"/>
      <c r="J13" s="68">
        <f t="shared" si="0"/>
        <v>22</v>
      </c>
      <c r="K13" s="69"/>
    </row>
    <row r="14" spans="2:11" ht="33.6" customHeight="1">
      <c r="B14" s="77" t="s">
        <v>332</v>
      </c>
      <c r="C14" s="213" t="s">
        <v>272</v>
      </c>
      <c r="D14" s="214"/>
      <c r="E14" s="214"/>
      <c r="F14" s="214"/>
      <c r="G14" s="214"/>
      <c r="H14" s="214"/>
      <c r="I14" s="214"/>
      <c r="J14" s="214"/>
      <c r="K14" s="215"/>
    </row>
    <row r="15" spans="2:11" ht="33.6" customHeight="1">
      <c r="B15" s="77" t="s">
        <v>333</v>
      </c>
      <c r="C15" s="78" t="s">
        <v>334</v>
      </c>
      <c r="D15" s="67" t="s">
        <v>275</v>
      </c>
      <c r="E15" s="67"/>
      <c r="F15" s="67"/>
      <c r="G15" s="67"/>
      <c r="H15" s="67"/>
      <c r="I15" s="67"/>
      <c r="J15" s="68">
        <f t="shared" si="0"/>
        <v>0</v>
      </c>
      <c r="K15" s="69"/>
    </row>
    <row r="16" spans="2:11" ht="33.6" customHeight="1">
      <c r="B16" s="77" t="s">
        <v>335</v>
      </c>
      <c r="C16" s="78" t="s">
        <v>336</v>
      </c>
      <c r="D16" s="67" t="s">
        <v>77</v>
      </c>
      <c r="E16" s="67"/>
      <c r="F16" s="67"/>
      <c r="G16" s="67"/>
      <c r="H16" s="67"/>
      <c r="I16" s="67"/>
      <c r="J16" s="68">
        <f t="shared" si="0"/>
        <v>0</v>
      </c>
      <c r="K16" s="69"/>
    </row>
    <row r="17" spans="2:11" ht="33.6" customHeight="1">
      <c r="B17" s="77" t="s">
        <v>337</v>
      </c>
      <c r="C17" s="213" t="s">
        <v>338</v>
      </c>
      <c r="D17" s="214"/>
      <c r="E17" s="214"/>
      <c r="F17" s="214"/>
      <c r="G17" s="214"/>
      <c r="H17" s="214"/>
      <c r="I17" s="214"/>
      <c r="J17" s="214"/>
      <c r="K17" s="215"/>
    </row>
    <row r="18" spans="2:11" ht="33.6" customHeight="1">
      <c r="B18" s="77" t="s">
        <v>339</v>
      </c>
      <c r="C18" s="213" t="s">
        <v>340</v>
      </c>
      <c r="D18" s="214"/>
      <c r="E18" s="214"/>
      <c r="F18" s="214"/>
      <c r="G18" s="214"/>
      <c r="H18" s="214"/>
      <c r="I18" s="214"/>
      <c r="J18" s="214"/>
      <c r="K18" s="215"/>
    </row>
    <row r="19" spans="2:11" ht="33.6" customHeight="1">
      <c r="B19" s="77" t="s">
        <v>341</v>
      </c>
      <c r="C19" s="78" t="s">
        <v>316</v>
      </c>
      <c r="D19" s="67"/>
      <c r="E19" s="67">
        <v>25</v>
      </c>
      <c r="F19" s="67"/>
      <c r="G19" s="67"/>
      <c r="H19" s="67"/>
      <c r="I19" s="67"/>
      <c r="J19" s="68">
        <f t="shared" si="0"/>
        <v>25</v>
      </c>
      <c r="K19" s="69"/>
    </row>
    <row r="20" spans="2:11" ht="33.6" customHeight="1">
      <c r="B20" s="77" t="s">
        <v>342</v>
      </c>
      <c r="C20" s="78" t="s">
        <v>314</v>
      </c>
      <c r="D20" s="67"/>
      <c r="E20" s="67"/>
      <c r="F20" s="67"/>
      <c r="G20" s="67"/>
      <c r="H20" s="67"/>
      <c r="I20" s="67"/>
      <c r="J20" s="68">
        <f t="shared" si="0"/>
        <v>0</v>
      </c>
      <c r="K20" s="69"/>
    </row>
    <row r="21" spans="2:11" ht="33.6" customHeight="1">
      <c r="B21" s="77" t="s">
        <v>343</v>
      </c>
      <c r="C21" s="78" t="s">
        <v>318</v>
      </c>
      <c r="D21" s="67"/>
      <c r="E21" s="67"/>
      <c r="F21" s="67"/>
      <c r="G21" s="67"/>
      <c r="H21" s="67"/>
      <c r="I21" s="67"/>
      <c r="J21" s="68">
        <f t="shared" si="0"/>
        <v>0</v>
      </c>
      <c r="K21" s="69"/>
    </row>
    <row r="22" spans="2:11" ht="33.6" customHeight="1">
      <c r="B22" s="77" t="s">
        <v>344</v>
      </c>
      <c r="C22" s="78" t="s">
        <v>320</v>
      </c>
      <c r="D22" s="67"/>
      <c r="E22" s="67"/>
      <c r="F22" s="67"/>
      <c r="G22" s="67"/>
      <c r="H22" s="67"/>
      <c r="I22" s="67"/>
      <c r="J22" s="68">
        <f t="shared" si="0"/>
        <v>0</v>
      </c>
      <c r="K22" s="69"/>
    </row>
    <row r="23" spans="2:11" ht="33.6" customHeight="1">
      <c r="B23" s="77" t="s">
        <v>321</v>
      </c>
      <c r="C23" s="213" t="s">
        <v>172</v>
      </c>
      <c r="D23" s="214"/>
      <c r="E23" s="214"/>
      <c r="F23" s="214"/>
      <c r="G23" s="214"/>
      <c r="H23" s="214"/>
      <c r="I23" s="214"/>
      <c r="J23" s="214"/>
      <c r="K23" s="215"/>
    </row>
    <row r="24" spans="2:11" ht="33.6" customHeight="1">
      <c r="B24" s="77" t="s">
        <v>345</v>
      </c>
      <c r="C24" s="78" t="s">
        <v>346</v>
      </c>
      <c r="D24" s="67"/>
      <c r="E24" s="67">
        <v>60</v>
      </c>
      <c r="F24" s="67">
        <v>20</v>
      </c>
      <c r="G24" s="67"/>
      <c r="H24" s="67"/>
      <c r="I24" s="67"/>
      <c r="J24" s="68">
        <f t="shared" si="0"/>
        <v>80</v>
      </c>
      <c r="K24" s="69"/>
    </row>
    <row r="25" spans="2:11" ht="33.6" customHeight="1">
      <c r="B25" s="77" t="s">
        <v>347</v>
      </c>
      <c r="C25" s="78" t="s">
        <v>348</v>
      </c>
      <c r="D25" s="67"/>
      <c r="E25" s="67">
        <v>30</v>
      </c>
      <c r="F25" s="67">
        <v>10</v>
      </c>
      <c r="G25" s="67">
        <v>160</v>
      </c>
      <c r="H25" s="67"/>
      <c r="I25" s="67"/>
      <c r="J25" s="68">
        <f t="shared" si="0"/>
        <v>200</v>
      </c>
      <c r="K25" s="69"/>
    </row>
    <row r="26" spans="2:11" ht="33.6" customHeight="1">
      <c r="B26" s="77" t="s">
        <v>349</v>
      </c>
      <c r="C26" s="78" t="s">
        <v>350</v>
      </c>
      <c r="D26" s="67"/>
      <c r="E26" s="67">
        <v>20</v>
      </c>
      <c r="F26" s="67"/>
      <c r="G26" s="67"/>
      <c r="H26" s="67"/>
      <c r="I26" s="67"/>
      <c r="J26" s="68">
        <f t="shared" si="0"/>
        <v>20</v>
      </c>
      <c r="K26" s="69"/>
    </row>
    <row r="27" spans="2:11" ht="33.6" customHeight="1">
      <c r="B27" s="77" t="s">
        <v>351</v>
      </c>
      <c r="C27" s="213" t="s">
        <v>352</v>
      </c>
      <c r="D27" s="214"/>
      <c r="E27" s="214"/>
      <c r="F27" s="214"/>
      <c r="G27" s="214"/>
      <c r="H27" s="214"/>
      <c r="I27" s="214"/>
      <c r="J27" s="214"/>
      <c r="K27" s="215"/>
    </row>
    <row r="28" spans="2:11" ht="33.6" customHeight="1">
      <c r="B28" s="77" t="s">
        <v>353</v>
      </c>
      <c r="C28" s="78" t="s">
        <v>354</v>
      </c>
      <c r="D28" s="67"/>
      <c r="E28" s="67"/>
      <c r="F28" s="67">
        <v>1</v>
      </c>
      <c r="G28" s="67"/>
      <c r="H28" s="67"/>
      <c r="I28" s="67"/>
      <c r="J28" s="68">
        <f t="shared" si="0"/>
        <v>1</v>
      </c>
      <c r="K28" s="69"/>
    </row>
    <row r="29" spans="2:11" ht="33.6" customHeight="1">
      <c r="B29" s="77" t="s">
        <v>355</v>
      </c>
      <c r="C29" s="78" t="s">
        <v>356</v>
      </c>
      <c r="D29" s="67"/>
      <c r="E29" s="67"/>
      <c r="F29" s="67">
        <v>2</v>
      </c>
      <c r="G29" s="67"/>
      <c r="H29" s="67"/>
      <c r="I29" s="67"/>
      <c r="J29" s="68">
        <f t="shared" si="0"/>
        <v>2</v>
      </c>
      <c r="K29" s="69"/>
    </row>
    <row r="30" spans="2:11" ht="33.6" customHeight="1">
      <c r="B30" s="77" t="s">
        <v>357</v>
      </c>
      <c r="C30" s="78" t="s">
        <v>358</v>
      </c>
      <c r="D30" s="67"/>
      <c r="E30" s="67"/>
      <c r="F30" s="67">
        <v>1</v>
      </c>
      <c r="G30" s="67"/>
      <c r="H30" s="67"/>
      <c r="I30" s="67"/>
      <c r="J30" s="68">
        <f t="shared" si="0"/>
        <v>1</v>
      </c>
      <c r="K30" s="69"/>
    </row>
    <row r="31" spans="2:11" ht="33.6" customHeight="1">
      <c r="B31" s="77" t="s">
        <v>359</v>
      </c>
      <c r="C31" s="78" t="s">
        <v>360</v>
      </c>
      <c r="D31" s="67"/>
      <c r="E31" s="67"/>
      <c r="F31" s="67"/>
      <c r="G31" s="67"/>
      <c r="H31" s="67"/>
      <c r="I31" s="67"/>
      <c r="J31" s="68">
        <f t="shared" si="0"/>
        <v>0</v>
      </c>
      <c r="K31" s="69"/>
    </row>
    <row r="32" spans="2:11" ht="33.6" customHeight="1">
      <c r="B32" s="77" t="s">
        <v>361</v>
      </c>
      <c r="C32" s="78" t="s">
        <v>362</v>
      </c>
      <c r="D32" s="67"/>
      <c r="E32" s="67"/>
      <c r="F32" s="67">
        <v>1</v>
      </c>
      <c r="G32" s="67"/>
      <c r="H32" s="67"/>
      <c r="I32" s="67"/>
      <c r="J32" s="68">
        <f t="shared" si="0"/>
        <v>1</v>
      </c>
      <c r="K32" s="69"/>
    </row>
    <row r="33" spans="2:11" ht="33.6" customHeight="1">
      <c r="B33" s="77" t="s">
        <v>363</v>
      </c>
      <c r="C33" s="78" t="s">
        <v>364</v>
      </c>
      <c r="D33" s="67"/>
      <c r="E33" s="67">
        <v>1</v>
      </c>
      <c r="F33" s="67">
        <v>1</v>
      </c>
      <c r="G33" s="67"/>
      <c r="H33" s="67"/>
      <c r="I33" s="67"/>
      <c r="J33" s="68">
        <f t="shared" si="0"/>
        <v>2</v>
      </c>
      <c r="K33" s="69"/>
    </row>
    <row r="34" spans="2:11" ht="33.6" customHeight="1">
      <c r="B34" s="77" t="s">
        <v>365</v>
      </c>
      <c r="C34" s="78" t="s">
        <v>366</v>
      </c>
      <c r="D34" s="67"/>
      <c r="E34" s="67"/>
      <c r="F34" s="67">
        <v>2</v>
      </c>
      <c r="G34" s="67"/>
      <c r="H34" s="67"/>
      <c r="I34" s="67"/>
      <c r="J34" s="68">
        <f t="shared" si="0"/>
        <v>2</v>
      </c>
      <c r="K34" s="69"/>
    </row>
    <row r="35" spans="2:11" ht="33.6" customHeight="1">
      <c r="B35" s="77" t="s">
        <v>367</v>
      </c>
      <c r="C35" s="78" t="s">
        <v>368</v>
      </c>
      <c r="D35" s="67"/>
      <c r="E35" s="67">
        <v>1</v>
      </c>
      <c r="F35" s="67">
        <v>1</v>
      </c>
      <c r="G35" s="67"/>
      <c r="H35" s="67"/>
      <c r="I35" s="67"/>
      <c r="J35" s="68">
        <f t="shared" si="0"/>
        <v>2</v>
      </c>
      <c r="K35" s="69"/>
    </row>
    <row r="36" spans="2:11" ht="33.6" customHeight="1">
      <c r="B36" s="77" t="s">
        <v>369</v>
      </c>
      <c r="C36" s="78" t="s">
        <v>370</v>
      </c>
      <c r="D36" s="67"/>
      <c r="E36" s="67">
        <v>1</v>
      </c>
      <c r="F36" s="67">
        <v>1</v>
      </c>
      <c r="G36" s="67"/>
      <c r="H36" s="67"/>
      <c r="I36" s="67"/>
      <c r="J36" s="68">
        <f t="shared" si="0"/>
        <v>2</v>
      </c>
      <c r="K36" s="69"/>
    </row>
    <row r="37" spans="2:11" ht="33.6" customHeight="1">
      <c r="B37" s="77" t="s">
        <v>332</v>
      </c>
      <c r="C37" s="213" t="s">
        <v>272</v>
      </c>
      <c r="D37" s="214"/>
      <c r="E37" s="214"/>
      <c r="F37" s="214"/>
      <c r="G37" s="214"/>
      <c r="H37" s="214"/>
      <c r="I37" s="214"/>
      <c r="J37" s="214"/>
      <c r="K37" s="215"/>
    </row>
    <row r="38" spans="2:11" ht="33.6" customHeight="1">
      <c r="B38" s="77" t="s">
        <v>371</v>
      </c>
      <c r="C38" s="78" t="s">
        <v>334</v>
      </c>
      <c r="D38" s="67" t="s">
        <v>275</v>
      </c>
      <c r="E38" s="67"/>
      <c r="F38" s="67"/>
      <c r="G38" s="67"/>
      <c r="H38" s="67"/>
      <c r="I38" s="67"/>
      <c r="J38" s="68">
        <f t="shared" si="0"/>
        <v>0</v>
      </c>
      <c r="K38" s="69"/>
    </row>
    <row r="39" spans="2:11" ht="33.6" customHeight="1">
      <c r="B39" s="77" t="s">
        <v>372</v>
      </c>
      <c r="C39" s="78" t="s">
        <v>373</v>
      </c>
      <c r="D39" s="67" t="s">
        <v>280</v>
      </c>
      <c r="E39" s="67"/>
      <c r="F39" s="67"/>
      <c r="G39" s="67"/>
      <c r="H39" s="67"/>
      <c r="I39" s="67"/>
      <c r="J39" s="68">
        <f t="shared" si="0"/>
        <v>0</v>
      </c>
      <c r="K39" s="69"/>
    </row>
    <row r="40" spans="2:11" ht="33.6" customHeight="1">
      <c r="B40" s="77" t="s">
        <v>374</v>
      </c>
      <c r="C40" s="78" t="s">
        <v>375</v>
      </c>
      <c r="D40" s="67" t="s">
        <v>280</v>
      </c>
      <c r="E40" s="67"/>
      <c r="F40" s="67"/>
      <c r="G40" s="67"/>
      <c r="H40" s="67"/>
      <c r="I40" s="67"/>
      <c r="J40" s="68">
        <f t="shared" si="0"/>
        <v>0</v>
      </c>
      <c r="K40" s="69"/>
    </row>
    <row r="41" spans="2:11" ht="33.6" customHeight="1">
      <c r="B41" s="77" t="s">
        <v>376</v>
      </c>
      <c r="C41" s="78" t="s">
        <v>377</v>
      </c>
      <c r="D41" s="67" t="s">
        <v>280</v>
      </c>
      <c r="E41" s="67"/>
      <c r="F41" s="67"/>
      <c r="G41" s="67"/>
      <c r="H41" s="67"/>
      <c r="I41" s="67"/>
      <c r="J41" s="68">
        <f t="shared" si="0"/>
        <v>0</v>
      </c>
      <c r="K41" s="69"/>
    </row>
    <row r="42" spans="2:11" ht="33.6" customHeight="1">
      <c r="B42" s="77" t="s">
        <v>378</v>
      </c>
      <c r="C42" s="213" t="s">
        <v>379</v>
      </c>
      <c r="D42" s="214"/>
      <c r="E42" s="214"/>
      <c r="F42" s="214"/>
      <c r="G42" s="214"/>
      <c r="H42" s="214"/>
      <c r="I42" s="214"/>
      <c r="J42" s="214"/>
      <c r="K42" s="215"/>
    </row>
    <row r="43" spans="2:11" ht="33.6" customHeight="1">
      <c r="B43" s="77" t="s">
        <v>339</v>
      </c>
      <c r="C43" s="78" t="s">
        <v>340</v>
      </c>
      <c r="D43" s="67"/>
      <c r="E43" s="67"/>
      <c r="F43" s="67"/>
      <c r="G43" s="67"/>
      <c r="H43" s="67"/>
      <c r="I43" s="67"/>
      <c r="J43" s="68">
        <f t="shared" si="0"/>
        <v>0</v>
      </c>
      <c r="K43" s="69"/>
    </row>
    <row r="44" spans="2:11" ht="33.6" customHeight="1">
      <c r="B44" s="77" t="s">
        <v>380</v>
      </c>
      <c r="C44" s="78" t="s">
        <v>312</v>
      </c>
      <c r="D44" s="67"/>
      <c r="E44" s="67"/>
      <c r="F44" s="67">
        <v>20</v>
      </c>
      <c r="G44" s="67">
        <v>10</v>
      </c>
      <c r="H44" s="67">
        <v>10</v>
      </c>
      <c r="I44" s="67"/>
      <c r="J44" s="68">
        <f t="shared" si="0"/>
        <v>40</v>
      </c>
      <c r="K44" s="69"/>
    </row>
    <row r="45" spans="2:11" ht="33.6" customHeight="1">
      <c r="B45" s="77" t="s">
        <v>381</v>
      </c>
      <c r="C45" s="78" t="s">
        <v>316</v>
      </c>
      <c r="D45" s="67"/>
      <c r="E45" s="67"/>
      <c r="F45" s="67">
        <v>4</v>
      </c>
      <c r="G45" s="67">
        <v>4</v>
      </c>
      <c r="H45" s="67">
        <v>3</v>
      </c>
      <c r="I45" s="67"/>
      <c r="J45" s="68">
        <f t="shared" si="0"/>
        <v>11</v>
      </c>
      <c r="K45" s="69"/>
    </row>
    <row r="46" spans="2:11" ht="33.6" customHeight="1">
      <c r="B46" s="77" t="s">
        <v>382</v>
      </c>
      <c r="C46" s="78" t="s">
        <v>318</v>
      </c>
      <c r="D46" s="67"/>
      <c r="E46" s="67"/>
      <c r="F46" s="67"/>
      <c r="G46" s="67"/>
      <c r="H46" s="67"/>
      <c r="I46" s="67"/>
      <c r="J46" s="68">
        <f t="shared" si="0"/>
        <v>0</v>
      </c>
      <c r="K46" s="69"/>
    </row>
    <row r="47" spans="2:11" ht="33.6" customHeight="1">
      <c r="B47" s="77" t="s">
        <v>383</v>
      </c>
      <c r="C47" s="78" t="s">
        <v>320</v>
      </c>
      <c r="D47" s="67"/>
      <c r="E47" s="67"/>
      <c r="F47" s="67">
        <v>4</v>
      </c>
      <c r="G47" s="67">
        <v>4</v>
      </c>
      <c r="H47" s="67">
        <v>3</v>
      </c>
      <c r="I47" s="67"/>
      <c r="J47" s="68">
        <f t="shared" si="0"/>
        <v>11</v>
      </c>
      <c r="K47" s="69"/>
    </row>
    <row r="48" spans="2:11" ht="33.6" customHeight="1">
      <c r="B48" s="77" t="s">
        <v>321</v>
      </c>
      <c r="C48" s="213" t="s">
        <v>172</v>
      </c>
      <c r="D48" s="214"/>
      <c r="E48" s="214"/>
      <c r="F48" s="214"/>
      <c r="G48" s="214"/>
      <c r="H48" s="214"/>
      <c r="I48" s="214"/>
      <c r="J48" s="214"/>
      <c r="K48" s="215"/>
    </row>
    <row r="49" spans="2:11" ht="33.6" customHeight="1">
      <c r="B49" s="77" t="s">
        <v>384</v>
      </c>
      <c r="C49" s="78" t="s">
        <v>323</v>
      </c>
      <c r="D49" s="67"/>
      <c r="E49" s="67"/>
      <c r="F49" s="67">
        <v>50</v>
      </c>
      <c r="G49" s="67">
        <v>52</v>
      </c>
      <c r="H49" s="67">
        <v>50</v>
      </c>
      <c r="I49" s="67"/>
      <c r="J49" s="68">
        <f t="shared" si="0"/>
        <v>152</v>
      </c>
      <c r="K49" s="69"/>
    </row>
    <row r="50" spans="2:11" ht="33.6" customHeight="1">
      <c r="B50" s="77" t="s">
        <v>385</v>
      </c>
      <c r="C50" s="78" t="s">
        <v>350</v>
      </c>
      <c r="D50" s="67"/>
      <c r="E50" s="67">
        <v>20</v>
      </c>
      <c r="F50" s="67"/>
      <c r="G50" s="67"/>
      <c r="H50" s="67"/>
      <c r="I50" s="67"/>
      <c r="J50" s="68">
        <f t="shared" si="0"/>
        <v>20</v>
      </c>
      <c r="K50" s="69"/>
    </row>
    <row r="51" spans="2:11" ht="33.6" customHeight="1">
      <c r="B51" s="77" t="s">
        <v>386</v>
      </c>
      <c r="C51" s="213" t="s">
        <v>387</v>
      </c>
      <c r="D51" s="214"/>
      <c r="E51" s="214"/>
      <c r="F51" s="214"/>
      <c r="G51" s="214"/>
      <c r="H51" s="214"/>
      <c r="I51" s="214"/>
      <c r="J51" s="214"/>
      <c r="K51" s="215"/>
    </row>
    <row r="52" spans="2:11" ht="33.6" customHeight="1">
      <c r="B52" s="77" t="s">
        <v>388</v>
      </c>
      <c r="C52" s="78" t="s">
        <v>389</v>
      </c>
      <c r="D52" s="67"/>
      <c r="E52" s="67"/>
      <c r="F52" s="67">
        <v>1</v>
      </c>
      <c r="G52" s="67"/>
      <c r="H52" s="67"/>
      <c r="I52" s="67"/>
      <c r="J52" s="68">
        <f t="shared" si="0"/>
        <v>1</v>
      </c>
      <c r="K52" s="69"/>
    </row>
    <row r="53" spans="2:11" ht="33.6" customHeight="1">
      <c r="B53" s="77" t="s">
        <v>390</v>
      </c>
      <c r="C53" s="78" t="s">
        <v>391</v>
      </c>
      <c r="D53" s="67"/>
      <c r="E53" s="67"/>
      <c r="F53" s="67">
        <v>1</v>
      </c>
      <c r="G53" s="67"/>
      <c r="H53" s="67"/>
      <c r="I53" s="67"/>
      <c r="J53" s="68">
        <f t="shared" si="0"/>
        <v>1</v>
      </c>
      <c r="K53" s="69"/>
    </row>
    <row r="54" spans="2:11" ht="33.6" customHeight="1">
      <c r="B54" s="77" t="s">
        <v>392</v>
      </c>
      <c r="C54" s="213" t="s">
        <v>393</v>
      </c>
      <c r="D54" s="214"/>
      <c r="E54" s="214"/>
      <c r="F54" s="214"/>
      <c r="G54" s="214"/>
      <c r="H54" s="214"/>
      <c r="I54" s="214"/>
      <c r="J54" s="214"/>
      <c r="K54" s="215"/>
    </row>
    <row r="55" spans="2:11" ht="33.6" customHeight="1">
      <c r="B55" s="77" t="s">
        <v>394</v>
      </c>
      <c r="C55" s="78" t="s">
        <v>395</v>
      </c>
      <c r="D55" s="67"/>
      <c r="E55" s="67"/>
      <c r="F55" s="67">
        <v>4</v>
      </c>
      <c r="G55" s="67">
        <v>4</v>
      </c>
      <c r="H55" s="67">
        <v>3</v>
      </c>
      <c r="I55" s="67"/>
      <c r="J55" s="68">
        <f t="shared" si="0"/>
        <v>11</v>
      </c>
      <c r="K55" s="69"/>
    </row>
    <row r="56" spans="2:11" ht="33.6" customHeight="1">
      <c r="B56" s="77" t="s">
        <v>396</v>
      </c>
      <c r="C56" s="78" t="s">
        <v>397</v>
      </c>
      <c r="D56" s="67"/>
      <c r="E56" s="67"/>
      <c r="F56" s="67">
        <v>4</v>
      </c>
      <c r="G56" s="67">
        <v>4</v>
      </c>
      <c r="H56" s="67">
        <v>3</v>
      </c>
      <c r="I56" s="67"/>
      <c r="J56" s="68">
        <f t="shared" si="0"/>
        <v>11</v>
      </c>
      <c r="K56" s="69"/>
    </row>
    <row r="57" spans="2:11" ht="33.6" customHeight="1">
      <c r="B57" s="77" t="s">
        <v>398</v>
      </c>
      <c r="C57" s="78" t="s">
        <v>399</v>
      </c>
      <c r="D57" s="67"/>
      <c r="E57" s="67"/>
      <c r="F57" s="67">
        <v>1</v>
      </c>
      <c r="G57" s="67"/>
      <c r="H57" s="67"/>
      <c r="I57" s="67"/>
      <c r="J57" s="68">
        <f t="shared" si="0"/>
        <v>1</v>
      </c>
      <c r="K57" s="69"/>
    </row>
    <row r="58" spans="2:11" ht="33.6" customHeight="1">
      <c r="B58" s="77" t="s">
        <v>400</v>
      </c>
      <c r="C58" s="78" t="s">
        <v>401</v>
      </c>
      <c r="D58" s="67"/>
      <c r="E58" s="67"/>
      <c r="F58" s="67"/>
      <c r="G58" s="67"/>
      <c r="H58" s="67"/>
      <c r="I58" s="67"/>
      <c r="J58" s="68">
        <f t="shared" si="0"/>
        <v>0</v>
      </c>
      <c r="K58" s="69"/>
    </row>
    <row r="59" spans="2:11" ht="33.6" customHeight="1">
      <c r="B59" s="77" t="s">
        <v>402</v>
      </c>
      <c r="C59" s="78" t="s">
        <v>403</v>
      </c>
      <c r="D59" s="67"/>
      <c r="E59" s="67"/>
      <c r="F59" s="67"/>
      <c r="G59" s="67"/>
      <c r="H59" s="67"/>
      <c r="I59" s="67"/>
      <c r="J59" s="68">
        <f t="shared" si="0"/>
        <v>0</v>
      </c>
      <c r="K59" s="69"/>
    </row>
    <row r="60" spans="2:11" ht="33.6" customHeight="1">
      <c r="B60" s="77" t="s">
        <v>404</v>
      </c>
      <c r="C60" s="78" t="s">
        <v>405</v>
      </c>
      <c r="D60" s="67"/>
      <c r="E60" s="67"/>
      <c r="F60" s="67"/>
      <c r="G60" s="67"/>
      <c r="H60" s="67"/>
      <c r="I60" s="67"/>
      <c r="J60" s="68">
        <f t="shared" si="0"/>
        <v>0</v>
      </c>
      <c r="K60" s="69"/>
    </row>
    <row r="61" spans="2:11" ht="33.6" customHeight="1">
      <c r="B61" s="77" t="s">
        <v>406</v>
      </c>
      <c r="C61" s="78" t="s">
        <v>407</v>
      </c>
      <c r="D61" s="67"/>
      <c r="E61" s="67"/>
      <c r="F61" s="67"/>
      <c r="G61" s="67"/>
      <c r="H61" s="67"/>
      <c r="I61" s="67"/>
      <c r="J61" s="68">
        <f t="shared" si="0"/>
        <v>0</v>
      </c>
      <c r="K61" s="69"/>
    </row>
    <row r="62" spans="2:11" ht="33.6" customHeight="1">
      <c r="B62" s="77" t="s">
        <v>408</v>
      </c>
      <c r="C62" s="78" t="s">
        <v>409</v>
      </c>
      <c r="D62" s="67"/>
      <c r="E62" s="67"/>
      <c r="F62" s="67"/>
      <c r="G62" s="67"/>
      <c r="H62" s="67"/>
      <c r="I62" s="67"/>
      <c r="J62" s="68">
        <f t="shared" si="0"/>
        <v>0</v>
      </c>
      <c r="K62" s="69"/>
    </row>
    <row r="63" spans="2:11" ht="33.6" customHeight="1">
      <c r="B63" s="77" t="s">
        <v>410</v>
      </c>
      <c r="C63" s="78" t="s">
        <v>411</v>
      </c>
      <c r="D63" s="67"/>
      <c r="E63" s="67"/>
      <c r="F63" s="67"/>
      <c r="G63" s="67"/>
      <c r="H63" s="67"/>
      <c r="I63" s="67"/>
      <c r="J63" s="68">
        <f t="shared" si="0"/>
        <v>0</v>
      </c>
      <c r="K63" s="69"/>
    </row>
    <row r="64" spans="2:11" ht="33.6" customHeight="1">
      <c r="B64" s="77" t="s">
        <v>412</v>
      </c>
      <c r="C64" s="78" t="s">
        <v>413</v>
      </c>
      <c r="D64" s="67"/>
      <c r="E64" s="67"/>
      <c r="F64" s="67">
        <v>1</v>
      </c>
      <c r="G64" s="67"/>
      <c r="H64" s="67"/>
      <c r="I64" s="67"/>
      <c r="J64" s="68">
        <f t="shared" si="0"/>
        <v>1</v>
      </c>
      <c r="K64" s="69"/>
    </row>
    <row r="65" spans="2:11" ht="33.6" customHeight="1">
      <c r="B65" s="77" t="s">
        <v>414</v>
      </c>
      <c r="C65" s="78" t="s">
        <v>415</v>
      </c>
      <c r="D65" s="67"/>
      <c r="E65" s="67"/>
      <c r="F65" s="67"/>
      <c r="G65" s="67"/>
      <c r="H65" s="67"/>
      <c r="I65" s="67"/>
      <c r="J65" s="68">
        <f t="shared" si="0"/>
        <v>0</v>
      </c>
      <c r="K65" s="69"/>
    </row>
    <row r="66" spans="2:11" ht="33.6" customHeight="1">
      <c r="B66" s="77" t="s">
        <v>416</v>
      </c>
      <c r="C66" s="78" t="s">
        <v>417</v>
      </c>
      <c r="D66" s="67"/>
      <c r="E66" s="67"/>
      <c r="F66" s="67"/>
      <c r="G66" s="67"/>
      <c r="H66" s="67"/>
      <c r="I66" s="67"/>
      <c r="J66" s="68">
        <f t="shared" si="0"/>
        <v>0</v>
      </c>
      <c r="K66" s="69"/>
    </row>
    <row r="67" spans="2:11" ht="33.6" customHeight="1">
      <c r="B67" s="77" t="s">
        <v>332</v>
      </c>
      <c r="C67" s="213" t="s">
        <v>272</v>
      </c>
      <c r="D67" s="214"/>
      <c r="E67" s="214"/>
      <c r="F67" s="214"/>
      <c r="G67" s="214"/>
      <c r="H67" s="214"/>
      <c r="I67" s="214"/>
      <c r="J67" s="214"/>
      <c r="K67" s="215"/>
    </row>
    <row r="68" spans="2:11" ht="33.6" customHeight="1">
      <c r="B68" s="77" t="s">
        <v>418</v>
      </c>
      <c r="C68" s="78" t="s">
        <v>334</v>
      </c>
      <c r="D68" s="67"/>
      <c r="E68" s="67"/>
      <c r="F68" s="67"/>
      <c r="G68" s="67"/>
      <c r="H68" s="67"/>
      <c r="I68" s="67"/>
      <c r="J68" s="68">
        <f t="shared" ref="J68:J120" si="1">E68+F68+G68+H68+I68</f>
        <v>0</v>
      </c>
      <c r="K68" s="69"/>
    </row>
    <row r="69" spans="2:11" ht="33.6" customHeight="1">
      <c r="B69" s="77" t="s">
        <v>419</v>
      </c>
      <c r="C69" s="78" t="s">
        <v>375</v>
      </c>
      <c r="D69" s="67"/>
      <c r="E69" s="67"/>
      <c r="F69" s="67"/>
      <c r="G69" s="67"/>
      <c r="H69" s="67"/>
      <c r="I69" s="67"/>
      <c r="J69" s="68">
        <f t="shared" si="1"/>
        <v>0</v>
      </c>
      <c r="K69" s="69"/>
    </row>
    <row r="70" spans="2:11" ht="33.6" customHeight="1">
      <c r="B70" s="77" t="s">
        <v>420</v>
      </c>
      <c r="C70" s="78" t="s">
        <v>421</v>
      </c>
      <c r="D70" s="67"/>
      <c r="E70" s="67"/>
      <c r="F70" s="67"/>
      <c r="G70" s="67"/>
      <c r="H70" s="67"/>
      <c r="I70" s="67"/>
      <c r="J70" s="68">
        <f t="shared" si="1"/>
        <v>0</v>
      </c>
      <c r="K70" s="69"/>
    </row>
    <row r="71" spans="2:11" ht="33.6" customHeight="1">
      <c r="B71" s="77" t="s">
        <v>422</v>
      </c>
      <c r="C71" s="213" t="s">
        <v>423</v>
      </c>
      <c r="D71" s="214"/>
      <c r="E71" s="214"/>
      <c r="F71" s="214"/>
      <c r="G71" s="214"/>
      <c r="H71" s="214"/>
      <c r="I71" s="214"/>
      <c r="J71" s="214"/>
      <c r="K71" s="215"/>
    </row>
    <row r="72" spans="2:11" ht="33.6" customHeight="1">
      <c r="B72" s="77" t="s">
        <v>339</v>
      </c>
      <c r="C72" s="213" t="s">
        <v>340</v>
      </c>
      <c r="D72" s="214"/>
      <c r="E72" s="214"/>
      <c r="F72" s="214"/>
      <c r="G72" s="214"/>
      <c r="H72" s="214"/>
      <c r="I72" s="214"/>
      <c r="J72" s="214"/>
      <c r="K72" s="215"/>
    </row>
    <row r="73" spans="2:11" ht="33.6" customHeight="1">
      <c r="B73" s="77" t="s">
        <v>424</v>
      </c>
      <c r="C73" s="78" t="s">
        <v>312</v>
      </c>
      <c r="D73" s="67"/>
      <c r="E73" s="67"/>
      <c r="F73" s="67">
        <v>40</v>
      </c>
      <c r="G73" s="67">
        <v>40</v>
      </c>
      <c r="H73" s="67">
        <v>20</v>
      </c>
      <c r="I73" s="67"/>
      <c r="J73" s="68">
        <f t="shared" si="1"/>
        <v>100</v>
      </c>
      <c r="K73" s="69"/>
    </row>
    <row r="74" spans="2:11" ht="33.6" customHeight="1">
      <c r="B74" s="77" t="s">
        <v>425</v>
      </c>
      <c r="C74" s="78" t="s">
        <v>426</v>
      </c>
      <c r="D74" s="67"/>
      <c r="E74" s="67"/>
      <c r="F74" s="67"/>
      <c r="G74" s="67"/>
      <c r="H74" s="67"/>
      <c r="I74" s="67"/>
      <c r="J74" s="68">
        <f t="shared" si="1"/>
        <v>0</v>
      </c>
      <c r="K74" s="69"/>
    </row>
    <row r="75" spans="2:11" ht="33.6" customHeight="1">
      <c r="B75" s="77" t="s">
        <v>427</v>
      </c>
      <c r="C75" s="78" t="s">
        <v>316</v>
      </c>
      <c r="D75" s="67"/>
      <c r="E75" s="67"/>
      <c r="F75" s="67"/>
      <c r="G75" s="67"/>
      <c r="H75" s="67"/>
      <c r="I75" s="67"/>
      <c r="J75" s="68">
        <f t="shared" si="1"/>
        <v>0</v>
      </c>
      <c r="K75" s="69"/>
    </row>
    <row r="76" spans="2:11" ht="33.6" customHeight="1">
      <c r="B76" s="77" t="s">
        <v>428</v>
      </c>
      <c r="C76" s="78" t="s">
        <v>318</v>
      </c>
      <c r="D76" s="67"/>
      <c r="E76" s="67"/>
      <c r="F76" s="67"/>
      <c r="G76" s="67"/>
      <c r="H76" s="67"/>
      <c r="I76" s="67"/>
      <c r="J76" s="68">
        <f t="shared" si="1"/>
        <v>0</v>
      </c>
      <c r="K76" s="69"/>
    </row>
    <row r="77" spans="2:11" ht="33.6" customHeight="1">
      <c r="B77" s="77" t="s">
        <v>429</v>
      </c>
      <c r="C77" s="78" t="s">
        <v>320</v>
      </c>
      <c r="D77" s="67"/>
      <c r="E77" s="67"/>
      <c r="F77" s="67">
        <v>4</v>
      </c>
      <c r="G77" s="67">
        <v>4</v>
      </c>
      <c r="H77" s="67">
        <v>4</v>
      </c>
      <c r="I77" s="67"/>
      <c r="J77" s="68">
        <f t="shared" si="1"/>
        <v>12</v>
      </c>
      <c r="K77" s="69"/>
    </row>
    <row r="78" spans="2:11" ht="33.6" customHeight="1">
      <c r="B78" s="77" t="s">
        <v>430</v>
      </c>
      <c r="C78" s="213" t="s">
        <v>431</v>
      </c>
      <c r="D78" s="214"/>
      <c r="E78" s="214"/>
      <c r="F78" s="214"/>
      <c r="G78" s="214"/>
      <c r="H78" s="214"/>
      <c r="I78" s="214"/>
      <c r="J78" s="214"/>
      <c r="K78" s="215"/>
    </row>
    <row r="79" spans="2:11" ht="33.6" customHeight="1">
      <c r="B79" s="77" t="s">
        <v>432</v>
      </c>
      <c r="C79" s="78" t="s">
        <v>433</v>
      </c>
      <c r="D79" s="67"/>
      <c r="E79" s="67"/>
      <c r="F79" s="67"/>
      <c r="G79" s="67"/>
      <c r="H79" s="67"/>
      <c r="I79" s="67">
        <v>30</v>
      </c>
      <c r="J79" s="68">
        <f t="shared" si="1"/>
        <v>30</v>
      </c>
      <c r="K79" s="69"/>
    </row>
    <row r="80" spans="2:11" ht="33.6" customHeight="1">
      <c r="B80" s="77" t="s">
        <v>434</v>
      </c>
      <c r="C80" s="78" t="s">
        <v>435</v>
      </c>
      <c r="D80" s="67"/>
      <c r="E80" s="67"/>
      <c r="F80" s="67">
        <v>30</v>
      </c>
      <c r="G80" s="67">
        <v>120</v>
      </c>
      <c r="H80" s="67">
        <v>70</v>
      </c>
      <c r="I80" s="67"/>
      <c r="J80" s="68">
        <f t="shared" si="1"/>
        <v>220</v>
      </c>
      <c r="K80" s="69"/>
    </row>
    <row r="81" spans="2:11" ht="33.6" customHeight="1">
      <c r="B81" s="77" t="s">
        <v>436</v>
      </c>
      <c r="C81" s="78" t="s">
        <v>437</v>
      </c>
      <c r="D81" s="67"/>
      <c r="E81" s="67"/>
      <c r="F81" s="67"/>
      <c r="G81" s="67"/>
      <c r="H81" s="67"/>
      <c r="I81" s="67"/>
      <c r="J81" s="68">
        <f t="shared" si="1"/>
        <v>0</v>
      </c>
      <c r="K81" s="69"/>
    </row>
    <row r="82" spans="2:11" ht="33.6" customHeight="1">
      <c r="B82" s="77" t="s">
        <v>438</v>
      </c>
      <c r="C82" s="78" t="s">
        <v>439</v>
      </c>
      <c r="D82" s="67"/>
      <c r="E82" s="67"/>
      <c r="F82" s="67"/>
      <c r="G82" s="67"/>
      <c r="H82" s="67"/>
      <c r="I82" s="67"/>
      <c r="J82" s="68">
        <f t="shared" si="1"/>
        <v>0</v>
      </c>
      <c r="K82" s="69"/>
    </row>
    <row r="83" spans="2:11" ht="33.6" customHeight="1">
      <c r="B83" s="77" t="s">
        <v>440</v>
      </c>
      <c r="C83" s="213" t="s">
        <v>441</v>
      </c>
      <c r="D83" s="214"/>
      <c r="E83" s="214"/>
      <c r="F83" s="214"/>
      <c r="G83" s="214"/>
      <c r="H83" s="214"/>
      <c r="I83" s="214"/>
      <c r="J83" s="214"/>
      <c r="K83" s="215"/>
    </row>
    <row r="84" spans="2:11" ht="33.6" customHeight="1">
      <c r="B84" s="77" t="s">
        <v>442</v>
      </c>
      <c r="C84" s="78" t="s">
        <v>389</v>
      </c>
      <c r="D84" s="67"/>
      <c r="E84" s="67"/>
      <c r="F84" s="67"/>
      <c r="G84" s="67"/>
      <c r="H84" s="67"/>
      <c r="I84" s="67">
        <v>1</v>
      </c>
      <c r="J84" s="68">
        <f t="shared" si="1"/>
        <v>1</v>
      </c>
      <c r="K84" s="69"/>
    </row>
    <row r="85" spans="2:11" ht="33.6" customHeight="1">
      <c r="B85" s="77"/>
      <c r="C85" s="80" t="s">
        <v>443</v>
      </c>
      <c r="D85" s="70"/>
      <c r="E85" s="67"/>
      <c r="F85" s="67"/>
      <c r="G85" s="67"/>
      <c r="H85" s="67"/>
      <c r="I85" s="67">
        <v>1</v>
      </c>
      <c r="J85" s="68">
        <f t="shared" si="1"/>
        <v>1</v>
      </c>
      <c r="K85" s="81" t="s">
        <v>1142</v>
      </c>
    </row>
    <row r="86" spans="2:11" ht="33.6" customHeight="1">
      <c r="B86" s="77"/>
      <c r="C86" s="80" t="s">
        <v>444</v>
      </c>
      <c r="D86" s="70"/>
      <c r="E86" s="67"/>
      <c r="F86" s="67"/>
      <c r="G86" s="67"/>
      <c r="H86" s="67"/>
      <c r="I86" s="67">
        <v>3</v>
      </c>
      <c r="J86" s="68">
        <f t="shared" si="1"/>
        <v>3</v>
      </c>
      <c r="K86" s="81" t="s">
        <v>1142</v>
      </c>
    </row>
    <row r="87" spans="2:11" ht="33.6" customHeight="1">
      <c r="B87" s="77"/>
      <c r="C87" s="80" t="s">
        <v>445</v>
      </c>
      <c r="D87" s="70"/>
      <c r="E87" s="67"/>
      <c r="F87" s="67"/>
      <c r="G87" s="67"/>
      <c r="H87" s="67"/>
      <c r="I87" s="67">
        <v>9</v>
      </c>
      <c r="J87" s="68">
        <f t="shared" si="1"/>
        <v>9</v>
      </c>
      <c r="K87" s="81" t="s">
        <v>1142</v>
      </c>
    </row>
    <row r="88" spans="2:11" ht="33.6" customHeight="1">
      <c r="B88" s="77"/>
      <c r="C88" s="80" t="s">
        <v>446</v>
      </c>
      <c r="D88" s="70"/>
      <c r="E88" s="67"/>
      <c r="F88" s="67"/>
      <c r="G88" s="67"/>
      <c r="H88" s="67"/>
      <c r="I88" s="67">
        <v>1</v>
      </c>
      <c r="J88" s="68">
        <f t="shared" si="1"/>
        <v>1</v>
      </c>
      <c r="K88" s="81" t="s">
        <v>1142</v>
      </c>
    </row>
    <row r="89" spans="2:11" ht="33.6" customHeight="1">
      <c r="B89" s="77"/>
      <c r="C89" s="82" t="s">
        <v>447</v>
      </c>
      <c r="D89" s="70"/>
      <c r="E89" s="67"/>
      <c r="F89" s="67"/>
      <c r="G89" s="67"/>
      <c r="H89" s="67"/>
      <c r="I89" s="67">
        <v>1</v>
      </c>
      <c r="J89" s="68">
        <f t="shared" si="1"/>
        <v>1</v>
      </c>
      <c r="K89" s="81" t="s">
        <v>1142</v>
      </c>
    </row>
    <row r="90" spans="2:11" ht="33.6" customHeight="1">
      <c r="B90" s="77" t="s">
        <v>448</v>
      </c>
      <c r="C90" s="78" t="s">
        <v>449</v>
      </c>
      <c r="D90" s="67"/>
      <c r="E90" s="67"/>
      <c r="F90" s="67"/>
      <c r="G90" s="67"/>
      <c r="H90" s="67"/>
      <c r="I90" s="67">
        <v>1</v>
      </c>
      <c r="J90" s="68">
        <f t="shared" si="1"/>
        <v>1</v>
      </c>
      <c r="K90" s="69"/>
    </row>
    <row r="91" spans="2:11" ht="33.6" customHeight="1">
      <c r="B91" s="77" t="s">
        <v>450</v>
      </c>
      <c r="C91" s="78" t="s">
        <v>451</v>
      </c>
      <c r="D91" s="67"/>
      <c r="E91" s="67"/>
      <c r="F91" s="67">
        <v>8</v>
      </c>
      <c r="G91" s="67">
        <v>8</v>
      </c>
      <c r="H91" s="67">
        <v>6</v>
      </c>
      <c r="I91" s="67"/>
      <c r="J91" s="68">
        <f t="shared" si="1"/>
        <v>22</v>
      </c>
      <c r="K91" s="69"/>
    </row>
    <row r="92" spans="2:11" ht="33.6" customHeight="1">
      <c r="B92" s="77" t="s">
        <v>452</v>
      </c>
      <c r="C92" s="78" t="s">
        <v>453</v>
      </c>
      <c r="D92" s="67"/>
      <c r="E92" s="67"/>
      <c r="F92" s="67"/>
      <c r="G92" s="67"/>
      <c r="H92" s="67"/>
      <c r="I92" s="67">
        <v>1</v>
      </c>
      <c r="J92" s="68">
        <f t="shared" si="1"/>
        <v>1</v>
      </c>
      <c r="K92" s="69"/>
    </row>
    <row r="93" spans="2:11" ht="33.6" customHeight="1">
      <c r="B93" s="77" t="s">
        <v>454</v>
      </c>
      <c r="C93" s="78" t="s">
        <v>455</v>
      </c>
      <c r="D93" s="67"/>
      <c r="E93" s="67"/>
      <c r="F93" s="67"/>
      <c r="G93" s="67"/>
      <c r="H93" s="67"/>
      <c r="I93" s="67">
        <v>1</v>
      </c>
      <c r="J93" s="68">
        <f t="shared" si="1"/>
        <v>1</v>
      </c>
      <c r="K93" s="69"/>
    </row>
    <row r="94" spans="2:11" ht="33.6" customHeight="1">
      <c r="B94" s="77" t="s">
        <v>456</v>
      </c>
      <c r="C94" s="78" t="s">
        <v>457</v>
      </c>
      <c r="D94" s="67"/>
      <c r="E94" s="67"/>
      <c r="F94" s="67">
        <v>4</v>
      </c>
      <c r="G94" s="67">
        <v>4</v>
      </c>
      <c r="H94" s="67">
        <v>3</v>
      </c>
      <c r="I94" s="67"/>
      <c r="J94" s="68">
        <f t="shared" si="1"/>
        <v>11</v>
      </c>
      <c r="K94" s="69"/>
    </row>
    <row r="95" spans="2:11" ht="33.6" customHeight="1">
      <c r="B95" s="77" t="s">
        <v>458</v>
      </c>
      <c r="C95" s="78" t="s">
        <v>459</v>
      </c>
      <c r="D95" s="67"/>
      <c r="E95" s="67"/>
      <c r="F95" s="67"/>
      <c r="G95" s="67"/>
      <c r="H95" s="67"/>
      <c r="I95" s="67"/>
      <c r="J95" s="68">
        <f t="shared" si="1"/>
        <v>0</v>
      </c>
      <c r="K95" s="69"/>
    </row>
    <row r="96" spans="2:11" ht="33.6" customHeight="1">
      <c r="B96" s="77" t="s">
        <v>460</v>
      </c>
      <c r="C96" s="78" t="s">
        <v>461</v>
      </c>
      <c r="D96" s="67"/>
      <c r="E96" s="67"/>
      <c r="F96" s="67"/>
      <c r="G96" s="67"/>
      <c r="H96" s="67"/>
      <c r="I96" s="67">
        <v>1</v>
      </c>
      <c r="J96" s="68">
        <f t="shared" si="1"/>
        <v>1</v>
      </c>
      <c r="K96" s="69"/>
    </row>
    <row r="97" spans="2:11" ht="33.6" customHeight="1">
      <c r="B97" s="77" t="s">
        <v>462</v>
      </c>
      <c r="C97" s="78" t="s">
        <v>463</v>
      </c>
      <c r="D97" s="67"/>
      <c r="E97" s="67"/>
      <c r="F97" s="67">
        <v>1</v>
      </c>
      <c r="G97" s="67"/>
      <c r="H97" s="67"/>
      <c r="I97" s="67"/>
      <c r="J97" s="68">
        <f t="shared" si="1"/>
        <v>1</v>
      </c>
      <c r="K97" s="69"/>
    </row>
    <row r="98" spans="2:11" ht="33.6" customHeight="1">
      <c r="B98" s="77" t="s">
        <v>332</v>
      </c>
      <c r="C98" s="79" t="s">
        <v>272</v>
      </c>
      <c r="D98" s="219"/>
      <c r="E98" s="220"/>
      <c r="F98" s="220"/>
      <c r="G98" s="220"/>
      <c r="H98" s="220"/>
      <c r="I98" s="220"/>
      <c r="J98" s="220"/>
      <c r="K98" s="221"/>
    </row>
    <row r="99" spans="2:11" ht="33.6" customHeight="1">
      <c r="B99" s="77" t="s">
        <v>464</v>
      </c>
      <c r="C99" s="78" t="s">
        <v>334</v>
      </c>
      <c r="D99" s="67"/>
      <c r="E99" s="67"/>
      <c r="F99" s="67"/>
      <c r="G99" s="67"/>
      <c r="H99" s="67"/>
      <c r="I99" s="67"/>
      <c r="J99" s="68">
        <f t="shared" si="1"/>
        <v>0</v>
      </c>
      <c r="K99" s="69"/>
    </row>
    <row r="100" spans="2:11" ht="33.6" customHeight="1">
      <c r="B100" s="77" t="s">
        <v>465</v>
      </c>
      <c r="C100" s="78" t="s">
        <v>466</v>
      </c>
      <c r="D100" s="67" t="s">
        <v>280</v>
      </c>
      <c r="E100" s="67"/>
      <c r="F100" s="67"/>
      <c r="G100" s="67"/>
      <c r="H100" s="67"/>
      <c r="I100" s="67"/>
      <c r="J100" s="68">
        <f t="shared" si="1"/>
        <v>0</v>
      </c>
      <c r="K100" s="69"/>
    </row>
    <row r="101" spans="2:11" ht="33.6" customHeight="1">
      <c r="B101" s="77" t="s">
        <v>467</v>
      </c>
      <c r="C101" s="78" t="s">
        <v>468</v>
      </c>
      <c r="D101" s="67" t="s">
        <v>280</v>
      </c>
      <c r="E101" s="67"/>
      <c r="F101" s="67"/>
      <c r="G101" s="67"/>
      <c r="H101" s="67"/>
      <c r="I101" s="67"/>
      <c r="J101" s="68">
        <f t="shared" si="1"/>
        <v>0</v>
      </c>
      <c r="K101" s="69"/>
    </row>
    <row r="102" spans="2:11" ht="33.6" customHeight="1">
      <c r="B102" s="77" t="s">
        <v>469</v>
      </c>
      <c r="C102" s="78" t="s">
        <v>470</v>
      </c>
      <c r="D102" s="67" t="s">
        <v>280</v>
      </c>
      <c r="E102" s="67"/>
      <c r="F102" s="67"/>
      <c r="G102" s="67"/>
      <c r="H102" s="67"/>
      <c r="I102" s="67"/>
      <c r="J102" s="68">
        <f t="shared" si="1"/>
        <v>0</v>
      </c>
      <c r="K102" s="69"/>
    </row>
    <row r="103" spans="2:11" ht="33.6" customHeight="1">
      <c r="B103" s="77" t="s">
        <v>471</v>
      </c>
      <c r="C103" s="79" t="s">
        <v>472</v>
      </c>
      <c r="D103" s="219"/>
      <c r="E103" s="220"/>
      <c r="F103" s="220"/>
      <c r="G103" s="220"/>
      <c r="H103" s="220"/>
      <c r="I103" s="220"/>
      <c r="J103" s="220"/>
      <c r="K103" s="221"/>
    </row>
    <row r="104" spans="2:11" ht="33.6" customHeight="1">
      <c r="B104" s="77" t="s">
        <v>473</v>
      </c>
      <c r="C104" s="78" t="s">
        <v>474</v>
      </c>
      <c r="D104" s="67"/>
      <c r="E104" s="67"/>
      <c r="F104" s="67"/>
      <c r="G104" s="67"/>
      <c r="H104" s="67"/>
      <c r="I104" s="67"/>
      <c r="J104" s="68">
        <f t="shared" si="1"/>
        <v>0</v>
      </c>
      <c r="K104" s="69"/>
    </row>
    <row r="105" spans="2:11" ht="33.6" customHeight="1">
      <c r="B105" s="77" t="s">
        <v>475</v>
      </c>
      <c r="C105" s="78" t="s">
        <v>476</v>
      </c>
      <c r="D105" s="67"/>
      <c r="E105" s="67"/>
      <c r="F105" s="67">
        <v>4</v>
      </c>
      <c r="G105" s="67">
        <v>4</v>
      </c>
      <c r="H105" s="67">
        <v>3</v>
      </c>
      <c r="I105" s="67"/>
      <c r="J105" s="68">
        <f t="shared" si="1"/>
        <v>11</v>
      </c>
      <c r="K105" s="69"/>
    </row>
    <row r="106" spans="2:11" ht="33.6" customHeight="1">
      <c r="B106" s="77" t="s">
        <v>332</v>
      </c>
      <c r="C106" s="213" t="s">
        <v>272</v>
      </c>
      <c r="D106" s="214"/>
      <c r="E106" s="214"/>
      <c r="F106" s="214"/>
      <c r="G106" s="214"/>
      <c r="H106" s="214"/>
      <c r="I106" s="214"/>
      <c r="J106" s="214"/>
      <c r="K106" s="215"/>
    </row>
    <row r="107" spans="2:11" ht="33.6" customHeight="1">
      <c r="B107" s="77" t="s">
        <v>477</v>
      </c>
      <c r="C107" s="78" t="s">
        <v>421</v>
      </c>
      <c r="D107" s="67"/>
      <c r="E107" s="67"/>
      <c r="F107" s="67"/>
      <c r="G107" s="67"/>
      <c r="H107" s="67"/>
      <c r="I107" s="67"/>
      <c r="J107" s="68">
        <f t="shared" si="1"/>
        <v>0</v>
      </c>
      <c r="K107" s="69"/>
    </row>
    <row r="108" spans="2:11" ht="33.6" customHeight="1">
      <c r="B108" s="77" t="s">
        <v>478</v>
      </c>
      <c r="C108" s="213" t="s">
        <v>479</v>
      </c>
      <c r="D108" s="214"/>
      <c r="E108" s="214"/>
      <c r="F108" s="214"/>
      <c r="G108" s="214"/>
      <c r="H108" s="214"/>
      <c r="I108" s="214"/>
      <c r="J108" s="214"/>
      <c r="K108" s="215"/>
    </row>
    <row r="109" spans="2:11" ht="33.6" customHeight="1">
      <c r="B109" s="77" t="s">
        <v>480</v>
      </c>
      <c r="C109" s="213" t="s">
        <v>481</v>
      </c>
      <c r="D109" s="214"/>
      <c r="E109" s="214"/>
      <c r="F109" s="214"/>
      <c r="G109" s="214"/>
      <c r="H109" s="214"/>
      <c r="I109" s="214"/>
      <c r="J109" s="214"/>
      <c r="K109" s="215"/>
    </row>
    <row r="110" spans="2:11" ht="33.6" customHeight="1">
      <c r="B110" s="77" t="s">
        <v>482</v>
      </c>
      <c r="C110" s="78" t="s">
        <v>483</v>
      </c>
      <c r="D110" s="67"/>
      <c r="E110" s="67">
        <v>8</v>
      </c>
      <c r="F110" s="67">
        <v>8</v>
      </c>
      <c r="G110" s="67">
        <v>8</v>
      </c>
      <c r="H110" s="67">
        <v>8</v>
      </c>
      <c r="I110" s="67"/>
      <c r="J110" s="68">
        <f t="shared" si="1"/>
        <v>32</v>
      </c>
      <c r="K110" s="69"/>
    </row>
    <row r="111" spans="2:11" ht="33.6" customHeight="1">
      <c r="B111" s="77" t="s">
        <v>484</v>
      </c>
      <c r="C111" s="78" t="s">
        <v>485</v>
      </c>
      <c r="D111" s="67"/>
      <c r="E111" s="67"/>
      <c r="F111" s="67"/>
      <c r="G111" s="67"/>
      <c r="H111" s="67"/>
      <c r="I111" s="67"/>
      <c r="J111" s="68">
        <f t="shared" si="1"/>
        <v>0</v>
      </c>
      <c r="K111" s="69"/>
    </row>
    <row r="112" spans="2:11" ht="33.6" customHeight="1">
      <c r="B112" s="77" t="s">
        <v>486</v>
      </c>
      <c r="C112" s="78" t="s">
        <v>487</v>
      </c>
      <c r="D112" s="67"/>
      <c r="E112" s="67"/>
      <c r="F112" s="67"/>
      <c r="G112" s="67"/>
      <c r="H112" s="67"/>
      <c r="I112" s="67"/>
      <c r="J112" s="68">
        <f t="shared" si="1"/>
        <v>0</v>
      </c>
      <c r="K112" s="69"/>
    </row>
    <row r="113" spans="2:11" ht="33.6" customHeight="1">
      <c r="B113" s="77" t="s">
        <v>488</v>
      </c>
      <c r="C113" s="78" t="s">
        <v>489</v>
      </c>
      <c r="D113" s="67"/>
      <c r="E113" s="67"/>
      <c r="F113" s="67"/>
      <c r="G113" s="67"/>
      <c r="H113" s="67"/>
      <c r="I113" s="67"/>
      <c r="J113" s="68">
        <f t="shared" si="1"/>
        <v>0</v>
      </c>
      <c r="K113" s="69"/>
    </row>
    <row r="114" spans="2:11" ht="33.6" customHeight="1">
      <c r="B114" s="77" t="s">
        <v>490</v>
      </c>
      <c r="C114" s="78" t="s">
        <v>491</v>
      </c>
      <c r="D114" s="67"/>
      <c r="E114" s="67">
        <v>200</v>
      </c>
      <c r="F114" s="67">
        <v>22</v>
      </c>
      <c r="G114" s="67">
        <v>16</v>
      </c>
      <c r="H114" s="67">
        <v>16</v>
      </c>
      <c r="I114" s="67"/>
      <c r="J114" s="68">
        <f t="shared" si="1"/>
        <v>254</v>
      </c>
      <c r="K114" s="69"/>
    </row>
    <row r="115" spans="2:11" ht="33.6" customHeight="1">
      <c r="B115" s="77" t="s">
        <v>492</v>
      </c>
      <c r="C115" s="78" t="s">
        <v>493</v>
      </c>
      <c r="D115" s="67"/>
      <c r="E115" s="67"/>
      <c r="F115" s="67"/>
      <c r="G115" s="67"/>
      <c r="H115" s="67"/>
      <c r="I115" s="67"/>
      <c r="J115" s="68">
        <f t="shared" si="1"/>
        <v>0</v>
      </c>
      <c r="K115" s="69"/>
    </row>
    <row r="116" spans="2:11" ht="33.6" customHeight="1">
      <c r="B116" s="77" t="s">
        <v>494</v>
      </c>
      <c r="C116" s="78" t="s">
        <v>495</v>
      </c>
      <c r="D116" s="67"/>
      <c r="E116" s="67"/>
      <c r="F116" s="67"/>
      <c r="G116" s="67"/>
      <c r="H116" s="67"/>
      <c r="I116" s="67"/>
      <c r="J116" s="68">
        <f t="shared" si="1"/>
        <v>0</v>
      </c>
      <c r="K116" s="69"/>
    </row>
    <row r="117" spans="2:11" ht="33.6" customHeight="1">
      <c r="B117" s="77" t="s">
        <v>496</v>
      </c>
      <c r="C117" s="78" t="s">
        <v>497</v>
      </c>
      <c r="D117" s="67"/>
      <c r="E117" s="67"/>
      <c r="F117" s="67"/>
      <c r="G117" s="67"/>
      <c r="H117" s="67"/>
      <c r="I117" s="67"/>
      <c r="J117" s="68">
        <f t="shared" si="1"/>
        <v>0</v>
      </c>
      <c r="K117" s="69"/>
    </row>
    <row r="118" spans="2:11" ht="33.6" customHeight="1">
      <c r="B118" s="77" t="s">
        <v>498</v>
      </c>
      <c r="C118" s="78" t="s">
        <v>499</v>
      </c>
      <c r="D118" s="67"/>
      <c r="E118" s="67"/>
      <c r="F118" s="67"/>
      <c r="G118" s="67"/>
      <c r="H118" s="67"/>
      <c r="I118" s="67"/>
      <c r="J118" s="68">
        <f t="shared" si="1"/>
        <v>0</v>
      </c>
      <c r="K118" s="69"/>
    </row>
    <row r="119" spans="2:11" ht="33.6" customHeight="1">
      <c r="B119" s="77" t="s">
        <v>332</v>
      </c>
      <c r="C119" s="213" t="s">
        <v>272</v>
      </c>
      <c r="D119" s="214"/>
      <c r="E119" s="214"/>
      <c r="F119" s="214"/>
      <c r="G119" s="214"/>
      <c r="H119" s="214"/>
      <c r="I119" s="214"/>
      <c r="J119" s="214"/>
      <c r="K119" s="215"/>
    </row>
    <row r="120" spans="2:11" ht="33.6" customHeight="1">
      <c r="B120" s="77" t="s">
        <v>500</v>
      </c>
      <c r="C120" s="78" t="s">
        <v>334</v>
      </c>
      <c r="D120" s="67"/>
      <c r="E120" s="67"/>
      <c r="F120" s="67"/>
      <c r="G120" s="67"/>
      <c r="H120" s="67"/>
      <c r="I120" s="67"/>
      <c r="J120" s="68">
        <f t="shared" si="1"/>
        <v>0</v>
      </c>
      <c r="K120" s="69"/>
    </row>
    <row r="121" spans="2:11" ht="33.6" customHeight="1">
      <c r="B121" s="77"/>
      <c r="C121" s="83" t="s">
        <v>501</v>
      </c>
      <c r="D121" s="216"/>
      <c r="E121" s="217"/>
      <c r="F121" s="217"/>
      <c r="G121" s="217"/>
      <c r="H121" s="217"/>
      <c r="I121" s="217"/>
      <c r="J121" s="217"/>
      <c r="K121" s="218"/>
    </row>
    <row r="122" spans="2:11" ht="31.8">
      <c r="B122" s="69"/>
      <c r="C122" s="75" t="s">
        <v>502</v>
      </c>
      <c r="D122" s="70" t="s">
        <v>280</v>
      </c>
      <c r="E122" s="70"/>
      <c r="F122" s="70"/>
      <c r="G122" s="70"/>
      <c r="H122" s="70"/>
      <c r="I122" s="70"/>
      <c r="J122" s="76">
        <v>1</v>
      </c>
      <c r="K122" s="81" t="s">
        <v>1142</v>
      </c>
    </row>
    <row r="123" spans="2:11" ht="31.8">
      <c r="B123" s="69"/>
      <c r="C123" s="75" t="s">
        <v>503</v>
      </c>
      <c r="D123" s="70" t="s">
        <v>280</v>
      </c>
      <c r="E123" s="70"/>
      <c r="F123" s="70"/>
      <c r="G123" s="70"/>
      <c r="H123" s="70"/>
      <c r="I123" s="70"/>
      <c r="J123" s="76">
        <v>1</v>
      </c>
      <c r="K123" s="81" t="s">
        <v>1142</v>
      </c>
    </row>
    <row r="124" spans="2:11" ht="31.8">
      <c r="B124" s="69"/>
      <c r="C124" s="75" t="s">
        <v>504</v>
      </c>
      <c r="D124" s="70" t="s">
        <v>280</v>
      </c>
      <c r="E124" s="70"/>
      <c r="F124" s="70"/>
      <c r="G124" s="70"/>
      <c r="H124" s="70"/>
      <c r="I124" s="70"/>
      <c r="J124" s="76">
        <v>1</v>
      </c>
      <c r="K124" s="81" t="s">
        <v>1142</v>
      </c>
    </row>
    <row r="125" spans="2:11" ht="31.8">
      <c r="B125" s="69"/>
      <c r="C125" s="75" t="s">
        <v>505</v>
      </c>
      <c r="D125" s="70" t="s">
        <v>280</v>
      </c>
      <c r="E125" s="70"/>
      <c r="F125" s="70"/>
      <c r="G125" s="70"/>
      <c r="H125" s="70"/>
      <c r="I125" s="70"/>
      <c r="J125" s="76">
        <v>1</v>
      </c>
      <c r="K125" s="81" t="s">
        <v>1142</v>
      </c>
    </row>
    <row r="126" spans="2:11" ht="31.8">
      <c r="B126" s="69"/>
      <c r="C126" s="75" t="s">
        <v>506</v>
      </c>
      <c r="D126" s="70" t="s">
        <v>280</v>
      </c>
      <c r="E126" s="70"/>
      <c r="F126" s="70"/>
      <c r="G126" s="70"/>
      <c r="H126" s="70"/>
      <c r="I126" s="70"/>
      <c r="J126" s="76">
        <v>1</v>
      </c>
      <c r="K126" s="81" t="s">
        <v>1142</v>
      </c>
    </row>
  </sheetData>
  <mergeCells count="23">
    <mergeCell ref="C109:K109"/>
    <mergeCell ref="C119:K119"/>
    <mergeCell ref="D121:K121"/>
    <mergeCell ref="C78:K78"/>
    <mergeCell ref="C83:K83"/>
    <mergeCell ref="D98:K98"/>
    <mergeCell ref="D103:K103"/>
    <mergeCell ref="C106:K106"/>
    <mergeCell ref="C54:K54"/>
    <mergeCell ref="C67:K67"/>
    <mergeCell ref="C71:K71"/>
    <mergeCell ref="C72:K72"/>
    <mergeCell ref="C108:K108"/>
    <mergeCell ref="C27:K27"/>
    <mergeCell ref="C37:K37"/>
    <mergeCell ref="C42:K42"/>
    <mergeCell ref="C48:K48"/>
    <mergeCell ref="C51:K51"/>
    <mergeCell ref="C14:K14"/>
    <mergeCell ref="C8:K8"/>
    <mergeCell ref="C17:K17"/>
    <mergeCell ref="C18:K18"/>
    <mergeCell ref="C23:K23"/>
  </mergeCell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A8F7-08A8-4D78-91B3-B896F543F925}">
  <dimension ref="A2:K107"/>
  <sheetViews>
    <sheetView zoomScale="115" zoomScaleNormal="115" workbookViewId="0">
      <pane ySplit="2" topLeftCell="A15" activePane="bottomLeft" state="frozen"/>
      <selection pane="bottomLeft" activeCell="F17" sqref="F17"/>
    </sheetView>
  </sheetViews>
  <sheetFormatPr defaultColWidth="8.77734375" defaultRowHeight="18"/>
  <cols>
    <col min="1" max="1" width="2.88671875" style="52" customWidth="1"/>
    <col min="2" max="2" width="13.21875" style="52" customWidth="1"/>
    <col min="3" max="3" width="60.109375" style="52" customWidth="1"/>
    <col min="4" max="4" width="5.77734375" style="53" customWidth="1"/>
    <col min="5" max="9" width="14" style="53" customWidth="1"/>
    <col min="10" max="10" width="14" style="54" customWidth="1"/>
    <col min="11" max="11" width="48.88671875" style="52" customWidth="1"/>
    <col min="12" max="16384" width="8.77734375" style="27"/>
  </cols>
  <sheetData>
    <row r="2" spans="1:11" ht="46.05" customHeight="1">
      <c r="A2" s="55"/>
      <c r="B2" s="56" t="s">
        <v>1141</v>
      </c>
      <c r="C2" s="56" t="s">
        <v>661</v>
      </c>
      <c r="D2" s="57" t="s">
        <v>7</v>
      </c>
      <c r="E2" s="58" t="s">
        <v>1143</v>
      </c>
      <c r="F2" s="58" t="s">
        <v>1144</v>
      </c>
      <c r="G2" s="58" t="s">
        <v>1145</v>
      </c>
      <c r="H2" s="58" t="s">
        <v>1146</v>
      </c>
      <c r="I2" s="58" t="s">
        <v>1147</v>
      </c>
      <c r="J2" s="59" t="s">
        <v>1138</v>
      </c>
      <c r="K2" s="60" t="s">
        <v>1139</v>
      </c>
    </row>
    <row r="3" spans="1:11">
      <c r="A3" s="61"/>
      <c r="B3" s="62" t="s">
        <v>508</v>
      </c>
      <c r="C3" s="62" t="s">
        <v>509</v>
      </c>
      <c r="D3" s="222"/>
      <c r="E3" s="223"/>
      <c r="F3" s="223"/>
      <c r="G3" s="223"/>
      <c r="H3" s="223"/>
      <c r="I3" s="223"/>
      <c r="J3" s="223"/>
      <c r="K3" s="224"/>
    </row>
    <row r="4" spans="1:11">
      <c r="A4" s="61"/>
      <c r="B4" s="62" t="s">
        <v>510</v>
      </c>
      <c r="C4" s="62" t="s">
        <v>511</v>
      </c>
      <c r="D4" s="225"/>
      <c r="E4" s="226"/>
      <c r="F4" s="226"/>
      <c r="G4" s="226"/>
      <c r="H4" s="226"/>
      <c r="I4" s="226"/>
      <c r="J4" s="226"/>
      <c r="K4" s="227"/>
    </row>
    <row r="5" spans="1:11" ht="31.2">
      <c r="A5" s="63"/>
      <c r="B5" s="64" t="s">
        <v>513</v>
      </c>
      <c r="C5" s="65" t="s">
        <v>514</v>
      </c>
      <c r="D5" s="66" t="s">
        <v>280</v>
      </c>
      <c r="E5" s="67"/>
      <c r="F5" s="67">
        <v>4</v>
      </c>
      <c r="G5" s="67">
        <v>4</v>
      </c>
      <c r="H5" s="67">
        <v>3</v>
      </c>
      <c r="I5" s="67"/>
      <c r="J5" s="68">
        <f>E5+F5+G5+H5+I5</f>
        <v>11</v>
      </c>
      <c r="K5" s="69"/>
    </row>
    <row r="6" spans="1:11" ht="31.2">
      <c r="A6" s="63"/>
      <c r="B6" s="64" t="s">
        <v>515</v>
      </c>
      <c r="C6" s="65" t="s">
        <v>516</v>
      </c>
      <c r="D6" s="66" t="s">
        <v>280</v>
      </c>
      <c r="E6" s="67">
        <v>2</v>
      </c>
      <c r="F6" s="67">
        <v>4</v>
      </c>
      <c r="G6" s="67">
        <v>4</v>
      </c>
      <c r="H6" s="67">
        <v>3</v>
      </c>
      <c r="I6" s="67"/>
      <c r="J6" s="68">
        <f t="shared" ref="J6:J69" si="0">E6+F6+G6+H6+I6</f>
        <v>13</v>
      </c>
      <c r="K6" s="69"/>
    </row>
    <row r="7" spans="1:11" ht="31.2">
      <c r="A7" s="63"/>
      <c r="B7" s="64" t="s">
        <v>517</v>
      </c>
      <c r="C7" s="65" t="s">
        <v>518</v>
      </c>
      <c r="D7" s="66" t="s">
        <v>280</v>
      </c>
      <c r="E7" s="67"/>
      <c r="F7" s="67">
        <v>1</v>
      </c>
      <c r="G7" s="67">
        <v>2</v>
      </c>
      <c r="H7" s="67">
        <v>2</v>
      </c>
      <c r="I7" s="67"/>
      <c r="J7" s="68">
        <f t="shared" si="0"/>
        <v>5</v>
      </c>
      <c r="K7" s="69"/>
    </row>
    <row r="8" spans="1:11" ht="46.8">
      <c r="A8" s="63"/>
      <c r="B8" s="64" t="s">
        <v>519</v>
      </c>
      <c r="C8" s="65" t="s">
        <v>520</v>
      </c>
      <c r="D8" s="66" t="s">
        <v>280</v>
      </c>
      <c r="E8" s="67"/>
      <c r="F8" s="67">
        <v>5</v>
      </c>
      <c r="G8" s="67">
        <v>6</v>
      </c>
      <c r="H8" s="67">
        <v>5</v>
      </c>
      <c r="I8" s="67"/>
      <c r="J8" s="68">
        <f t="shared" si="0"/>
        <v>16</v>
      </c>
      <c r="K8" s="69"/>
    </row>
    <row r="9" spans="1:11" ht="46.8">
      <c r="A9" s="63"/>
      <c r="B9" s="64" t="s">
        <v>521</v>
      </c>
      <c r="C9" s="65" t="s">
        <v>522</v>
      </c>
      <c r="D9" s="66" t="s">
        <v>280</v>
      </c>
      <c r="E9" s="67"/>
      <c r="F9" s="67">
        <v>4</v>
      </c>
      <c r="G9" s="67">
        <v>4</v>
      </c>
      <c r="H9" s="67">
        <v>1</v>
      </c>
      <c r="I9" s="67"/>
      <c r="J9" s="68">
        <f t="shared" si="0"/>
        <v>9</v>
      </c>
      <c r="K9" s="69"/>
    </row>
    <row r="10" spans="1:11" ht="46.8">
      <c r="A10" s="63"/>
      <c r="B10" s="64" t="s">
        <v>523</v>
      </c>
      <c r="C10" s="65" t="s">
        <v>524</v>
      </c>
      <c r="D10" s="66" t="s">
        <v>280</v>
      </c>
      <c r="E10" s="67"/>
      <c r="F10" s="67"/>
      <c r="G10" s="67"/>
      <c r="H10" s="67">
        <v>2</v>
      </c>
      <c r="I10" s="67"/>
      <c r="J10" s="68">
        <f t="shared" si="0"/>
        <v>2</v>
      </c>
      <c r="K10" s="69"/>
    </row>
    <row r="11" spans="1:11" ht="46.8">
      <c r="A11" s="63"/>
      <c r="B11" s="64" t="s">
        <v>525</v>
      </c>
      <c r="C11" s="65" t="s">
        <v>526</v>
      </c>
      <c r="D11" s="66" t="s">
        <v>280</v>
      </c>
      <c r="E11" s="67"/>
      <c r="F11" s="67"/>
      <c r="G11" s="67"/>
      <c r="H11" s="67"/>
      <c r="I11" s="67"/>
      <c r="J11" s="68">
        <f t="shared" si="0"/>
        <v>0</v>
      </c>
      <c r="K11" s="69"/>
    </row>
    <row r="12" spans="1:11" ht="62.4">
      <c r="A12" s="63"/>
      <c r="B12" s="64" t="s">
        <v>527</v>
      </c>
      <c r="C12" s="65" t="s">
        <v>528</v>
      </c>
      <c r="D12" s="66" t="s">
        <v>280</v>
      </c>
      <c r="E12" s="67"/>
      <c r="F12" s="67"/>
      <c r="G12" s="67"/>
      <c r="H12" s="67"/>
      <c r="I12" s="67"/>
      <c r="J12" s="68">
        <f t="shared" si="0"/>
        <v>0</v>
      </c>
      <c r="K12" s="69"/>
    </row>
    <row r="13" spans="1:11" ht="62.4">
      <c r="A13" s="63"/>
      <c r="B13" s="64" t="s">
        <v>529</v>
      </c>
      <c r="C13" s="65" t="s">
        <v>530</v>
      </c>
      <c r="D13" s="66" t="s">
        <v>280</v>
      </c>
      <c r="E13" s="67"/>
      <c r="F13" s="67"/>
      <c r="G13" s="67"/>
      <c r="H13" s="67">
        <v>2</v>
      </c>
      <c r="I13" s="67"/>
      <c r="J13" s="68">
        <f t="shared" si="0"/>
        <v>2</v>
      </c>
      <c r="K13" s="69"/>
    </row>
    <row r="14" spans="1:11" ht="62.4">
      <c r="A14" s="63"/>
      <c r="B14" s="64" t="s">
        <v>531</v>
      </c>
      <c r="C14" s="65" t="s">
        <v>532</v>
      </c>
      <c r="D14" s="66" t="s">
        <v>280</v>
      </c>
      <c r="E14" s="67"/>
      <c r="F14" s="67">
        <v>1</v>
      </c>
      <c r="G14" s="67">
        <v>2</v>
      </c>
      <c r="H14" s="67"/>
      <c r="I14" s="67"/>
      <c r="J14" s="68">
        <f t="shared" si="0"/>
        <v>3</v>
      </c>
      <c r="K14" s="69"/>
    </row>
    <row r="15" spans="1:11" ht="62.4">
      <c r="A15" s="63"/>
      <c r="B15" s="64" t="s">
        <v>533</v>
      </c>
      <c r="C15" s="65" t="s">
        <v>534</v>
      </c>
      <c r="D15" s="66" t="s">
        <v>280</v>
      </c>
      <c r="E15" s="67"/>
      <c r="F15" s="67"/>
      <c r="G15" s="67"/>
      <c r="H15" s="67"/>
      <c r="I15" s="67"/>
      <c r="J15" s="68">
        <f t="shared" si="0"/>
        <v>0</v>
      </c>
      <c r="K15" s="69"/>
    </row>
    <row r="16" spans="1:11" ht="62.4">
      <c r="A16" s="63"/>
      <c r="B16" s="64" t="s">
        <v>535</v>
      </c>
      <c r="C16" s="65" t="s">
        <v>536</v>
      </c>
      <c r="D16" s="66" t="s">
        <v>280</v>
      </c>
      <c r="E16" s="67"/>
      <c r="F16" s="67"/>
      <c r="G16" s="67"/>
      <c r="H16" s="67"/>
      <c r="I16" s="67"/>
      <c r="J16" s="68">
        <f t="shared" si="0"/>
        <v>0</v>
      </c>
      <c r="K16" s="69"/>
    </row>
    <row r="17" spans="1:11" ht="62.4">
      <c r="A17" s="63"/>
      <c r="B17" s="64" t="s">
        <v>537</v>
      </c>
      <c r="C17" s="65" t="s">
        <v>538</v>
      </c>
      <c r="D17" s="66" t="s">
        <v>280</v>
      </c>
      <c r="E17" s="67"/>
      <c r="F17" s="67"/>
      <c r="G17" s="67"/>
      <c r="H17" s="67"/>
      <c r="I17" s="67"/>
      <c r="J17" s="68">
        <f t="shared" si="0"/>
        <v>0</v>
      </c>
      <c r="K17" s="69"/>
    </row>
    <row r="18" spans="1:11">
      <c r="A18" s="63"/>
      <c r="B18" s="64" t="s">
        <v>539</v>
      </c>
      <c r="C18" s="65" t="s">
        <v>540</v>
      </c>
      <c r="D18" s="66" t="s">
        <v>280</v>
      </c>
      <c r="E18" s="67">
        <v>2</v>
      </c>
      <c r="F18" s="67"/>
      <c r="G18" s="67"/>
      <c r="H18" s="67"/>
      <c r="I18" s="67"/>
      <c r="J18" s="68">
        <f t="shared" si="0"/>
        <v>2</v>
      </c>
      <c r="K18" s="69"/>
    </row>
    <row r="19" spans="1:11">
      <c r="A19" s="63"/>
      <c r="B19" s="64" t="s">
        <v>541</v>
      </c>
      <c r="C19" s="65" t="s">
        <v>542</v>
      </c>
      <c r="D19" s="66" t="s">
        <v>280</v>
      </c>
      <c r="E19" s="67"/>
      <c r="F19" s="67"/>
      <c r="G19" s="67"/>
      <c r="H19" s="67"/>
      <c r="I19" s="67"/>
      <c r="J19" s="68">
        <f t="shared" si="0"/>
        <v>0</v>
      </c>
      <c r="K19" s="69"/>
    </row>
    <row r="20" spans="1:11">
      <c r="A20" s="63"/>
      <c r="B20" s="64" t="s">
        <v>543</v>
      </c>
      <c r="C20" s="65" t="s">
        <v>544</v>
      </c>
      <c r="D20" s="66" t="s">
        <v>280</v>
      </c>
      <c r="E20" s="67">
        <v>2</v>
      </c>
      <c r="F20" s="67"/>
      <c r="G20" s="67"/>
      <c r="H20" s="67"/>
      <c r="I20" s="67"/>
      <c r="J20" s="68">
        <f t="shared" si="0"/>
        <v>2</v>
      </c>
      <c r="K20" s="69"/>
    </row>
    <row r="21" spans="1:11" ht="31.2">
      <c r="A21" s="63"/>
      <c r="B21" s="64" t="s">
        <v>545</v>
      </c>
      <c r="C21" s="65" t="s">
        <v>546</v>
      </c>
      <c r="D21" s="66" t="s">
        <v>280</v>
      </c>
      <c r="E21" s="67"/>
      <c r="F21" s="67">
        <v>4</v>
      </c>
      <c r="G21" s="67">
        <v>4</v>
      </c>
      <c r="H21" s="67">
        <v>3</v>
      </c>
      <c r="I21" s="67"/>
      <c r="J21" s="68">
        <f t="shared" si="0"/>
        <v>11</v>
      </c>
      <c r="K21" s="69"/>
    </row>
    <row r="22" spans="1:11">
      <c r="A22" s="63"/>
      <c r="B22" s="64" t="s">
        <v>547</v>
      </c>
      <c r="C22" s="65" t="s">
        <v>548</v>
      </c>
      <c r="D22" s="66" t="s">
        <v>280</v>
      </c>
      <c r="E22" s="67"/>
      <c r="F22" s="67">
        <v>4</v>
      </c>
      <c r="G22" s="67">
        <v>4</v>
      </c>
      <c r="H22" s="67">
        <v>3</v>
      </c>
      <c r="I22" s="67"/>
      <c r="J22" s="68">
        <f>E22+F22+G22+H22+I22</f>
        <v>11</v>
      </c>
      <c r="K22" s="69"/>
    </row>
    <row r="23" spans="1:11">
      <c r="A23" s="63"/>
      <c r="B23" s="64" t="s">
        <v>549</v>
      </c>
      <c r="C23" s="65" t="s">
        <v>550</v>
      </c>
      <c r="D23" s="66" t="s">
        <v>280</v>
      </c>
      <c r="E23" s="67"/>
      <c r="F23" s="67"/>
      <c r="G23" s="67"/>
      <c r="H23" s="67"/>
      <c r="I23" s="67"/>
      <c r="J23" s="68">
        <f t="shared" si="0"/>
        <v>0</v>
      </c>
      <c r="K23" s="69"/>
    </row>
    <row r="24" spans="1:11">
      <c r="A24" s="61"/>
      <c r="B24" s="62" t="s">
        <v>321</v>
      </c>
      <c r="C24" s="62" t="s">
        <v>551</v>
      </c>
      <c r="D24" s="71"/>
      <c r="E24" s="67"/>
      <c r="F24" s="67"/>
      <c r="G24" s="67"/>
      <c r="H24" s="67"/>
      <c r="I24" s="67"/>
      <c r="J24" s="68">
        <f t="shared" si="0"/>
        <v>0</v>
      </c>
      <c r="K24" s="69"/>
    </row>
    <row r="25" spans="1:11">
      <c r="A25" s="63"/>
      <c r="B25" s="64" t="s">
        <v>552</v>
      </c>
      <c r="C25" s="65" t="s">
        <v>553</v>
      </c>
      <c r="D25" s="66" t="s">
        <v>280</v>
      </c>
      <c r="E25" s="67"/>
      <c r="F25" s="67"/>
      <c r="G25" s="67"/>
      <c r="H25" s="67"/>
      <c r="I25" s="67"/>
      <c r="J25" s="68">
        <f t="shared" si="0"/>
        <v>0</v>
      </c>
      <c r="K25" s="69"/>
    </row>
    <row r="26" spans="1:11" ht="156">
      <c r="A26" s="63"/>
      <c r="B26" s="72"/>
      <c r="C26" s="73" t="s">
        <v>555</v>
      </c>
      <c r="D26" s="67"/>
      <c r="E26" s="67"/>
      <c r="F26" s="67"/>
      <c r="G26" s="67"/>
      <c r="H26" s="67"/>
      <c r="I26" s="67"/>
      <c r="J26" s="68"/>
      <c r="K26" s="69"/>
    </row>
    <row r="27" spans="1:11">
      <c r="A27" s="63"/>
      <c r="B27" s="64" t="s">
        <v>556</v>
      </c>
      <c r="C27" s="65" t="s">
        <v>557</v>
      </c>
      <c r="D27" s="66" t="s">
        <v>280</v>
      </c>
      <c r="E27" s="67"/>
      <c r="F27" s="67"/>
      <c r="G27" s="67"/>
      <c r="H27" s="67"/>
      <c r="I27" s="67"/>
      <c r="J27" s="68">
        <f t="shared" si="0"/>
        <v>0</v>
      </c>
      <c r="K27" s="69"/>
    </row>
    <row r="28" spans="1:11" ht="156">
      <c r="A28" s="63"/>
      <c r="B28" s="72"/>
      <c r="C28" s="73" t="s">
        <v>555</v>
      </c>
      <c r="D28" s="67"/>
      <c r="E28" s="67"/>
      <c r="F28" s="67"/>
      <c r="G28" s="67"/>
      <c r="H28" s="67"/>
      <c r="I28" s="67"/>
      <c r="J28" s="68"/>
      <c r="K28" s="69"/>
    </row>
    <row r="29" spans="1:11">
      <c r="A29" s="63"/>
      <c r="B29" s="64" t="s">
        <v>558</v>
      </c>
      <c r="C29" s="65" t="s">
        <v>559</v>
      </c>
      <c r="D29" s="66" t="s">
        <v>280</v>
      </c>
      <c r="E29" s="67"/>
      <c r="F29" s="67"/>
      <c r="G29" s="67"/>
      <c r="H29" s="67"/>
      <c r="I29" s="67"/>
      <c r="J29" s="68">
        <f t="shared" si="0"/>
        <v>0</v>
      </c>
      <c r="K29" s="69"/>
    </row>
    <row r="30" spans="1:11" ht="171.6">
      <c r="A30" s="63"/>
      <c r="B30" s="72"/>
      <c r="C30" s="73" t="s">
        <v>560</v>
      </c>
      <c r="D30" s="67"/>
      <c r="E30" s="67"/>
      <c r="F30" s="67"/>
      <c r="G30" s="67"/>
      <c r="H30" s="67"/>
      <c r="I30" s="67"/>
      <c r="J30" s="68"/>
      <c r="K30" s="69"/>
    </row>
    <row r="31" spans="1:11">
      <c r="A31" s="63"/>
      <c r="B31" s="64" t="s">
        <v>561</v>
      </c>
      <c r="C31" s="65" t="s">
        <v>562</v>
      </c>
      <c r="D31" s="66" t="s">
        <v>280</v>
      </c>
      <c r="E31" s="67"/>
      <c r="F31" s="67"/>
      <c r="G31" s="67"/>
      <c r="H31" s="67"/>
      <c r="I31" s="67"/>
      <c r="J31" s="68">
        <f t="shared" si="0"/>
        <v>0</v>
      </c>
      <c r="K31" s="69"/>
    </row>
    <row r="32" spans="1:11" ht="171.6">
      <c r="A32" s="63"/>
      <c r="B32" s="72"/>
      <c r="C32" s="73" t="s">
        <v>563</v>
      </c>
      <c r="D32" s="67"/>
      <c r="E32" s="67"/>
      <c r="F32" s="67"/>
      <c r="G32" s="67"/>
      <c r="H32" s="67"/>
      <c r="I32" s="67"/>
      <c r="J32" s="68"/>
      <c r="K32" s="69"/>
    </row>
    <row r="33" spans="1:11">
      <c r="A33" s="63"/>
      <c r="B33" s="64" t="s">
        <v>564</v>
      </c>
      <c r="C33" s="65" t="s">
        <v>272</v>
      </c>
      <c r="D33" s="66" t="s">
        <v>280</v>
      </c>
      <c r="E33" s="67"/>
      <c r="F33" s="67"/>
      <c r="G33" s="67"/>
      <c r="H33" s="67"/>
      <c r="I33" s="67"/>
      <c r="J33" s="68">
        <f t="shared" si="0"/>
        <v>0</v>
      </c>
      <c r="K33" s="69"/>
    </row>
    <row r="34" spans="1:11" ht="93.6">
      <c r="A34" s="63"/>
      <c r="B34" s="72"/>
      <c r="C34" s="73" t="s">
        <v>565</v>
      </c>
      <c r="D34" s="67"/>
      <c r="E34" s="67"/>
      <c r="F34" s="67"/>
      <c r="G34" s="67"/>
      <c r="H34" s="67"/>
      <c r="I34" s="67"/>
      <c r="J34" s="68"/>
      <c r="K34" s="69"/>
    </row>
    <row r="35" spans="1:11">
      <c r="A35" s="61"/>
      <c r="B35" s="62" t="s">
        <v>339</v>
      </c>
      <c r="C35" s="228" t="s">
        <v>5</v>
      </c>
      <c r="D35" s="229"/>
      <c r="E35" s="229"/>
      <c r="F35" s="229"/>
      <c r="G35" s="229"/>
      <c r="H35" s="229"/>
      <c r="I35" s="229"/>
      <c r="J35" s="229"/>
      <c r="K35" s="230"/>
    </row>
    <row r="36" spans="1:11" ht="62.4">
      <c r="A36" s="63"/>
      <c r="B36" s="64" t="s">
        <v>420</v>
      </c>
      <c r="C36" s="65" t="s">
        <v>566</v>
      </c>
      <c r="D36" s="66" t="s">
        <v>68</v>
      </c>
      <c r="E36" s="67"/>
      <c r="F36" s="67"/>
      <c r="G36" s="67"/>
      <c r="H36" s="67"/>
      <c r="I36" s="67"/>
      <c r="J36" s="68">
        <f t="shared" si="0"/>
        <v>0</v>
      </c>
      <c r="K36" s="69"/>
    </row>
    <row r="37" spans="1:11" ht="62.4">
      <c r="A37" s="63"/>
      <c r="B37" s="64" t="s">
        <v>424</v>
      </c>
      <c r="C37" s="65" t="s">
        <v>567</v>
      </c>
      <c r="D37" s="66" t="s">
        <v>68</v>
      </c>
      <c r="E37" s="67"/>
      <c r="F37" s="67"/>
      <c r="G37" s="67"/>
      <c r="H37" s="67"/>
      <c r="I37" s="67"/>
      <c r="J37" s="68">
        <f t="shared" si="0"/>
        <v>0</v>
      </c>
      <c r="K37" s="69"/>
    </row>
    <row r="38" spans="1:11" ht="62.4">
      <c r="A38" s="63"/>
      <c r="B38" s="64" t="s">
        <v>425</v>
      </c>
      <c r="C38" s="65" t="s">
        <v>568</v>
      </c>
      <c r="D38" s="66" t="s">
        <v>68</v>
      </c>
      <c r="E38" s="67"/>
      <c r="F38" s="67"/>
      <c r="G38" s="67"/>
      <c r="H38" s="67"/>
      <c r="I38" s="67"/>
      <c r="J38" s="68">
        <f t="shared" si="0"/>
        <v>0</v>
      </c>
      <c r="K38" s="69"/>
    </row>
    <row r="39" spans="1:11" ht="62.4">
      <c r="A39" s="63"/>
      <c r="B39" s="64" t="s">
        <v>427</v>
      </c>
      <c r="C39" s="65" t="s">
        <v>569</v>
      </c>
      <c r="D39" s="66" t="s">
        <v>68</v>
      </c>
      <c r="E39" s="67"/>
      <c r="F39" s="67"/>
      <c r="G39" s="67"/>
      <c r="H39" s="67"/>
      <c r="I39" s="67"/>
      <c r="J39" s="68">
        <f t="shared" si="0"/>
        <v>0</v>
      </c>
      <c r="K39" s="69"/>
    </row>
    <row r="40" spans="1:11" ht="62.4">
      <c r="A40" s="63"/>
      <c r="B40" s="64" t="s">
        <v>428</v>
      </c>
      <c r="C40" s="65" t="s">
        <v>570</v>
      </c>
      <c r="D40" s="66" t="s">
        <v>68</v>
      </c>
      <c r="E40" s="67"/>
      <c r="F40" s="67"/>
      <c r="G40" s="67"/>
      <c r="H40" s="67"/>
      <c r="I40" s="67"/>
      <c r="J40" s="68">
        <f t="shared" si="0"/>
        <v>0</v>
      </c>
      <c r="K40" s="69"/>
    </row>
    <row r="41" spans="1:11" ht="62.4">
      <c r="A41" s="63"/>
      <c r="B41" s="64" t="s">
        <v>429</v>
      </c>
      <c r="C41" s="65" t="s">
        <v>571</v>
      </c>
      <c r="D41" s="66" t="s">
        <v>68</v>
      </c>
      <c r="E41" s="67"/>
      <c r="F41" s="67"/>
      <c r="G41" s="67"/>
      <c r="H41" s="67"/>
      <c r="I41" s="67"/>
      <c r="J41" s="68">
        <f t="shared" si="0"/>
        <v>0</v>
      </c>
      <c r="K41" s="69"/>
    </row>
    <row r="42" spans="1:11">
      <c r="A42" s="63"/>
      <c r="B42" s="64" t="s">
        <v>432</v>
      </c>
      <c r="C42" s="65" t="s">
        <v>572</v>
      </c>
      <c r="D42" s="66" t="s">
        <v>68</v>
      </c>
      <c r="E42" s="67"/>
      <c r="F42" s="67"/>
      <c r="G42" s="67"/>
      <c r="H42" s="67"/>
      <c r="I42" s="67"/>
      <c r="J42" s="68">
        <f t="shared" si="0"/>
        <v>0</v>
      </c>
      <c r="K42" s="69"/>
    </row>
    <row r="43" spans="1:11">
      <c r="A43" s="63"/>
      <c r="B43" s="64" t="s">
        <v>434</v>
      </c>
      <c r="C43" s="65" t="s">
        <v>573</v>
      </c>
      <c r="D43" s="66" t="s">
        <v>68</v>
      </c>
      <c r="E43" s="67"/>
      <c r="F43" s="67"/>
      <c r="G43" s="67"/>
      <c r="H43" s="67"/>
      <c r="I43" s="67"/>
      <c r="J43" s="68">
        <f t="shared" si="0"/>
        <v>0</v>
      </c>
      <c r="K43" s="69"/>
    </row>
    <row r="44" spans="1:11">
      <c r="A44" s="63"/>
      <c r="B44" s="64" t="s">
        <v>436</v>
      </c>
      <c r="C44" s="65" t="s">
        <v>574</v>
      </c>
      <c r="D44" s="66" t="s">
        <v>68</v>
      </c>
      <c r="E44" s="67"/>
      <c r="F44" s="67"/>
      <c r="G44" s="67"/>
      <c r="H44" s="67"/>
      <c r="I44" s="67"/>
      <c r="J44" s="68">
        <f t="shared" si="0"/>
        <v>0</v>
      </c>
      <c r="K44" s="69"/>
    </row>
    <row r="45" spans="1:11">
      <c r="A45" s="63"/>
      <c r="B45" s="64" t="s">
        <v>438</v>
      </c>
      <c r="C45" s="65" t="s">
        <v>575</v>
      </c>
      <c r="D45" s="66" t="s">
        <v>68</v>
      </c>
      <c r="E45" s="67">
        <v>40</v>
      </c>
      <c r="F45" s="67"/>
      <c r="G45" s="67"/>
      <c r="H45" s="67"/>
      <c r="I45" s="67"/>
      <c r="J45" s="68">
        <f t="shared" si="0"/>
        <v>40</v>
      </c>
      <c r="K45" s="69"/>
    </row>
    <row r="46" spans="1:11" ht="31.2">
      <c r="A46" s="63"/>
      <c r="B46" s="64" t="s">
        <v>442</v>
      </c>
      <c r="C46" s="65" t="s">
        <v>576</v>
      </c>
      <c r="D46" s="66" t="s">
        <v>68</v>
      </c>
      <c r="E46" s="67"/>
      <c r="F46" s="67"/>
      <c r="G46" s="67"/>
      <c r="H46" s="67"/>
      <c r="I46" s="67"/>
      <c r="J46" s="68">
        <f t="shared" si="0"/>
        <v>0</v>
      </c>
      <c r="K46" s="69"/>
    </row>
    <row r="47" spans="1:11">
      <c r="A47" s="63"/>
      <c r="B47" s="64" t="s">
        <v>577</v>
      </c>
      <c r="C47" s="65" t="s">
        <v>578</v>
      </c>
      <c r="D47" s="66" t="s">
        <v>68</v>
      </c>
      <c r="E47" s="67"/>
      <c r="F47" s="67"/>
      <c r="G47" s="67"/>
      <c r="H47" s="67"/>
      <c r="I47" s="67"/>
      <c r="J47" s="68">
        <f t="shared" si="0"/>
        <v>0</v>
      </c>
      <c r="K47" s="69"/>
    </row>
    <row r="48" spans="1:11">
      <c r="A48" s="63"/>
      <c r="B48" s="64" t="s">
        <v>579</v>
      </c>
      <c r="C48" s="65" t="s">
        <v>580</v>
      </c>
      <c r="D48" s="66" t="s">
        <v>68</v>
      </c>
      <c r="E48" s="67"/>
      <c r="F48" s="67"/>
      <c r="G48" s="67"/>
      <c r="H48" s="67"/>
      <c r="I48" s="67"/>
      <c r="J48" s="68">
        <f t="shared" si="0"/>
        <v>0</v>
      </c>
      <c r="K48" s="69"/>
    </row>
    <row r="49" spans="1:11">
      <c r="A49" s="63"/>
      <c r="B49" s="64" t="s">
        <v>448</v>
      </c>
      <c r="C49" s="65" t="s">
        <v>581</v>
      </c>
      <c r="D49" s="66" t="s">
        <v>68</v>
      </c>
      <c r="E49" s="74"/>
      <c r="F49" s="67"/>
      <c r="G49" s="67"/>
      <c r="H49" s="67"/>
      <c r="I49" s="67"/>
      <c r="J49" s="68">
        <f t="shared" si="0"/>
        <v>0</v>
      </c>
      <c r="K49" s="69"/>
    </row>
    <row r="50" spans="1:11">
      <c r="A50" s="63"/>
      <c r="B50" s="64" t="s">
        <v>450</v>
      </c>
      <c r="C50" s="65" t="s">
        <v>582</v>
      </c>
      <c r="D50" s="66" t="s">
        <v>68</v>
      </c>
      <c r="E50" s="74"/>
      <c r="F50" s="67"/>
      <c r="G50" s="67"/>
      <c r="H50" s="67"/>
      <c r="I50" s="67"/>
      <c r="J50" s="68">
        <f t="shared" si="0"/>
        <v>0</v>
      </c>
      <c r="K50" s="69"/>
    </row>
    <row r="51" spans="1:11">
      <c r="A51" s="63"/>
      <c r="B51" s="64" t="s">
        <v>452</v>
      </c>
      <c r="C51" s="65" t="s">
        <v>583</v>
      </c>
      <c r="D51" s="66" t="s">
        <v>68</v>
      </c>
      <c r="E51" s="74"/>
      <c r="F51" s="67"/>
      <c r="G51" s="67"/>
      <c r="H51" s="67"/>
      <c r="I51" s="67"/>
      <c r="J51" s="68">
        <f t="shared" si="0"/>
        <v>0</v>
      </c>
      <c r="K51" s="69"/>
    </row>
    <row r="52" spans="1:11">
      <c r="A52" s="63"/>
      <c r="B52" s="64" t="s">
        <v>454</v>
      </c>
      <c r="C52" s="65" t="s">
        <v>584</v>
      </c>
      <c r="D52" s="66" t="s">
        <v>68</v>
      </c>
      <c r="E52" s="74"/>
      <c r="F52" s="67"/>
      <c r="G52" s="67"/>
      <c r="H52" s="67"/>
      <c r="I52" s="67"/>
      <c r="J52" s="68">
        <f t="shared" si="0"/>
        <v>0</v>
      </c>
      <c r="K52" s="69"/>
    </row>
    <row r="53" spans="1:11">
      <c r="A53" s="63"/>
      <c r="B53" s="64" t="s">
        <v>456</v>
      </c>
      <c r="C53" s="65" t="s">
        <v>585</v>
      </c>
      <c r="D53" s="66" t="s">
        <v>68</v>
      </c>
      <c r="E53" s="74"/>
      <c r="F53" s="67"/>
      <c r="G53" s="67"/>
      <c r="H53" s="67"/>
      <c r="I53" s="67"/>
      <c r="J53" s="68">
        <f t="shared" si="0"/>
        <v>0</v>
      </c>
      <c r="K53" s="69"/>
    </row>
    <row r="54" spans="1:11">
      <c r="A54" s="63"/>
      <c r="B54" s="64" t="s">
        <v>458</v>
      </c>
      <c r="C54" s="65" t="s">
        <v>586</v>
      </c>
      <c r="D54" s="66" t="s">
        <v>68</v>
      </c>
      <c r="E54" s="74"/>
      <c r="F54" s="67"/>
      <c r="G54" s="67"/>
      <c r="H54" s="67"/>
      <c r="I54" s="67"/>
      <c r="J54" s="68">
        <f t="shared" si="0"/>
        <v>0</v>
      </c>
      <c r="K54" s="69"/>
    </row>
    <row r="55" spans="1:11">
      <c r="A55" s="63"/>
      <c r="B55" s="64" t="s">
        <v>460</v>
      </c>
      <c r="C55" s="65" t="s">
        <v>587</v>
      </c>
      <c r="D55" s="66" t="s">
        <v>68</v>
      </c>
      <c r="E55" s="74"/>
      <c r="F55" s="67"/>
      <c r="G55" s="67"/>
      <c r="H55" s="67"/>
      <c r="I55" s="67"/>
      <c r="J55" s="68">
        <f t="shared" si="0"/>
        <v>0</v>
      </c>
      <c r="K55" s="69"/>
    </row>
    <row r="56" spans="1:11">
      <c r="A56" s="63"/>
      <c r="B56" s="64" t="s">
        <v>462</v>
      </c>
      <c r="C56" s="65" t="s">
        <v>588</v>
      </c>
      <c r="D56" s="66" t="s">
        <v>68</v>
      </c>
      <c r="E56" s="74">
        <v>120</v>
      </c>
      <c r="F56" s="67"/>
      <c r="G56" s="67"/>
      <c r="H56" s="67"/>
      <c r="I56" s="67"/>
      <c r="J56" s="68">
        <f t="shared" si="0"/>
        <v>120</v>
      </c>
      <c r="K56" s="69"/>
    </row>
    <row r="57" spans="1:11">
      <c r="A57" s="63"/>
      <c r="B57" s="64" t="s">
        <v>464</v>
      </c>
      <c r="C57" s="65" t="s">
        <v>589</v>
      </c>
      <c r="D57" s="66" t="s">
        <v>68</v>
      </c>
      <c r="E57" s="74">
        <v>90</v>
      </c>
      <c r="F57" s="67"/>
      <c r="G57" s="67"/>
      <c r="H57" s="67"/>
      <c r="I57" s="67"/>
      <c r="J57" s="68">
        <f t="shared" si="0"/>
        <v>90</v>
      </c>
      <c r="K57" s="69"/>
    </row>
    <row r="58" spans="1:11">
      <c r="A58" s="63"/>
      <c r="B58" s="64" t="s">
        <v>465</v>
      </c>
      <c r="C58" s="65" t="s">
        <v>590</v>
      </c>
      <c r="D58" s="66" t="s">
        <v>68</v>
      </c>
      <c r="E58" s="74">
        <v>120</v>
      </c>
      <c r="F58" s="67"/>
      <c r="G58" s="67"/>
      <c r="H58" s="67"/>
      <c r="I58" s="67"/>
      <c r="J58" s="68">
        <f t="shared" si="0"/>
        <v>120</v>
      </c>
      <c r="K58" s="69"/>
    </row>
    <row r="59" spans="1:11">
      <c r="A59" s="63"/>
      <c r="B59" s="64" t="s">
        <v>467</v>
      </c>
      <c r="C59" s="65" t="s">
        <v>591</v>
      </c>
      <c r="D59" s="66" t="s">
        <v>68</v>
      </c>
      <c r="E59" s="74">
        <v>100</v>
      </c>
      <c r="F59" s="67"/>
      <c r="G59" s="67"/>
      <c r="H59" s="67"/>
      <c r="I59" s="67"/>
      <c r="J59" s="68">
        <f t="shared" si="0"/>
        <v>100</v>
      </c>
      <c r="K59" s="69"/>
    </row>
    <row r="60" spans="1:11">
      <c r="A60" s="63"/>
      <c r="B60" s="64" t="s">
        <v>469</v>
      </c>
      <c r="C60" s="65" t="s">
        <v>592</v>
      </c>
      <c r="D60" s="66" t="s">
        <v>68</v>
      </c>
      <c r="E60" s="74">
        <v>80</v>
      </c>
      <c r="F60" s="67"/>
      <c r="G60" s="67"/>
      <c r="H60" s="67"/>
      <c r="I60" s="67"/>
      <c r="J60" s="68">
        <f t="shared" si="0"/>
        <v>80</v>
      </c>
      <c r="K60" s="69"/>
    </row>
    <row r="61" spans="1:11">
      <c r="A61" s="63"/>
      <c r="B61" s="64" t="s">
        <v>475</v>
      </c>
      <c r="C61" s="65" t="s">
        <v>593</v>
      </c>
      <c r="D61" s="66" t="s">
        <v>68</v>
      </c>
      <c r="E61" s="74">
        <v>50</v>
      </c>
      <c r="F61" s="67"/>
      <c r="G61" s="67"/>
      <c r="H61" s="67"/>
      <c r="I61" s="67"/>
      <c r="J61" s="68">
        <f t="shared" si="0"/>
        <v>50</v>
      </c>
      <c r="K61" s="69"/>
    </row>
    <row r="62" spans="1:11">
      <c r="A62" s="63"/>
      <c r="B62" s="64" t="s">
        <v>477</v>
      </c>
      <c r="C62" s="65" t="s">
        <v>594</v>
      </c>
      <c r="D62" s="66" t="s">
        <v>68</v>
      </c>
      <c r="E62" s="74"/>
      <c r="F62" s="67"/>
      <c r="G62" s="67"/>
      <c r="H62" s="67"/>
      <c r="I62" s="67"/>
      <c r="J62" s="68">
        <f t="shared" si="0"/>
        <v>0</v>
      </c>
      <c r="K62" s="69"/>
    </row>
    <row r="63" spans="1:11">
      <c r="A63" s="63"/>
      <c r="B63" s="64" t="s">
        <v>482</v>
      </c>
      <c r="C63" s="65" t="s">
        <v>595</v>
      </c>
      <c r="D63" s="66" t="s">
        <v>68</v>
      </c>
      <c r="E63" s="74"/>
      <c r="F63" s="67"/>
      <c r="G63" s="67"/>
      <c r="H63" s="67"/>
      <c r="I63" s="67"/>
      <c r="J63" s="68">
        <f t="shared" si="0"/>
        <v>0</v>
      </c>
      <c r="K63" s="69"/>
    </row>
    <row r="64" spans="1:11">
      <c r="A64" s="63"/>
      <c r="B64" s="64" t="s">
        <v>484</v>
      </c>
      <c r="C64" s="65" t="s">
        <v>596</v>
      </c>
      <c r="D64" s="66" t="s">
        <v>68</v>
      </c>
      <c r="E64" s="74"/>
      <c r="F64" s="67"/>
      <c r="G64" s="67"/>
      <c r="H64" s="67"/>
      <c r="I64" s="67"/>
      <c r="J64" s="68">
        <f t="shared" si="0"/>
        <v>0</v>
      </c>
      <c r="K64" s="69"/>
    </row>
    <row r="65" spans="1:11">
      <c r="A65" s="63"/>
      <c r="B65" s="64" t="s">
        <v>486</v>
      </c>
      <c r="C65" s="65" t="s">
        <v>597</v>
      </c>
      <c r="D65" s="66" t="s">
        <v>68</v>
      </c>
      <c r="E65" s="74"/>
      <c r="F65" s="67"/>
      <c r="G65" s="67"/>
      <c r="H65" s="67"/>
      <c r="I65" s="67"/>
      <c r="J65" s="68">
        <f t="shared" si="0"/>
        <v>0</v>
      </c>
      <c r="K65" s="69"/>
    </row>
    <row r="66" spans="1:11">
      <c r="A66" s="63"/>
      <c r="B66" s="64" t="s">
        <v>488</v>
      </c>
      <c r="C66" s="65" t="s">
        <v>598</v>
      </c>
      <c r="D66" s="66" t="s">
        <v>16</v>
      </c>
      <c r="E66" s="74">
        <v>8</v>
      </c>
      <c r="F66" s="67">
        <v>8</v>
      </c>
      <c r="G66" s="67">
        <v>10</v>
      </c>
      <c r="H66" s="67">
        <v>6</v>
      </c>
      <c r="I66" s="67"/>
      <c r="J66" s="68">
        <f t="shared" si="0"/>
        <v>32</v>
      </c>
      <c r="K66" s="69"/>
    </row>
    <row r="67" spans="1:11">
      <c r="A67" s="63"/>
      <c r="B67" s="64" t="s">
        <v>492</v>
      </c>
      <c r="C67" s="65" t="s">
        <v>599</v>
      </c>
      <c r="D67" s="66" t="s">
        <v>16</v>
      </c>
      <c r="E67" s="74">
        <v>2</v>
      </c>
      <c r="F67" s="67">
        <v>23</v>
      </c>
      <c r="G67" s="67">
        <v>26</v>
      </c>
      <c r="H67" s="67">
        <v>21</v>
      </c>
      <c r="I67" s="67"/>
      <c r="J67" s="68">
        <f t="shared" si="0"/>
        <v>72</v>
      </c>
      <c r="K67" s="69"/>
    </row>
    <row r="68" spans="1:11">
      <c r="A68" s="63"/>
      <c r="B68" s="64" t="s">
        <v>494</v>
      </c>
      <c r="C68" s="65" t="s">
        <v>600</v>
      </c>
      <c r="D68" s="66" t="s">
        <v>16</v>
      </c>
      <c r="E68" s="74">
        <v>10</v>
      </c>
      <c r="F68" s="67">
        <v>10</v>
      </c>
      <c r="G68" s="67">
        <v>12</v>
      </c>
      <c r="H68" s="67">
        <v>10</v>
      </c>
      <c r="I68" s="67"/>
      <c r="J68" s="68">
        <f t="shared" si="0"/>
        <v>42</v>
      </c>
      <c r="K68" s="69"/>
    </row>
    <row r="69" spans="1:11">
      <c r="A69" s="63"/>
      <c r="B69" s="64" t="s">
        <v>496</v>
      </c>
      <c r="C69" s="65" t="s">
        <v>601</v>
      </c>
      <c r="D69" s="66" t="s">
        <v>16</v>
      </c>
      <c r="E69" s="74">
        <v>8</v>
      </c>
      <c r="F69" s="67">
        <v>5</v>
      </c>
      <c r="G69" s="67">
        <v>5</v>
      </c>
      <c r="H69" s="67">
        <v>4</v>
      </c>
      <c r="I69" s="67"/>
      <c r="J69" s="68">
        <f t="shared" si="0"/>
        <v>22</v>
      </c>
      <c r="K69" s="69"/>
    </row>
    <row r="70" spans="1:11">
      <c r="A70" s="63"/>
      <c r="B70" s="64" t="s">
        <v>498</v>
      </c>
      <c r="C70" s="65" t="s">
        <v>602</v>
      </c>
      <c r="D70" s="66" t="s">
        <v>16</v>
      </c>
      <c r="E70" s="74">
        <v>6</v>
      </c>
      <c r="F70" s="67"/>
      <c r="G70" s="67"/>
      <c r="H70" s="67"/>
      <c r="I70" s="67"/>
      <c r="J70" s="68">
        <f t="shared" ref="J70:J98" si="1">E70+F70+G70+H70+I70</f>
        <v>6</v>
      </c>
      <c r="K70" s="69"/>
    </row>
    <row r="71" spans="1:11" ht="31.2">
      <c r="A71" s="63"/>
      <c r="B71" s="64" t="s">
        <v>500</v>
      </c>
      <c r="C71" s="65" t="s">
        <v>603</v>
      </c>
      <c r="D71" s="66" t="s">
        <v>16</v>
      </c>
      <c r="E71" s="74"/>
      <c r="F71" s="67">
        <v>8</v>
      </c>
      <c r="G71" s="67">
        <v>8</v>
      </c>
      <c r="H71" s="67">
        <v>6</v>
      </c>
      <c r="I71" s="67"/>
      <c r="J71" s="68">
        <f t="shared" si="1"/>
        <v>22</v>
      </c>
      <c r="K71" s="69"/>
    </row>
    <row r="72" spans="1:11">
      <c r="A72" s="63"/>
      <c r="B72" s="64" t="s">
        <v>604</v>
      </c>
      <c r="C72" s="65" t="s">
        <v>605</v>
      </c>
      <c r="D72" s="66" t="s">
        <v>16</v>
      </c>
      <c r="E72" s="74">
        <v>1</v>
      </c>
      <c r="F72" s="67">
        <v>1</v>
      </c>
      <c r="G72" s="67">
        <v>1</v>
      </c>
      <c r="H72" s="67">
        <v>1</v>
      </c>
      <c r="I72" s="67"/>
      <c r="J72" s="68">
        <f t="shared" si="1"/>
        <v>4</v>
      </c>
      <c r="K72" s="69"/>
    </row>
    <row r="73" spans="1:11">
      <c r="A73" s="63"/>
      <c r="B73" s="64" t="s">
        <v>606</v>
      </c>
      <c r="C73" s="65" t="s">
        <v>607</v>
      </c>
      <c r="D73" s="66" t="s">
        <v>16</v>
      </c>
      <c r="E73" s="74">
        <v>1</v>
      </c>
      <c r="F73" s="67">
        <v>4</v>
      </c>
      <c r="G73" s="67">
        <v>4</v>
      </c>
      <c r="H73" s="67">
        <v>3</v>
      </c>
      <c r="I73" s="67"/>
      <c r="J73" s="68">
        <f t="shared" si="1"/>
        <v>12</v>
      </c>
      <c r="K73" s="69"/>
    </row>
    <row r="74" spans="1:11">
      <c r="A74" s="63"/>
      <c r="B74" s="64" t="s">
        <v>608</v>
      </c>
      <c r="C74" s="65" t="s">
        <v>609</v>
      </c>
      <c r="D74" s="66" t="s">
        <v>16</v>
      </c>
      <c r="E74" s="74"/>
      <c r="F74" s="67">
        <v>8</v>
      </c>
      <c r="G74" s="67">
        <v>8</v>
      </c>
      <c r="H74" s="67">
        <v>6</v>
      </c>
      <c r="I74" s="67"/>
      <c r="J74" s="68">
        <f t="shared" si="1"/>
        <v>22</v>
      </c>
      <c r="K74" s="69"/>
    </row>
    <row r="75" spans="1:11">
      <c r="A75" s="63"/>
      <c r="B75" s="64" t="s">
        <v>610</v>
      </c>
      <c r="C75" s="65" t="s">
        <v>611</v>
      </c>
      <c r="D75" s="66" t="s">
        <v>16</v>
      </c>
      <c r="E75" s="74"/>
      <c r="F75" s="67"/>
      <c r="G75" s="67"/>
      <c r="H75" s="67"/>
      <c r="I75" s="67"/>
      <c r="J75" s="68">
        <f t="shared" si="1"/>
        <v>0</v>
      </c>
      <c r="K75" s="69"/>
    </row>
    <row r="76" spans="1:11">
      <c r="A76" s="63"/>
      <c r="B76" s="64" t="s">
        <v>612</v>
      </c>
      <c r="C76" s="65" t="s">
        <v>613</v>
      </c>
      <c r="D76" s="66" t="s">
        <v>16</v>
      </c>
      <c r="E76" s="74"/>
      <c r="F76" s="67"/>
      <c r="G76" s="67"/>
      <c r="H76" s="67"/>
      <c r="I76" s="67"/>
      <c r="J76" s="68">
        <f t="shared" si="1"/>
        <v>0</v>
      </c>
      <c r="K76" s="69"/>
    </row>
    <row r="77" spans="1:11">
      <c r="A77" s="63"/>
      <c r="B77" s="64" t="s">
        <v>614</v>
      </c>
      <c r="C77" s="65" t="s">
        <v>615</v>
      </c>
      <c r="D77" s="66" t="s">
        <v>16</v>
      </c>
      <c r="E77" s="74"/>
      <c r="F77" s="67"/>
      <c r="G77" s="67"/>
      <c r="H77" s="67"/>
      <c r="I77" s="67"/>
      <c r="J77" s="68">
        <f t="shared" si="1"/>
        <v>0</v>
      </c>
      <c r="K77" s="69"/>
    </row>
    <row r="78" spans="1:11">
      <c r="A78" s="63"/>
      <c r="B78" s="64" t="s">
        <v>616</v>
      </c>
      <c r="C78" s="65" t="s">
        <v>617</v>
      </c>
      <c r="D78" s="66" t="s">
        <v>16</v>
      </c>
      <c r="E78" s="74">
        <v>6</v>
      </c>
      <c r="F78" s="67"/>
      <c r="G78" s="67"/>
      <c r="H78" s="67"/>
      <c r="I78" s="67"/>
      <c r="J78" s="68">
        <f t="shared" si="1"/>
        <v>6</v>
      </c>
      <c r="K78" s="69"/>
    </row>
    <row r="79" spans="1:11">
      <c r="A79" s="63"/>
      <c r="B79" s="64" t="s">
        <v>618</v>
      </c>
      <c r="C79" s="65" t="s">
        <v>619</v>
      </c>
      <c r="D79" s="66" t="s">
        <v>16</v>
      </c>
      <c r="E79" s="74"/>
      <c r="F79" s="67"/>
      <c r="G79" s="67"/>
      <c r="H79" s="67"/>
      <c r="I79" s="67"/>
      <c r="J79" s="68">
        <f t="shared" si="1"/>
        <v>0</v>
      </c>
      <c r="K79" s="69"/>
    </row>
    <row r="80" spans="1:11">
      <c r="A80" s="63"/>
      <c r="B80" s="64" t="s">
        <v>620</v>
      </c>
      <c r="C80" s="65" t="s">
        <v>621</v>
      </c>
      <c r="D80" s="66" t="s">
        <v>16</v>
      </c>
      <c r="E80" s="74"/>
      <c r="F80" s="67"/>
      <c r="G80" s="67"/>
      <c r="H80" s="67"/>
      <c r="I80" s="67"/>
      <c r="J80" s="68">
        <f t="shared" si="1"/>
        <v>0</v>
      </c>
      <c r="K80" s="69"/>
    </row>
    <row r="81" spans="1:11">
      <c r="A81" s="63"/>
      <c r="B81" s="64" t="s">
        <v>622</v>
      </c>
      <c r="C81" s="65" t="s">
        <v>623</v>
      </c>
      <c r="D81" s="66" t="s">
        <v>16</v>
      </c>
      <c r="E81" s="74">
        <v>8</v>
      </c>
      <c r="F81" s="67"/>
      <c r="G81" s="67"/>
      <c r="H81" s="67"/>
      <c r="I81" s="67"/>
      <c r="J81" s="68">
        <f t="shared" si="1"/>
        <v>8</v>
      </c>
      <c r="K81" s="69"/>
    </row>
    <row r="82" spans="1:11">
      <c r="A82" s="63"/>
      <c r="B82" s="64" t="s">
        <v>624</v>
      </c>
      <c r="C82" s="65" t="s">
        <v>625</v>
      </c>
      <c r="D82" s="66" t="s">
        <v>16</v>
      </c>
      <c r="E82" s="74">
        <v>6</v>
      </c>
      <c r="F82" s="67"/>
      <c r="G82" s="67"/>
      <c r="H82" s="67"/>
      <c r="I82" s="67"/>
      <c r="J82" s="68">
        <f t="shared" si="1"/>
        <v>6</v>
      </c>
      <c r="K82" s="69"/>
    </row>
    <row r="83" spans="1:11">
      <c r="A83" s="63"/>
      <c r="B83" s="64" t="s">
        <v>626</v>
      </c>
      <c r="C83" s="65" t="s">
        <v>627</v>
      </c>
      <c r="D83" s="66" t="s">
        <v>16</v>
      </c>
      <c r="E83" s="74">
        <v>4</v>
      </c>
      <c r="F83" s="67"/>
      <c r="G83" s="67"/>
      <c r="H83" s="67"/>
      <c r="I83" s="67"/>
      <c r="J83" s="68">
        <f t="shared" si="1"/>
        <v>4</v>
      </c>
      <c r="K83" s="69"/>
    </row>
    <row r="84" spans="1:11">
      <c r="A84" s="63"/>
      <c r="B84" s="64" t="s">
        <v>628</v>
      </c>
      <c r="C84" s="65" t="s">
        <v>629</v>
      </c>
      <c r="D84" s="66" t="s">
        <v>16</v>
      </c>
      <c r="E84" s="74">
        <v>1</v>
      </c>
      <c r="F84" s="67"/>
      <c r="G84" s="67"/>
      <c r="H84" s="67"/>
      <c r="I84" s="67"/>
      <c r="J84" s="68">
        <f t="shared" si="1"/>
        <v>1</v>
      </c>
      <c r="K84" s="69"/>
    </row>
    <row r="85" spans="1:11">
      <c r="A85" s="63"/>
      <c r="B85" s="64" t="s">
        <v>630</v>
      </c>
      <c r="C85" s="65" t="s">
        <v>631</v>
      </c>
      <c r="D85" s="66" t="s">
        <v>16</v>
      </c>
      <c r="E85" s="74">
        <v>2</v>
      </c>
      <c r="F85" s="67"/>
      <c r="G85" s="67"/>
      <c r="H85" s="67"/>
      <c r="I85" s="67"/>
      <c r="J85" s="68">
        <f t="shared" si="1"/>
        <v>2</v>
      </c>
      <c r="K85" s="69"/>
    </row>
    <row r="86" spans="1:11">
      <c r="A86" s="63"/>
      <c r="B86" s="64" t="s">
        <v>632</v>
      </c>
      <c r="C86" s="65" t="s">
        <v>633</v>
      </c>
      <c r="D86" s="66" t="s">
        <v>16</v>
      </c>
      <c r="E86" s="74">
        <v>1</v>
      </c>
      <c r="F86" s="67"/>
      <c r="G86" s="67"/>
      <c r="H86" s="67"/>
      <c r="I86" s="67"/>
      <c r="J86" s="68">
        <f t="shared" si="1"/>
        <v>1</v>
      </c>
      <c r="K86" s="69"/>
    </row>
    <row r="87" spans="1:11">
      <c r="A87" s="63"/>
      <c r="B87" s="64" t="s">
        <v>634</v>
      </c>
      <c r="C87" s="65" t="s">
        <v>635</v>
      </c>
      <c r="D87" s="66" t="s">
        <v>16</v>
      </c>
      <c r="E87" s="67">
        <v>1</v>
      </c>
      <c r="F87" s="67"/>
      <c r="G87" s="67"/>
      <c r="H87" s="67"/>
      <c r="I87" s="67"/>
      <c r="J87" s="68">
        <f t="shared" si="1"/>
        <v>1</v>
      </c>
      <c r="K87" s="69"/>
    </row>
    <row r="88" spans="1:11" ht="31.2">
      <c r="A88" s="63"/>
      <c r="B88" s="64" t="s">
        <v>636</v>
      </c>
      <c r="C88" s="65" t="s">
        <v>637</v>
      </c>
      <c r="D88" s="66" t="s">
        <v>16</v>
      </c>
      <c r="E88" s="67">
        <v>1</v>
      </c>
      <c r="F88" s="67"/>
      <c r="G88" s="67"/>
      <c r="H88" s="67"/>
      <c r="I88" s="67"/>
      <c r="J88" s="68">
        <f t="shared" si="1"/>
        <v>1</v>
      </c>
      <c r="K88" s="69"/>
    </row>
    <row r="89" spans="1:11">
      <c r="A89" s="63"/>
      <c r="B89" s="64" t="s">
        <v>638</v>
      </c>
      <c r="C89" s="65" t="s">
        <v>639</v>
      </c>
      <c r="D89" s="66" t="s">
        <v>16</v>
      </c>
      <c r="E89" s="67">
        <v>2</v>
      </c>
      <c r="F89" s="67"/>
      <c r="G89" s="67"/>
      <c r="H89" s="67"/>
      <c r="I89" s="67"/>
      <c r="J89" s="68">
        <f t="shared" si="1"/>
        <v>2</v>
      </c>
      <c r="K89" s="69"/>
    </row>
    <row r="90" spans="1:11">
      <c r="A90" s="63"/>
      <c r="B90" s="64" t="s">
        <v>84</v>
      </c>
      <c r="C90" s="65" t="s">
        <v>640</v>
      </c>
      <c r="D90" s="66" t="s">
        <v>16</v>
      </c>
      <c r="E90" s="67">
        <v>1</v>
      </c>
      <c r="F90" s="67"/>
      <c r="G90" s="67"/>
      <c r="H90" s="67"/>
      <c r="I90" s="67"/>
      <c r="J90" s="68">
        <f t="shared" si="1"/>
        <v>1</v>
      </c>
      <c r="K90" s="69"/>
    </row>
    <row r="91" spans="1:11">
      <c r="A91" s="63"/>
      <c r="B91" s="64" t="s">
        <v>86</v>
      </c>
      <c r="C91" s="65" t="s">
        <v>641</v>
      </c>
      <c r="D91" s="66" t="s">
        <v>16</v>
      </c>
      <c r="E91" s="67">
        <v>1</v>
      </c>
      <c r="F91" s="67"/>
      <c r="G91" s="67"/>
      <c r="H91" s="67"/>
      <c r="I91" s="67"/>
      <c r="J91" s="68">
        <f t="shared" si="1"/>
        <v>1</v>
      </c>
      <c r="K91" s="69"/>
    </row>
    <row r="92" spans="1:11">
      <c r="A92" s="63"/>
      <c r="B92" s="64" t="s">
        <v>88</v>
      </c>
      <c r="C92" s="65" t="s">
        <v>642</v>
      </c>
      <c r="D92" s="66" t="s">
        <v>16</v>
      </c>
      <c r="E92" s="67">
        <v>1</v>
      </c>
      <c r="F92" s="67"/>
      <c r="G92" s="67"/>
      <c r="H92" s="67"/>
      <c r="I92" s="67"/>
      <c r="J92" s="68">
        <f t="shared" si="1"/>
        <v>1</v>
      </c>
      <c r="K92" s="69"/>
    </row>
    <row r="93" spans="1:11">
      <c r="A93" s="63"/>
      <c r="B93" s="64" t="s">
        <v>90</v>
      </c>
      <c r="C93" s="65" t="s">
        <v>643</v>
      </c>
      <c r="D93" s="66" t="s">
        <v>16</v>
      </c>
      <c r="E93" s="67">
        <v>2</v>
      </c>
      <c r="F93" s="67"/>
      <c r="G93" s="67"/>
      <c r="H93" s="67"/>
      <c r="I93" s="67"/>
      <c r="J93" s="68">
        <f t="shared" si="1"/>
        <v>2</v>
      </c>
      <c r="K93" s="69"/>
    </row>
    <row r="94" spans="1:11">
      <c r="A94" s="63"/>
      <c r="B94" s="64" t="s">
        <v>644</v>
      </c>
      <c r="C94" s="65" t="s">
        <v>645</v>
      </c>
      <c r="D94" s="66" t="s">
        <v>16</v>
      </c>
      <c r="E94" s="67"/>
      <c r="F94" s="67"/>
      <c r="G94" s="67"/>
      <c r="H94" s="67"/>
      <c r="I94" s="67"/>
      <c r="J94" s="68">
        <f t="shared" si="1"/>
        <v>0</v>
      </c>
      <c r="K94" s="69"/>
    </row>
    <row r="95" spans="1:11">
      <c r="A95" s="63"/>
      <c r="B95" s="64" t="s">
        <v>92</v>
      </c>
      <c r="C95" s="65" t="s">
        <v>646</v>
      </c>
      <c r="D95" s="66" t="s">
        <v>16</v>
      </c>
      <c r="E95" s="67"/>
      <c r="F95" s="67"/>
      <c r="G95" s="67"/>
      <c r="H95" s="67"/>
      <c r="I95" s="67"/>
      <c r="J95" s="68">
        <f t="shared" si="1"/>
        <v>0</v>
      </c>
      <c r="K95" s="69"/>
    </row>
    <row r="96" spans="1:11">
      <c r="A96" s="63"/>
      <c r="B96" s="64" t="s">
        <v>647</v>
      </c>
      <c r="C96" s="65" t="s">
        <v>648</v>
      </c>
      <c r="D96" s="66" t="s">
        <v>16</v>
      </c>
      <c r="E96" s="67">
        <v>50</v>
      </c>
      <c r="F96" s="67"/>
      <c r="G96" s="67"/>
      <c r="H96" s="67"/>
      <c r="I96" s="67"/>
      <c r="J96" s="68">
        <f t="shared" si="1"/>
        <v>50</v>
      </c>
      <c r="K96" s="69"/>
    </row>
    <row r="97" spans="1:11">
      <c r="A97" s="63"/>
      <c r="B97" s="64" t="s">
        <v>649</v>
      </c>
      <c r="C97" s="65" t="s">
        <v>650</v>
      </c>
      <c r="D97" s="66" t="s">
        <v>16</v>
      </c>
      <c r="E97" s="67"/>
      <c r="F97" s="67"/>
      <c r="G97" s="67"/>
      <c r="H97" s="67"/>
      <c r="I97" s="67"/>
      <c r="J97" s="68">
        <f t="shared" si="1"/>
        <v>0</v>
      </c>
      <c r="K97" s="69"/>
    </row>
    <row r="98" spans="1:11">
      <c r="A98" s="63"/>
      <c r="B98" s="64" t="s">
        <v>651</v>
      </c>
      <c r="C98" s="65" t="s">
        <v>652</v>
      </c>
      <c r="D98" s="66" t="s">
        <v>68</v>
      </c>
      <c r="E98" s="67"/>
      <c r="F98" s="67"/>
      <c r="G98" s="67"/>
      <c r="H98" s="67"/>
      <c r="I98" s="67"/>
      <c r="J98" s="68">
        <f t="shared" si="1"/>
        <v>0</v>
      </c>
      <c r="K98" s="69"/>
    </row>
    <row r="99" spans="1:11">
      <c r="A99" s="63"/>
      <c r="B99" s="72"/>
      <c r="C99" s="231"/>
      <c r="D99" s="232"/>
      <c r="E99" s="232"/>
      <c r="F99" s="232"/>
      <c r="G99" s="232"/>
      <c r="H99" s="232"/>
      <c r="I99" s="232"/>
      <c r="J99" s="232"/>
      <c r="K99" s="233"/>
    </row>
    <row r="100" spans="1:11">
      <c r="B100" s="69"/>
      <c r="C100" s="75" t="s">
        <v>653</v>
      </c>
      <c r="D100" s="70" t="s">
        <v>16</v>
      </c>
      <c r="E100" s="67"/>
      <c r="F100" s="67"/>
      <c r="G100" s="67"/>
      <c r="H100" s="67"/>
      <c r="I100" s="67"/>
      <c r="J100" s="76">
        <v>32</v>
      </c>
      <c r="K100" s="67" t="s">
        <v>1142</v>
      </c>
    </row>
    <row r="101" spans="1:11">
      <c r="B101" s="69"/>
      <c r="C101" s="75" t="s">
        <v>654</v>
      </c>
      <c r="D101" s="70" t="s">
        <v>16</v>
      </c>
      <c r="E101" s="67"/>
      <c r="F101" s="67"/>
      <c r="G101" s="67"/>
      <c r="H101" s="67"/>
      <c r="I101" s="67"/>
      <c r="J101" s="76">
        <v>64</v>
      </c>
      <c r="K101" s="67" t="s">
        <v>1142</v>
      </c>
    </row>
    <row r="102" spans="1:11">
      <c r="B102" s="69"/>
      <c r="C102" s="75" t="s">
        <v>655</v>
      </c>
      <c r="D102" s="70" t="s">
        <v>16</v>
      </c>
      <c r="E102" s="67"/>
      <c r="F102" s="67"/>
      <c r="G102" s="67"/>
      <c r="H102" s="67"/>
      <c r="I102" s="67"/>
      <c r="J102" s="76">
        <v>1</v>
      </c>
      <c r="K102" s="67" t="s">
        <v>1142</v>
      </c>
    </row>
    <row r="103" spans="1:11">
      <c r="B103" s="69"/>
      <c r="C103" s="75" t="s">
        <v>656</v>
      </c>
      <c r="D103" s="70" t="s">
        <v>16</v>
      </c>
      <c r="E103" s="67"/>
      <c r="F103" s="67"/>
      <c r="G103" s="67"/>
      <c r="H103" s="67"/>
      <c r="I103" s="67"/>
      <c r="J103" s="76">
        <v>2</v>
      </c>
      <c r="K103" s="67" t="s">
        <v>1142</v>
      </c>
    </row>
    <row r="104" spans="1:11">
      <c r="B104" s="69"/>
      <c r="C104" s="75" t="s">
        <v>657</v>
      </c>
      <c r="D104" s="70" t="s">
        <v>16</v>
      </c>
      <c r="E104" s="67"/>
      <c r="F104" s="67"/>
      <c r="G104" s="67"/>
      <c r="H104" s="67"/>
      <c r="I104" s="67"/>
      <c r="J104" s="76">
        <v>2</v>
      </c>
      <c r="K104" s="67" t="s">
        <v>1142</v>
      </c>
    </row>
    <row r="105" spans="1:11">
      <c r="B105" s="69"/>
      <c r="C105" s="75" t="s">
        <v>658</v>
      </c>
      <c r="D105" s="70" t="s">
        <v>68</v>
      </c>
      <c r="E105" s="67"/>
      <c r="F105" s="67"/>
      <c r="G105" s="67"/>
      <c r="H105" s="67"/>
      <c r="I105" s="67"/>
      <c r="J105" s="76">
        <v>80</v>
      </c>
      <c r="K105" s="67" t="s">
        <v>1142</v>
      </c>
    </row>
    <row r="106" spans="1:11">
      <c r="B106" s="69"/>
      <c r="C106" s="75" t="s">
        <v>659</v>
      </c>
      <c r="D106" s="70" t="s">
        <v>77</v>
      </c>
      <c r="E106" s="67"/>
      <c r="F106" s="67"/>
      <c r="G106" s="67"/>
      <c r="H106" s="67"/>
      <c r="I106" s="67"/>
      <c r="J106" s="76">
        <v>3</v>
      </c>
      <c r="K106" s="67" t="s">
        <v>1142</v>
      </c>
    </row>
    <row r="107" spans="1:11">
      <c r="B107" s="69"/>
      <c r="C107" s="75" t="s">
        <v>288</v>
      </c>
      <c r="D107" s="70" t="s">
        <v>77</v>
      </c>
      <c r="E107" s="67"/>
      <c r="F107" s="67"/>
      <c r="G107" s="67"/>
      <c r="H107" s="67"/>
      <c r="I107" s="67"/>
      <c r="J107" s="76">
        <v>20</v>
      </c>
      <c r="K107" s="67" t="s">
        <v>1142</v>
      </c>
    </row>
  </sheetData>
  <mergeCells count="3">
    <mergeCell ref="D3:K4"/>
    <mergeCell ref="C35:K35"/>
    <mergeCell ref="C99:K99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9599-8D97-4E81-A76C-7EADA550FD17}">
  <dimension ref="B2:L196"/>
  <sheetViews>
    <sheetView topLeftCell="A170" zoomScaleNormal="100" workbookViewId="0">
      <selection activeCell="C2" sqref="C2"/>
    </sheetView>
  </sheetViews>
  <sheetFormatPr defaultRowHeight="15.6"/>
  <cols>
    <col min="1" max="1" width="4.21875" customWidth="1"/>
    <col min="2" max="2" width="6" hidden="1" customWidth="1"/>
    <col min="3" max="3" width="12" style="22" customWidth="1"/>
    <col min="4" max="4" width="69.21875" style="1" customWidth="1"/>
    <col min="5" max="5" width="6.21875" style="117" customWidth="1"/>
    <col min="6" max="10" width="9.77734375" style="117" customWidth="1"/>
    <col min="11" max="11" width="11.21875" style="54" customWidth="1"/>
    <col min="12" max="12" width="40.21875" customWidth="1"/>
  </cols>
  <sheetData>
    <row r="2" spans="2:12" ht="46.8">
      <c r="C2" s="56" t="s">
        <v>1141</v>
      </c>
      <c r="D2" s="119" t="s">
        <v>661</v>
      </c>
      <c r="E2" s="57" t="s">
        <v>7</v>
      </c>
      <c r="F2" s="58" t="s">
        <v>1143</v>
      </c>
      <c r="G2" s="58" t="s">
        <v>1144</v>
      </c>
      <c r="H2" s="58" t="s">
        <v>1145</v>
      </c>
      <c r="I2" s="58" t="s">
        <v>1146</v>
      </c>
      <c r="J2" s="58" t="s">
        <v>1147</v>
      </c>
      <c r="K2" s="59" t="s">
        <v>1138</v>
      </c>
      <c r="L2" s="60" t="s">
        <v>1139</v>
      </c>
    </row>
    <row r="3" spans="2:12">
      <c r="B3" t="s">
        <v>507</v>
      </c>
      <c r="C3" s="72" t="s">
        <v>662</v>
      </c>
      <c r="D3" s="122" t="s">
        <v>663</v>
      </c>
      <c r="E3" s="237"/>
      <c r="F3" s="238"/>
      <c r="G3" s="238"/>
      <c r="H3" s="238"/>
      <c r="I3" s="238"/>
      <c r="J3" s="238"/>
      <c r="K3" s="238"/>
      <c r="L3" s="239"/>
    </row>
    <row r="4" spans="2:12">
      <c r="B4" t="s">
        <v>507</v>
      </c>
      <c r="C4" s="72" t="s">
        <v>510</v>
      </c>
      <c r="D4" s="240" t="s">
        <v>664</v>
      </c>
      <c r="E4" s="241"/>
      <c r="F4" s="241"/>
      <c r="G4" s="241"/>
      <c r="H4" s="241"/>
      <c r="I4" s="241"/>
      <c r="J4" s="241"/>
      <c r="K4" s="241"/>
      <c r="L4" s="242"/>
    </row>
    <row r="5" spans="2:12" ht="31.2">
      <c r="B5" t="s">
        <v>512</v>
      </c>
      <c r="C5" s="72" t="s">
        <v>665</v>
      </c>
      <c r="D5" s="121" t="s">
        <v>666</v>
      </c>
      <c r="E5" s="67" t="s">
        <v>280</v>
      </c>
      <c r="F5" s="67">
        <v>1</v>
      </c>
      <c r="G5" s="67"/>
      <c r="H5" s="67"/>
      <c r="I5" s="67"/>
      <c r="J5" s="67">
        <f>F5+G5+H5+I5</f>
        <v>1</v>
      </c>
      <c r="K5" s="68">
        <f>F5+G5+H5+I5+J5</f>
        <v>2</v>
      </c>
      <c r="L5" s="69" t="s">
        <v>667</v>
      </c>
    </row>
    <row r="6" spans="2:12">
      <c r="B6" t="s">
        <v>554</v>
      </c>
      <c r="C6" s="72"/>
      <c r="D6" s="121" t="s">
        <v>668</v>
      </c>
      <c r="E6" s="67"/>
      <c r="F6" s="67"/>
      <c r="G6" s="67"/>
      <c r="H6" s="67"/>
      <c r="I6" s="67"/>
      <c r="J6" s="67"/>
      <c r="K6" s="68"/>
      <c r="L6" s="69"/>
    </row>
    <row r="7" spans="2:12" ht="31.2">
      <c r="C7" s="234"/>
      <c r="D7" s="123" t="s">
        <v>669</v>
      </c>
      <c r="E7" s="67"/>
      <c r="F7" s="67"/>
      <c r="G7" s="67"/>
      <c r="H7" s="67"/>
      <c r="I7" s="67"/>
      <c r="J7" s="67"/>
      <c r="K7" s="68"/>
      <c r="L7" s="69"/>
    </row>
    <row r="8" spans="2:12">
      <c r="C8" s="235"/>
      <c r="D8" s="123" t="s">
        <v>670</v>
      </c>
      <c r="E8" s="67"/>
      <c r="F8" s="67"/>
      <c r="G8" s="67"/>
      <c r="H8" s="67"/>
      <c r="I8" s="67"/>
      <c r="J8" s="67"/>
      <c r="K8" s="68"/>
      <c r="L8" s="69"/>
    </row>
    <row r="9" spans="2:12">
      <c r="C9" s="235"/>
      <c r="D9" s="123" t="s">
        <v>671</v>
      </c>
      <c r="E9" s="67"/>
      <c r="F9" s="67"/>
      <c r="G9" s="67"/>
      <c r="H9" s="67"/>
      <c r="I9" s="67"/>
      <c r="J9" s="67"/>
      <c r="K9" s="68"/>
      <c r="L9" s="69"/>
    </row>
    <row r="10" spans="2:12">
      <c r="C10" s="235"/>
      <c r="D10" s="123" t="s">
        <v>672</v>
      </c>
      <c r="E10" s="67"/>
      <c r="F10" s="67"/>
      <c r="G10" s="67"/>
      <c r="H10" s="67"/>
      <c r="I10" s="67"/>
      <c r="J10" s="67"/>
      <c r="K10" s="68"/>
      <c r="L10" s="69"/>
    </row>
    <row r="11" spans="2:12" ht="31.2">
      <c r="C11" s="235"/>
      <c r="D11" s="123" t="s">
        <v>673</v>
      </c>
      <c r="E11" s="67"/>
      <c r="F11" s="67"/>
      <c r="G11" s="67"/>
      <c r="H11" s="67"/>
      <c r="I11" s="67"/>
      <c r="J11" s="67"/>
      <c r="K11" s="68"/>
      <c r="L11" s="69"/>
    </row>
    <row r="12" spans="2:12">
      <c r="C12" s="235"/>
      <c r="D12" s="123" t="s">
        <v>674</v>
      </c>
      <c r="E12" s="67"/>
      <c r="F12" s="67"/>
      <c r="G12" s="67"/>
      <c r="H12" s="67"/>
      <c r="I12" s="67"/>
      <c r="J12" s="67"/>
      <c r="K12" s="68"/>
      <c r="L12" s="69"/>
    </row>
    <row r="13" spans="2:12">
      <c r="C13" s="236"/>
      <c r="D13" s="123" t="s">
        <v>675</v>
      </c>
      <c r="E13" s="67"/>
      <c r="F13" s="67"/>
      <c r="G13" s="67"/>
      <c r="H13" s="67"/>
      <c r="I13" s="67"/>
      <c r="J13" s="67"/>
      <c r="K13" s="68"/>
      <c r="L13" s="69"/>
    </row>
    <row r="14" spans="2:12">
      <c r="B14" t="s">
        <v>507</v>
      </c>
      <c r="C14" s="72" t="s">
        <v>339</v>
      </c>
      <c r="D14" s="240" t="s">
        <v>676</v>
      </c>
      <c r="E14" s="241"/>
      <c r="F14" s="241"/>
      <c r="G14" s="241"/>
      <c r="H14" s="241"/>
      <c r="I14" s="241"/>
      <c r="J14" s="241"/>
      <c r="K14" s="241"/>
      <c r="L14" s="242"/>
    </row>
    <row r="15" spans="2:12">
      <c r="B15" t="s">
        <v>512</v>
      </c>
      <c r="C15" s="72" t="s">
        <v>677</v>
      </c>
      <c r="D15" s="121" t="s">
        <v>678</v>
      </c>
      <c r="E15" s="67" t="s">
        <v>16</v>
      </c>
      <c r="F15" s="67">
        <v>1</v>
      </c>
      <c r="G15" s="67"/>
      <c r="H15" s="67"/>
      <c r="I15" s="67"/>
      <c r="J15" s="67">
        <f t="shared" ref="J15:J22" si="0">F15+G15+H15+I15</f>
        <v>1</v>
      </c>
      <c r="K15" s="68">
        <f t="shared" ref="K15:K66" si="1">F15+G15+H15+I15+J15</f>
        <v>2</v>
      </c>
      <c r="L15" s="69"/>
    </row>
    <row r="16" spans="2:12">
      <c r="B16" t="s">
        <v>512</v>
      </c>
      <c r="C16" s="72" t="s">
        <v>679</v>
      </c>
      <c r="D16" s="121" t="s">
        <v>680</v>
      </c>
      <c r="E16" s="67" t="s">
        <v>16</v>
      </c>
      <c r="F16" s="67">
        <v>2</v>
      </c>
      <c r="G16" s="67"/>
      <c r="H16" s="67"/>
      <c r="I16" s="67"/>
      <c r="J16" s="67">
        <f t="shared" si="0"/>
        <v>2</v>
      </c>
      <c r="K16" s="68">
        <f t="shared" si="1"/>
        <v>4</v>
      </c>
      <c r="L16" s="69"/>
    </row>
    <row r="17" spans="2:12">
      <c r="B17" t="s">
        <v>512</v>
      </c>
      <c r="C17" s="72" t="s">
        <v>681</v>
      </c>
      <c r="D17" s="121" t="s">
        <v>682</v>
      </c>
      <c r="E17" s="67" t="s">
        <v>16</v>
      </c>
      <c r="F17" s="67">
        <v>1</v>
      </c>
      <c r="G17" s="67"/>
      <c r="H17" s="67"/>
      <c r="I17" s="67"/>
      <c r="J17" s="67">
        <f t="shared" si="0"/>
        <v>1</v>
      </c>
      <c r="K17" s="68">
        <f t="shared" si="1"/>
        <v>2</v>
      </c>
      <c r="L17" s="69"/>
    </row>
    <row r="18" spans="2:12">
      <c r="B18" t="s">
        <v>512</v>
      </c>
      <c r="C18" s="72" t="s">
        <v>683</v>
      </c>
      <c r="D18" s="121" t="s">
        <v>684</v>
      </c>
      <c r="E18" s="67" t="s">
        <v>16</v>
      </c>
      <c r="F18" s="67">
        <v>1</v>
      </c>
      <c r="G18" s="67"/>
      <c r="H18" s="67"/>
      <c r="I18" s="67"/>
      <c r="J18" s="67">
        <f t="shared" si="0"/>
        <v>1</v>
      </c>
      <c r="K18" s="68">
        <f t="shared" si="1"/>
        <v>2</v>
      </c>
      <c r="L18" s="69"/>
    </row>
    <row r="19" spans="2:12">
      <c r="B19" t="s">
        <v>512</v>
      </c>
      <c r="C19" s="72" t="s">
        <v>685</v>
      </c>
      <c r="D19" s="121" t="s">
        <v>686</v>
      </c>
      <c r="E19" s="67" t="s">
        <v>16</v>
      </c>
      <c r="F19" s="67">
        <v>1</v>
      </c>
      <c r="G19" s="67"/>
      <c r="H19" s="67"/>
      <c r="I19" s="67"/>
      <c r="J19" s="67">
        <f t="shared" si="0"/>
        <v>1</v>
      </c>
      <c r="K19" s="68">
        <f t="shared" si="1"/>
        <v>2</v>
      </c>
      <c r="L19" s="69"/>
    </row>
    <row r="20" spans="2:12">
      <c r="B20" t="s">
        <v>512</v>
      </c>
      <c r="C20" s="72" t="s">
        <v>687</v>
      </c>
      <c r="D20" s="121" t="s">
        <v>688</v>
      </c>
      <c r="E20" s="67" t="s">
        <v>16</v>
      </c>
      <c r="F20" s="67">
        <v>1</v>
      </c>
      <c r="G20" s="67"/>
      <c r="H20" s="67"/>
      <c r="I20" s="67"/>
      <c r="J20" s="67">
        <f t="shared" si="0"/>
        <v>1</v>
      </c>
      <c r="K20" s="68">
        <f t="shared" si="1"/>
        <v>2</v>
      </c>
      <c r="L20" s="69"/>
    </row>
    <row r="21" spans="2:12">
      <c r="B21" t="s">
        <v>512</v>
      </c>
      <c r="C21" s="72" t="s">
        <v>689</v>
      </c>
      <c r="D21" s="121" t="s">
        <v>690</v>
      </c>
      <c r="E21" s="67" t="s">
        <v>16</v>
      </c>
      <c r="F21" s="67">
        <v>1</v>
      </c>
      <c r="G21" s="67"/>
      <c r="H21" s="67"/>
      <c r="I21" s="67"/>
      <c r="J21" s="67">
        <f t="shared" si="0"/>
        <v>1</v>
      </c>
      <c r="K21" s="68">
        <f t="shared" si="1"/>
        <v>2</v>
      </c>
      <c r="L21" s="69"/>
    </row>
    <row r="22" spans="2:12" ht="31.2">
      <c r="B22" t="s">
        <v>512</v>
      </c>
      <c r="C22" s="72" t="s">
        <v>691</v>
      </c>
      <c r="D22" s="121" t="s">
        <v>692</v>
      </c>
      <c r="E22" s="67" t="s">
        <v>280</v>
      </c>
      <c r="F22" s="67">
        <v>1</v>
      </c>
      <c r="G22" s="67"/>
      <c r="H22" s="67"/>
      <c r="I22" s="67"/>
      <c r="J22" s="67">
        <f t="shared" si="0"/>
        <v>1</v>
      </c>
      <c r="K22" s="68">
        <f t="shared" si="1"/>
        <v>2</v>
      </c>
      <c r="L22" s="69"/>
    </row>
    <row r="23" spans="2:12">
      <c r="B23" t="s">
        <v>554</v>
      </c>
      <c r="C23" s="72"/>
      <c r="D23" s="121" t="s">
        <v>668</v>
      </c>
      <c r="E23" s="67"/>
      <c r="F23" s="67"/>
      <c r="G23" s="67"/>
      <c r="H23" s="67"/>
      <c r="I23" s="67"/>
      <c r="J23" s="67"/>
      <c r="K23" s="68"/>
      <c r="L23" s="69"/>
    </row>
    <row r="24" spans="2:12">
      <c r="C24" s="72"/>
      <c r="D24" s="123" t="s">
        <v>693</v>
      </c>
      <c r="E24" s="67"/>
      <c r="F24" s="67"/>
      <c r="G24" s="67"/>
      <c r="H24" s="67"/>
      <c r="I24" s="67"/>
      <c r="J24" s="67"/>
      <c r="K24" s="68"/>
      <c r="L24" s="69"/>
    </row>
    <row r="25" spans="2:12" ht="31.2">
      <c r="B25" t="s">
        <v>512</v>
      </c>
      <c r="C25" s="72" t="s">
        <v>694</v>
      </c>
      <c r="D25" s="121" t="s">
        <v>695</v>
      </c>
      <c r="E25" s="67" t="s">
        <v>280</v>
      </c>
      <c r="F25" s="67">
        <v>1</v>
      </c>
      <c r="G25" s="67"/>
      <c r="H25" s="67"/>
      <c r="I25" s="67"/>
      <c r="J25" s="67">
        <f>F25+G25+H25+I25</f>
        <v>1</v>
      </c>
      <c r="K25" s="68">
        <f t="shared" si="1"/>
        <v>2</v>
      </c>
      <c r="L25" s="69"/>
    </row>
    <row r="26" spans="2:12">
      <c r="B26" t="s">
        <v>554</v>
      </c>
      <c r="C26" s="72"/>
      <c r="D26" s="121" t="s">
        <v>668</v>
      </c>
      <c r="E26" s="67"/>
      <c r="F26" s="67"/>
      <c r="G26" s="67"/>
      <c r="H26" s="67"/>
      <c r="I26" s="67"/>
      <c r="J26" s="67"/>
      <c r="K26" s="68"/>
      <c r="L26" s="69"/>
    </row>
    <row r="27" spans="2:12" ht="31.2">
      <c r="C27" s="234"/>
      <c r="D27" s="123" t="s">
        <v>696</v>
      </c>
      <c r="E27" s="67"/>
      <c r="F27" s="67"/>
      <c r="G27" s="67"/>
      <c r="H27" s="67"/>
      <c r="I27" s="67"/>
      <c r="J27" s="67"/>
      <c r="K27" s="68"/>
      <c r="L27" s="69"/>
    </row>
    <row r="28" spans="2:12">
      <c r="C28" s="235"/>
      <c r="D28" s="123" t="s">
        <v>697</v>
      </c>
      <c r="E28" s="67"/>
      <c r="F28" s="67"/>
      <c r="G28" s="67"/>
      <c r="H28" s="67"/>
      <c r="I28" s="67"/>
      <c r="J28" s="67"/>
      <c r="K28" s="68"/>
      <c r="L28" s="69"/>
    </row>
    <row r="29" spans="2:12" ht="31.2">
      <c r="C29" s="235"/>
      <c r="D29" s="123" t="s">
        <v>698</v>
      </c>
      <c r="E29" s="67"/>
      <c r="F29" s="67"/>
      <c r="G29" s="67"/>
      <c r="H29" s="67"/>
      <c r="I29" s="67"/>
      <c r="J29" s="67"/>
      <c r="K29" s="68"/>
      <c r="L29" s="69"/>
    </row>
    <row r="30" spans="2:12" ht="62.4">
      <c r="C30" s="236"/>
      <c r="D30" s="123" t="s">
        <v>699</v>
      </c>
      <c r="E30" s="67"/>
      <c r="F30" s="67"/>
      <c r="G30" s="67"/>
      <c r="H30" s="67"/>
      <c r="I30" s="67"/>
      <c r="J30" s="67"/>
      <c r="K30" s="68"/>
      <c r="L30" s="69"/>
    </row>
    <row r="31" spans="2:12">
      <c r="B31" t="s">
        <v>507</v>
      </c>
      <c r="C31" s="72" t="s">
        <v>321</v>
      </c>
      <c r="D31" s="240" t="s">
        <v>700</v>
      </c>
      <c r="E31" s="241"/>
      <c r="F31" s="241"/>
      <c r="G31" s="241"/>
      <c r="H31" s="241"/>
      <c r="I31" s="241"/>
      <c r="J31" s="241"/>
      <c r="K31" s="241"/>
      <c r="L31" s="242"/>
    </row>
    <row r="32" spans="2:12" ht="31.2">
      <c r="B32" t="s">
        <v>512</v>
      </c>
      <c r="C32" s="72" t="s">
        <v>701</v>
      </c>
      <c r="D32" s="121" t="s">
        <v>702</v>
      </c>
      <c r="E32" s="67" t="s">
        <v>16</v>
      </c>
      <c r="F32" s="67">
        <v>1</v>
      </c>
      <c r="G32" s="67"/>
      <c r="H32" s="67"/>
      <c r="I32" s="67"/>
      <c r="J32" s="67">
        <f>F32+G32+H32+I32</f>
        <v>1</v>
      </c>
      <c r="K32" s="68">
        <f t="shared" si="1"/>
        <v>2</v>
      </c>
      <c r="L32" s="69"/>
    </row>
    <row r="33" spans="2:12" ht="31.2">
      <c r="B33" t="s">
        <v>512</v>
      </c>
      <c r="C33" s="72" t="s">
        <v>703</v>
      </c>
      <c r="D33" s="121" t="s">
        <v>704</v>
      </c>
      <c r="E33" s="67" t="s">
        <v>16</v>
      </c>
      <c r="F33" s="67">
        <v>1</v>
      </c>
      <c r="G33" s="67"/>
      <c r="H33" s="67"/>
      <c r="I33" s="67"/>
      <c r="J33" s="67">
        <f>F33+G33+H33+I33</f>
        <v>1</v>
      </c>
      <c r="K33" s="68">
        <f t="shared" si="1"/>
        <v>2</v>
      </c>
      <c r="L33" s="69"/>
    </row>
    <row r="34" spans="2:12" ht="31.2">
      <c r="B34" t="s">
        <v>512</v>
      </c>
      <c r="C34" s="72" t="s">
        <v>705</v>
      </c>
      <c r="D34" s="121" t="s">
        <v>706</v>
      </c>
      <c r="E34" s="67" t="s">
        <v>16</v>
      </c>
      <c r="F34" s="67">
        <v>2</v>
      </c>
      <c r="G34" s="67"/>
      <c r="H34" s="67"/>
      <c r="I34" s="67"/>
      <c r="J34" s="67">
        <f>F34+G34+H34+I34</f>
        <v>2</v>
      </c>
      <c r="K34" s="68">
        <f t="shared" si="1"/>
        <v>4</v>
      </c>
      <c r="L34" s="69"/>
    </row>
    <row r="35" spans="2:12" ht="31.2">
      <c r="B35" t="s">
        <v>512</v>
      </c>
      <c r="C35" s="72" t="s">
        <v>707</v>
      </c>
      <c r="D35" s="121" t="s">
        <v>708</v>
      </c>
      <c r="E35" s="67" t="s">
        <v>16</v>
      </c>
      <c r="F35" s="67">
        <v>1</v>
      </c>
      <c r="G35" s="67"/>
      <c r="H35" s="67"/>
      <c r="I35" s="67"/>
      <c r="J35" s="67">
        <f>F35+G35+H35+I35</f>
        <v>1</v>
      </c>
      <c r="K35" s="68">
        <f t="shared" si="1"/>
        <v>2</v>
      </c>
      <c r="L35" s="69"/>
    </row>
    <row r="36" spans="2:12">
      <c r="B36" t="s">
        <v>512</v>
      </c>
      <c r="C36" s="72" t="s">
        <v>709</v>
      </c>
      <c r="D36" s="121" t="s">
        <v>710</v>
      </c>
      <c r="E36" s="67" t="s">
        <v>16</v>
      </c>
      <c r="F36" s="70"/>
      <c r="G36" s="67"/>
      <c r="H36" s="67"/>
      <c r="I36" s="67"/>
      <c r="J36" s="67"/>
      <c r="K36" s="68">
        <f t="shared" si="1"/>
        <v>0</v>
      </c>
      <c r="L36" s="69"/>
    </row>
    <row r="37" spans="2:12">
      <c r="B37" t="s">
        <v>507</v>
      </c>
      <c r="C37" s="72" t="s">
        <v>324</v>
      </c>
      <c r="D37" s="240" t="s">
        <v>711</v>
      </c>
      <c r="E37" s="241"/>
      <c r="F37" s="241"/>
      <c r="G37" s="241"/>
      <c r="H37" s="241"/>
      <c r="I37" s="241"/>
      <c r="J37" s="241"/>
      <c r="K37" s="241"/>
      <c r="L37" s="242"/>
    </row>
    <row r="38" spans="2:12" ht="31.2">
      <c r="B38" t="s">
        <v>512</v>
      </c>
      <c r="C38" s="72" t="s">
        <v>712</v>
      </c>
      <c r="D38" s="121" t="s">
        <v>713</v>
      </c>
      <c r="E38" s="67" t="s">
        <v>16</v>
      </c>
      <c r="F38" s="67">
        <v>1</v>
      </c>
      <c r="G38" s="67"/>
      <c r="H38" s="67"/>
      <c r="I38" s="67"/>
      <c r="J38" s="67">
        <f>F38+G38+H38+I38</f>
        <v>1</v>
      </c>
      <c r="K38" s="68">
        <f t="shared" si="1"/>
        <v>2</v>
      </c>
      <c r="L38" s="69"/>
    </row>
    <row r="39" spans="2:12" ht="31.2">
      <c r="B39" t="s">
        <v>512</v>
      </c>
      <c r="C39" s="72" t="s">
        <v>714</v>
      </c>
      <c r="D39" s="121" t="s">
        <v>715</v>
      </c>
      <c r="E39" s="67" t="s">
        <v>16</v>
      </c>
      <c r="F39" s="67">
        <v>1</v>
      </c>
      <c r="G39" s="67"/>
      <c r="H39" s="67"/>
      <c r="I39" s="67"/>
      <c r="J39" s="67">
        <f>F39+G39+H39+I39</f>
        <v>1</v>
      </c>
      <c r="K39" s="68">
        <f t="shared" si="1"/>
        <v>2</v>
      </c>
      <c r="L39" s="69"/>
    </row>
    <row r="40" spans="2:12">
      <c r="B40" t="s">
        <v>507</v>
      </c>
      <c r="C40" s="72" t="s">
        <v>332</v>
      </c>
      <c r="D40" s="122" t="s">
        <v>716</v>
      </c>
      <c r="E40" s="67"/>
      <c r="F40" s="67"/>
      <c r="G40" s="67"/>
      <c r="H40" s="67"/>
      <c r="I40" s="67"/>
      <c r="J40" s="67"/>
      <c r="K40" s="68">
        <f t="shared" si="1"/>
        <v>0</v>
      </c>
      <c r="L40" s="69"/>
    </row>
    <row r="41" spans="2:12" ht="31.2">
      <c r="B41" t="s">
        <v>512</v>
      </c>
      <c r="C41" s="72" t="s">
        <v>717</v>
      </c>
      <c r="D41" s="121" t="s">
        <v>718</v>
      </c>
      <c r="E41" s="67" t="s">
        <v>16</v>
      </c>
      <c r="F41" s="67">
        <v>1</v>
      </c>
      <c r="G41" s="67"/>
      <c r="H41" s="67"/>
      <c r="I41" s="67"/>
      <c r="J41" s="67">
        <f>F41+G41+H41+I41</f>
        <v>1</v>
      </c>
      <c r="K41" s="68">
        <f t="shared" si="1"/>
        <v>2</v>
      </c>
      <c r="L41" s="69"/>
    </row>
    <row r="42" spans="2:12">
      <c r="B42" t="s">
        <v>507</v>
      </c>
      <c r="C42" s="72" t="s">
        <v>337</v>
      </c>
      <c r="D42" s="240" t="s">
        <v>719</v>
      </c>
      <c r="E42" s="241"/>
      <c r="F42" s="241"/>
      <c r="G42" s="241"/>
      <c r="H42" s="241"/>
      <c r="I42" s="241"/>
      <c r="J42" s="241"/>
      <c r="K42" s="241"/>
      <c r="L42" s="242"/>
    </row>
    <row r="43" spans="2:12">
      <c r="B43" t="s">
        <v>512</v>
      </c>
      <c r="C43" s="72" t="s">
        <v>720</v>
      </c>
      <c r="D43" s="121" t="s">
        <v>721</v>
      </c>
      <c r="E43" s="67" t="s">
        <v>16</v>
      </c>
      <c r="F43" s="67">
        <v>1</v>
      </c>
      <c r="G43" s="67"/>
      <c r="H43" s="67"/>
      <c r="I43" s="67"/>
      <c r="J43" s="67">
        <f t="shared" ref="J43:J55" si="2">F43+G43+H43+I43</f>
        <v>1</v>
      </c>
      <c r="K43" s="68">
        <f t="shared" si="1"/>
        <v>2</v>
      </c>
      <c r="L43" s="69"/>
    </row>
    <row r="44" spans="2:12">
      <c r="B44" t="s">
        <v>512</v>
      </c>
      <c r="C44" s="72" t="s">
        <v>722</v>
      </c>
      <c r="D44" s="121" t="s">
        <v>723</v>
      </c>
      <c r="E44" s="67" t="s">
        <v>16</v>
      </c>
      <c r="F44" s="67">
        <v>1</v>
      </c>
      <c r="G44" s="67"/>
      <c r="H44" s="67"/>
      <c r="I44" s="67"/>
      <c r="J44" s="67">
        <f t="shared" si="2"/>
        <v>1</v>
      </c>
      <c r="K44" s="68">
        <f t="shared" si="1"/>
        <v>2</v>
      </c>
      <c r="L44" s="69"/>
    </row>
    <row r="45" spans="2:12">
      <c r="B45" t="s">
        <v>512</v>
      </c>
      <c r="C45" s="72" t="s">
        <v>724</v>
      </c>
      <c r="D45" s="121" t="s">
        <v>725</v>
      </c>
      <c r="E45" s="67" t="s">
        <v>16</v>
      </c>
      <c r="F45" s="67">
        <v>4</v>
      </c>
      <c r="G45" s="67"/>
      <c r="H45" s="67"/>
      <c r="I45" s="67"/>
      <c r="J45" s="67">
        <f t="shared" si="2"/>
        <v>4</v>
      </c>
      <c r="K45" s="68">
        <f t="shared" si="1"/>
        <v>8</v>
      </c>
      <c r="L45" s="69"/>
    </row>
    <row r="46" spans="2:12">
      <c r="B46" t="s">
        <v>512</v>
      </c>
      <c r="C46" s="72" t="s">
        <v>726</v>
      </c>
      <c r="D46" s="121" t="s">
        <v>727</v>
      </c>
      <c r="E46" s="67" t="s">
        <v>16</v>
      </c>
      <c r="F46" s="67">
        <v>3</v>
      </c>
      <c r="G46" s="67"/>
      <c r="H46" s="67"/>
      <c r="I46" s="67"/>
      <c r="J46" s="67">
        <f t="shared" si="2"/>
        <v>3</v>
      </c>
      <c r="K46" s="68">
        <f t="shared" si="1"/>
        <v>6</v>
      </c>
      <c r="L46" s="69"/>
    </row>
    <row r="47" spans="2:12">
      <c r="B47" t="s">
        <v>512</v>
      </c>
      <c r="C47" s="72" t="s">
        <v>728</v>
      </c>
      <c r="D47" s="121" t="s">
        <v>729</v>
      </c>
      <c r="E47" s="67" t="s">
        <v>16</v>
      </c>
      <c r="F47" s="67">
        <v>3</v>
      </c>
      <c r="G47" s="67"/>
      <c r="H47" s="67"/>
      <c r="I47" s="67"/>
      <c r="J47" s="67">
        <f t="shared" si="2"/>
        <v>3</v>
      </c>
      <c r="K47" s="68">
        <f t="shared" si="1"/>
        <v>6</v>
      </c>
      <c r="L47" s="69"/>
    </row>
    <row r="48" spans="2:12" ht="31.2">
      <c r="B48" t="s">
        <v>512</v>
      </c>
      <c r="C48" s="72" t="s">
        <v>730</v>
      </c>
      <c r="D48" s="121" t="s">
        <v>731</v>
      </c>
      <c r="E48" s="67" t="s">
        <v>16</v>
      </c>
      <c r="F48" s="67">
        <v>1</v>
      </c>
      <c r="G48" s="67"/>
      <c r="H48" s="67"/>
      <c r="I48" s="67"/>
      <c r="J48" s="67">
        <f t="shared" si="2"/>
        <v>1</v>
      </c>
      <c r="K48" s="68">
        <f t="shared" si="1"/>
        <v>2</v>
      </c>
      <c r="L48" s="69"/>
    </row>
    <row r="49" spans="2:12" ht="31.2">
      <c r="B49" t="s">
        <v>512</v>
      </c>
      <c r="C49" s="72" t="s">
        <v>732</v>
      </c>
      <c r="D49" s="121" t="s">
        <v>733</v>
      </c>
      <c r="E49" s="67" t="s">
        <v>16</v>
      </c>
      <c r="F49" s="67">
        <v>1</v>
      </c>
      <c r="G49" s="67"/>
      <c r="H49" s="67"/>
      <c r="I49" s="67"/>
      <c r="J49" s="67">
        <f t="shared" si="2"/>
        <v>1</v>
      </c>
      <c r="K49" s="68">
        <f t="shared" si="1"/>
        <v>2</v>
      </c>
      <c r="L49" s="69"/>
    </row>
    <row r="50" spans="2:12">
      <c r="B50" t="s">
        <v>512</v>
      </c>
      <c r="C50" s="72" t="s">
        <v>734</v>
      </c>
      <c r="D50" s="121" t="s">
        <v>735</v>
      </c>
      <c r="E50" s="67" t="s">
        <v>16</v>
      </c>
      <c r="F50" s="67">
        <v>1</v>
      </c>
      <c r="G50" s="67"/>
      <c r="H50" s="67"/>
      <c r="I50" s="67"/>
      <c r="J50" s="67">
        <f t="shared" si="2"/>
        <v>1</v>
      </c>
      <c r="K50" s="68">
        <f t="shared" si="1"/>
        <v>2</v>
      </c>
      <c r="L50" s="69"/>
    </row>
    <row r="51" spans="2:12">
      <c r="B51" t="s">
        <v>512</v>
      </c>
      <c r="C51" s="72" t="s">
        <v>736</v>
      </c>
      <c r="D51" s="121" t="s">
        <v>737</v>
      </c>
      <c r="E51" s="67" t="s">
        <v>16</v>
      </c>
      <c r="F51" s="67">
        <v>1</v>
      </c>
      <c r="G51" s="67"/>
      <c r="H51" s="67"/>
      <c r="I51" s="67"/>
      <c r="J51" s="67">
        <f t="shared" si="2"/>
        <v>1</v>
      </c>
      <c r="K51" s="68">
        <f t="shared" si="1"/>
        <v>2</v>
      </c>
      <c r="L51" s="69"/>
    </row>
    <row r="52" spans="2:12">
      <c r="B52" t="s">
        <v>512</v>
      </c>
      <c r="C52" s="72" t="s">
        <v>738</v>
      </c>
      <c r="D52" s="121" t="s">
        <v>739</v>
      </c>
      <c r="E52" s="67" t="s">
        <v>16</v>
      </c>
      <c r="F52" s="67">
        <v>1</v>
      </c>
      <c r="G52" s="67"/>
      <c r="H52" s="67"/>
      <c r="I52" s="67"/>
      <c r="J52" s="67">
        <f t="shared" si="2"/>
        <v>1</v>
      </c>
      <c r="K52" s="68">
        <f t="shared" si="1"/>
        <v>2</v>
      </c>
      <c r="L52" s="69"/>
    </row>
    <row r="53" spans="2:12">
      <c r="B53" t="s">
        <v>512</v>
      </c>
      <c r="C53" s="72" t="s">
        <v>740</v>
      </c>
      <c r="D53" s="121" t="s">
        <v>741</v>
      </c>
      <c r="E53" s="67" t="s">
        <v>16</v>
      </c>
      <c r="F53" s="67">
        <v>1</v>
      </c>
      <c r="G53" s="67"/>
      <c r="H53" s="67"/>
      <c r="I53" s="67"/>
      <c r="J53" s="67">
        <f t="shared" si="2"/>
        <v>1</v>
      </c>
      <c r="K53" s="68">
        <f t="shared" si="1"/>
        <v>2</v>
      </c>
      <c r="L53" s="69"/>
    </row>
    <row r="54" spans="2:12">
      <c r="B54" t="s">
        <v>512</v>
      </c>
      <c r="C54" s="72" t="s">
        <v>742</v>
      </c>
      <c r="D54" s="121" t="s">
        <v>743</v>
      </c>
      <c r="E54" s="67" t="s">
        <v>16</v>
      </c>
      <c r="F54" s="67">
        <v>4</v>
      </c>
      <c r="G54" s="67"/>
      <c r="H54" s="67"/>
      <c r="I54" s="67"/>
      <c r="J54" s="67">
        <f t="shared" si="2"/>
        <v>4</v>
      </c>
      <c r="K54" s="68">
        <f t="shared" si="1"/>
        <v>8</v>
      </c>
      <c r="L54" s="69"/>
    </row>
    <row r="55" spans="2:12">
      <c r="B55" t="s">
        <v>512</v>
      </c>
      <c r="C55" s="72" t="s">
        <v>744</v>
      </c>
      <c r="D55" s="121" t="s">
        <v>745</v>
      </c>
      <c r="E55" s="67" t="s">
        <v>16</v>
      </c>
      <c r="F55" s="67">
        <v>2</v>
      </c>
      <c r="G55" s="67"/>
      <c r="H55" s="67"/>
      <c r="I55" s="67"/>
      <c r="J55" s="67">
        <f t="shared" si="2"/>
        <v>2</v>
      </c>
      <c r="K55" s="68">
        <f t="shared" si="1"/>
        <v>4</v>
      </c>
      <c r="L55" s="69"/>
    </row>
    <row r="56" spans="2:12">
      <c r="B56" t="s">
        <v>507</v>
      </c>
      <c r="C56" s="72" t="s">
        <v>351</v>
      </c>
      <c r="D56" s="122" t="s">
        <v>746</v>
      </c>
      <c r="E56" s="67"/>
      <c r="F56" s="67"/>
      <c r="G56" s="67"/>
      <c r="H56" s="67"/>
      <c r="I56" s="67"/>
      <c r="J56" s="67"/>
      <c r="K56" s="68">
        <f t="shared" si="1"/>
        <v>0</v>
      </c>
      <c r="L56" s="69"/>
    </row>
    <row r="57" spans="2:12">
      <c r="B57" t="s">
        <v>512</v>
      </c>
      <c r="C57" s="72" t="s">
        <v>724</v>
      </c>
      <c r="D57" s="121" t="s">
        <v>725</v>
      </c>
      <c r="E57" s="67" t="s">
        <v>16</v>
      </c>
      <c r="F57" s="67">
        <v>8</v>
      </c>
      <c r="G57" s="67"/>
      <c r="H57" s="67"/>
      <c r="I57" s="67"/>
      <c r="J57" s="67">
        <f>F57+G57+H57+I57</f>
        <v>8</v>
      </c>
      <c r="K57" s="68">
        <f t="shared" si="1"/>
        <v>16</v>
      </c>
      <c r="L57" s="69"/>
    </row>
    <row r="58" spans="2:12">
      <c r="B58" t="s">
        <v>512</v>
      </c>
      <c r="C58" s="72" t="s">
        <v>742</v>
      </c>
      <c r="D58" s="121" t="s">
        <v>743</v>
      </c>
      <c r="E58" s="67" t="s">
        <v>16</v>
      </c>
      <c r="F58" s="67">
        <v>8</v>
      </c>
      <c r="G58" s="67"/>
      <c r="H58" s="67"/>
      <c r="I58" s="67"/>
      <c r="J58" s="67">
        <f>F58+G58+H58+I58</f>
        <v>8</v>
      </c>
      <c r="K58" s="68">
        <f t="shared" si="1"/>
        <v>16</v>
      </c>
      <c r="L58" s="69"/>
    </row>
    <row r="59" spans="2:12">
      <c r="B59" t="s">
        <v>512</v>
      </c>
      <c r="C59" s="72" t="s">
        <v>744</v>
      </c>
      <c r="D59" s="121" t="s">
        <v>745</v>
      </c>
      <c r="E59" s="67" t="s">
        <v>16</v>
      </c>
      <c r="F59" s="67">
        <v>8</v>
      </c>
      <c r="G59" s="67"/>
      <c r="H59" s="67"/>
      <c r="I59" s="67"/>
      <c r="J59" s="67">
        <f>F59+G59+H59+I59</f>
        <v>8</v>
      </c>
      <c r="K59" s="68">
        <f t="shared" si="1"/>
        <v>16</v>
      </c>
      <c r="L59" s="69"/>
    </row>
    <row r="60" spans="2:12">
      <c r="B60" t="s">
        <v>507</v>
      </c>
      <c r="C60" s="72" t="s">
        <v>378</v>
      </c>
      <c r="D60" s="240" t="s">
        <v>747</v>
      </c>
      <c r="E60" s="241"/>
      <c r="F60" s="241"/>
      <c r="G60" s="241"/>
      <c r="H60" s="241"/>
      <c r="I60" s="241"/>
      <c r="J60" s="241"/>
      <c r="K60" s="241"/>
      <c r="L60" s="242"/>
    </row>
    <row r="61" spans="2:12">
      <c r="B61" t="s">
        <v>507</v>
      </c>
      <c r="C61" s="72" t="s">
        <v>386</v>
      </c>
      <c r="D61" s="121" t="s">
        <v>748</v>
      </c>
      <c r="E61" s="67"/>
      <c r="F61" s="67"/>
      <c r="G61" s="67"/>
      <c r="H61" s="67"/>
      <c r="I61" s="67"/>
      <c r="J61" s="67">
        <f>F61+G61+H61+I61</f>
        <v>0</v>
      </c>
      <c r="K61" s="68">
        <f t="shared" si="1"/>
        <v>0</v>
      </c>
      <c r="L61" s="69"/>
    </row>
    <row r="62" spans="2:12">
      <c r="B62" t="s">
        <v>512</v>
      </c>
      <c r="C62" s="72" t="s">
        <v>749</v>
      </c>
      <c r="D62" s="121" t="s">
        <v>750</v>
      </c>
      <c r="E62" s="67" t="s">
        <v>280</v>
      </c>
      <c r="F62" s="67"/>
      <c r="G62" s="67"/>
      <c r="H62" s="67"/>
      <c r="I62" s="67"/>
      <c r="J62" s="67">
        <f>F62+G62+H62+I62</f>
        <v>0</v>
      </c>
      <c r="K62" s="68">
        <f t="shared" si="1"/>
        <v>0</v>
      </c>
      <c r="L62" s="69"/>
    </row>
    <row r="63" spans="2:12">
      <c r="B63" t="s">
        <v>554</v>
      </c>
      <c r="C63" s="72"/>
      <c r="D63" s="121" t="s">
        <v>668</v>
      </c>
      <c r="E63" s="67"/>
      <c r="F63" s="67"/>
      <c r="G63" s="67"/>
      <c r="H63" s="67"/>
      <c r="I63" s="67"/>
      <c r="J63" s="67"/>
      <c r="K63" s="68"/>
      <c r="L63" s="69"/>
    </row>
    <row r="64" spans="2:12" ht="31.2">
      <c r="C64" s="234"/>
      <c r="D64" s="123" t="s">
        <v>751</v>
      </c>
      <c r="E64" s="67"/>
      <c r="F64" s="67"/>
      <c r="G64" s="67"/>
      <c r="H64" s="67"/>
      <c r="I64" s="67"/>
      <c r="J64" s="67"/>
      <c r="K64" s="68"/>
      <c r="L64" s="69"/>
    </row>
    <row r="65" spans="2:12" ht="31.2">
      <c r="C65" s="236"/>
      <c r="D65" s="123" t="s">
        <v>752</v>
      </c>
      <c r="E65" s="67"/>
      <c r="F65" s="67"/>
      <c r="G65" s="67"/>
      <c r="H65" s="67"/>
      <c r="I65" s="67"/>
      <c r="J65" s="67"/>
      <c r="K65" s="68"/>
      <c r="L65" s="69"/>
    </row>
    <row r="66" spans="2:12">
      <c r="B66" t="s">
        <v>512</v>
      </c>
      <c r="C66" s="72" t="s">
        <v>753</v>
      </c>
      <c r="D66" s="121" t="s">
        <v>754</v>
      </c>
      <c r="E66" s="67" t="s">
        <v>280</v>
      </c>
      <c r="F66" s="67"/>
      <c r="G66" s="67"/>
      <c r="H66" s="67"/>
      <c r="I66" s="67"/>
      <c r="J66" s="67">
        <f>F66+G66+H66+I66</f>
        <v>0</v>
      </c>
      <c r="K66" s="68">
        <f t="shared" si="1"/>
        <v>0</v>
      </c>
      <c r="L66" s="69"/>
    </row>
    <row r="67" spans="2:12">
      <c r="B67" t="s">
        <v>554</v>
      </c>
      <c r="C67" s="72"/>
      <c r="D67" s="121" t="s">
        <v>668</v>
      </c>
      <c r="E67" s="67"/>
      <c r="F67" s="67"/>
      <c r="G67" s="67"/>
      <c r="H67" s="67"/>
      <c r="I67" s="67"/>
      <c r="J67" s="67"/>
      <c r="K67" s="68"/>
      <c r="L67" s="69"/>
    </row>
    <row r="68" spans="2:12" ht="31.2">
      <c r="C68" s="234"/>
      <c r="D68" s="123" t="s">
        <v>751</v>
      </c>
      <c r="E68" s="67"/>
      <c r="F68" s="67"/>
      <c r="G68" s="67"/>
      <c r="H68" s="67"/>
      <c r="I68" s="67"/>
      <c r="J68" s="67"/>
      <c r="K68" s="68"/>
      <c r="L68" s="69"/>
    </row>
    <row r="69" spans="2:12" ht="31.2">
      <c r="C69" s="236"/>
      <c r="D69" s="123" t="s">
        <v>752</v>
      </c>
      <c r="E69" s="67"/>
      <c r="F69" s="67"/>
      <c r="G69" s="67"/>
      <c r="H69" s="67"/>
      <c r="I69" s="67"/>
      <c r="J69" s="67"/>
      <c r="K69" s="68"/>
      <c r="L69" s="69"/>
    </row>
    <row r="70" spans="2:12">
      <c r="B70" t="s">
        <v>512</v>
      </c>
      <c r="C70" s="72" t="s">
        <v>755</v>
      </c>
      <c r="D70" s="121" t="s">
        <v>756</v>
      </c>
      <c r="E70" s="67" t="s">
        <v>280</v>
      </c>
      <c r="F70" s="67"/>
      <c r="G70" s="67"/>
      <c r="H70" s="67"/>
      <c r="I70" s="67">
        <v>3</v>
      </c>
      <c r="J70" s="67">
        <f>F70+G70+H70+I70</f>
        <v>3</v>
      </c>
      <c r="K70" s="68">
        <f t="shared" ref="K70:K133" si="3">F70+G70+H70+I70+J70</f>
        <v>6</v>
      </c>
      <c r="L70" s="69"/>
    </row>
    <row r="71" spans="2:12">
      <c r="B71" t="s">
        <v>554</v>
      </c>
      <c r="C71" s="72"/>
      <c r="D71" s="121" t="s">
        <v>668</v>
      </c>
      <c r="E71" s="67"/>
      <c r="F71" s="67"/>
      <c r="G71" s="67"/>
      <c r="H71" s="67"/>
      <c r="I71" s="67"/>
      <c r="J71" s="67"/>
      <c r="K71" s="68"/>
      <c r="L71" s="69"/>
    </row>
    <row r="72" spans="2:12" ht="31.2">
      <c r="C72" s="234"/>
      <c r="D72" s="123" t="s">
        <v>751</v>
      </c>
      <c r="E72" s="67"/>
      <c r="F72" s="67"/>
      <c r="G72" s="67"/>
      <c r="H72" s="67"/>
      <c r="I72" s="67"/>
      <c r="J72" s="67"/>
      <c r="K72" s="68"/>
      <c r="L72" s="69"/>
    </row>
    <row r="73" spans="2:12" ht="31.2">
      <c r="C73" s="236"/>
      <c r="D73" s="123" t="s">
        <v>752</v>
      </c>
      <c r="E73" s="67"/>
      <c r="F73" s="67"/>
      <c r="G73" s="67"/>
      <c r="H73" s="67"/>
      <c r="I73" s="67"/>
      <c r="J73" s="67"/>
      <c r="K73" s="68"/>
      <c r="L73" s="69"/>
    </row>
    <row r="74" spans="2:12">
      <c r="B74" t="s">
        <v>507</v>
      </c>
      <c r="C74" s="72" t="s">
        <v>392</v>
      </c>
      <c r="D74" s="121" t="s">
        <v>757</v>
      </c>
      <c r="E74" s="67"/>
      <c r="F74" s="67"/>
      <c r="G74" s="67">
        <v>4</v>
      </c>
      <c r="H74" s="67">
        <v>4</v>
      </c>
      <c r="I74" s="67"/>
      <c r="J74" s="67">
        <f>F74+G74+H74+I74</f>
        <v>8</v>
      </c>
      <c r="K74" s="68">
        <f t="shared" si="3"/>
        <v>16</v>
      </c>
      <c r="L74" s="69"/>
    </row>
    <row r="75" spans="2:12">
      <c r="B75" t="s">
        <v>512</v>
      </c>
      <c r="C75" s="72" t="s">
        <v>753</v>
      </c>
      <c r="D75" s="121" t="s">
        <v>754</v>
      </c>
      <c r="E75" s="67" t="s">
        <v>280</v>
      </c>
      <c r="F75" s="67"/>
      <c r="G75" s="67"/>
      <c r="H75" s="67"/>
      <c r="I75" s="67"/>
      <c r="J75" s="67">
        <f>F75+G75+H75+I75</f>
        <v>0</v>
      </c>
      <c r="K75" s="68">
        <f t="shared" si="3"/>
        <v>0</v>
      </c>
      <c r="L75" s="69"/>
    </row>
    <row r="76" spans="2:12">
      <c r="B76" t="s">
        <v>554</v>
      </c>
      <c r="C76" s="72"/>
      <c r="D76" s="121" t="s">
        <v>668</v>
      </c>
      <c r="E76" s="67"/>
      <c r="F76" s="67"/>
      <c r="G76" s="67"/>
      <c r="H76" s="67"/>
      <c r="I76" s="67"/>
      <c r="J76" s="67"/>
      <c r="K76" s="68"/>
      <c r="L76" s="69"/>
    </row>
    <row r="77" spans="2:12" ht="31.2">
      <c r="C77" s="234"/>
      <c r="D77" s="123" t="s">
        <v>751</v>
      </c>
      <c r="E77" s="67"/>
      <c r="F77" s="67"/>
      <c r="G77" s="67"/>
      <c r="H77" s="67"/>
      <c r="I77" s="67"/>
      <c r="J77" s="67"/>
      <c r="K77" s="68"/>
      <c r="L77" s="69"/>
    </row>
    <row r="78" spans="2:12" ht="31.2">
      <c r="C78" s="236"/>
      <c r="D78" s="123" t="s">
        <v>752</v>
      </c>
      <c r="E78" s="67"/>
      <c r="F78" s="67"/>
      <c r="G78" s="67"/>
      <c r="H78" s="67"/>
      <c r="I78" s="67"/>
      <c r="J78" s="67"/>
      <c r="K78" s="68"/>
      <c r="L78" s="69"/>
    </row>
    <row r="79" spans="2:12">
      <c r="B79" t="s">
        <v>512</v>
      </c>
      <c r="C79" s="72" t="s">
        <v>755</v>
      </c>
      <c r="D79" s="121" t="s">
        <v>756</v>
      </c>
      <c r="E79" s="67" t="s">
        <v>280</v>
      </c>
      <c r="F79" s="67"/>
      <c r="G79" s="67"/>
      <c r="H79" s="67"/>
      <c r="I79" s="67"/>
      <c r="J79" s="67">
        <f>F79+G79+H79+I79</f>
        <v>0</v>
      </c>
      <c r="K79" s="68">
        <f t="shared" si="3"/>
        <v>0</v>
      </c>
      <c r="L79" s="69"/>
    </row>
    <row r="80" spans="2:12">
      <c r="B80" t="s">
        <v>554</v>
      </c>
      <c r="C80" s="72"/>
      <c r="D80" s="121" t="s">
        <v>668</v>
      </c>
      <c r="E80" s="67"/>
      <c r="F80" s="67"/>
      <c r="G80" s="67"/>
      <c r="H80" s="67"/>
      <c r="I80" s="67"/>
      <c r="J80" s="67"/>
      <c r="K80" s="68"/>
      <c r="L80" s="69"/>
    </row>
    <row r="81" spans="2:12" ht="31.2">
      <c r="C81" s="234"/>
      <c r="D81" s="123" t="s">
        <v>751</v>
      </c>
      <c r="E81" s="67"/>
      <c r="F81" s="67"/>
      <c r="G81" s="67"/>
      <c r="H81" s="67"/>
      <c r="I81" s="67"/>
      <c r="J81" s="67"/>
      <c r="K81" s="68"/>
      <c r="L81" s="69"/>
    </row>
    <row r="82" spans="2:12" ht="31.2">
      <c r="C82" s="236"/>
      <c r="D82" s="123" t="s">
        <v>752</v>
      </c>
      <c r="E82" s="67"/>
      <c r="F82" s="67"/>
      <c r="G82" s="67"/>
      <c r="H82" s="67"/>
      <c r="I82" s="67"/>
      <c r="J82" s="67"/>
      <c r="K82" s="68"/>
      <c r="L82" s="69"/>
    </row>
    <row r="83" spans="2:12">
      <c r="B83" t="s">
        <v>512</v>
      </c>
      <c r="C83" s="72" t="s">
        <v>758</v>
      </c>
      <c r="D83" s="121" t="s">
        <v>759</v>
      </c>
      <c r="E83" s="67" t="s">
        <v>280</v>
      </c>
      <c r="F83" s="67"/>
      <c r="G83" s="67">
        <v>4</v>
      </c>
      <c r="H83" s="67">
        <v>4</v>
      </c>
      <c r="I83" s="67">
        <v>3</v>
      </c>
      <c r="J83" s="67">
        <f>F83+G83+H83+I83</f>
        <v>11</v>
      </c>
      <c r="K83" s="68">
        <f t="shared" si="3"/>
        <v>22</v>
      </c>
      <c r="L83" s="69"/>
    </row>
    <row r="84" spans="2:12">
      <c r="B84" t="s">
        <v>554</v>
      </c>
      <c r="C84" s="72"/>
      <c r="D84" s="121" t="s">
        <v>668</v>
      </c>
      <c r="E84" s="67"/>
      <c r="F84" s="67"/>
      <c r="G84" s="67"/>
      <c r="H84" s="67"/>
      <c r="I84" s="67"/>
      <c r="J84" s="67"/>
      <c r="K84" s="68"/>
      <c r="L84" s="69"/>
    </row>
    <row r="85" spans="2:12">
      <c r="C85" s="234"/>
      <c r="D85" s="123" t="s">
        <v>760</v>
      </c>
      <c r="E85" s="67"/>
      <c r="F85" s="67"/>
      <c r="G85" s="67"/>
      <c r="H85" s="67"/>
      <c r="I85" s="67"/>
      <c r="J85" s="67"/>
      <c r="K85" s="68"/>
      <c r="L85" s="69"/>
    </row>
    <row r="86" spans="2:12">
      <c r="C86" s="235"/>
      <c r="D86" s="123" t="s">
        <v>761</v>
      </c>
      <c r="E86" s="67"/>
      <c r="F86" s="67"/>
      <c r="G86" s="67"/>
      <c r="H86" s="67"/>
      <c r="I86" s="67"/>
      <c r="J86" s="67"/>
      <c r="K86" s="68"/>
      <c r="L86" s="69"/>
    </row>
    <row r="87" spans="2:12" ht="31.2">
      <c r="C87" s="236"/>
      <c r="D87" s="123" t="s">
        <v>762</v>
      </c>
      <c r="E87" s="67"/>
      <c r="F87" s="67"/>
      <c r="G87" s="67"/>
      <c r="H87" s="67"/>
      <c r="I87" s="67"/>
      <c r="J87" s="67"/>
      <c r="K87" s="68"/>
      <c r="L87" s="69"/>
    </row>
    <row r="88" spans="2:12">
      <c r="B88" t="s">
        <v>507</v>
      </c>
      <c r="C88" s="72" t="s">
        <v>763</v>
      </c>
      <c r="D88" s="240" t="s">
        <v>764</v>
      </c>
      <c r="E88" s="241"/>
      <c r="F88" s="241"/>
      <c r="G88" s="241"/>
      <c r="H88" s="241"/>
      <c r="I88" s="241"/>
      <c r="J88" s="241"/>
      <c r="K88" s="241"/>
      <c r="L88" s="242"/>
    </row>
    <row r="89" spans="2:12">
      <c r="B89" t="s">
        <v>507</v>
      </c>
      <c r="C89" s="72" t="s">
        <v>422</v>
      </c>
      <c r="D89" s="240" t="s">
        <v>765</v>
      </c>
      <c r="E89" s="241"/>
      <c r="F89" s="241"/>
      <c r="G89" s="241"/>
      <c r="H89" s="241"/>
      <c r="I89" s="241"/>
      <c r="J89" s="241"/>
      <c r="K89" s="241"/>
      <c r="L89" s="242"/>
    </row>
    <row r="90" spans="2:12">
      <c r="B90" t="s">
        <v>512</v>
      </c>
      <c r="C90" s="72" t="s">
        <v>722</v>
      </c>
      <c r="D90" s="121" t="s">
        <v>723</v>
      </c>
      <c r="E90" s="67" t="s">
        <v>16</v>
      </c>
      <c r="F90" s="67"/>
      <c r="G90" s="67">
        <v>1</v>
      </c>
      <c r="H90" s="67">
        <v>1</v>
      </c>
      <c r="I90" s="67">
        <v>1</v>
      </c>
      <c r="J90" s="67">
        <f>F90+G90+H90+I90</f>
        <v>3</v>
      </c>
      <c r="K90" s="68">
        <f t="shared" si="3"/>
        <v>6</v>
      </c>
      <c r="L90" s="69"/>
    </row>
    <row r="91" spans="2:12">
      <c r="B91" t="s">
        <v>512</v>
      </c>
      <c r="C91" s="72" t="s">
        <v>766</v>
      </c>
      <c r="D91" s="121" t="s">
        <v>767</v>
      </c>
      <c r="E91" s="67" t="s">
        <v>16</v>
      </c>
      <c r="F91" s="67"/>
      <c r="G91" s="67">
        <v>1</v>
      </c>
      <c r="H91" s="67">
        <v>1</v>
      </c>
      <c r="I91" s="67">
        <v>1</v>
      </c>
      <c r="J91" s="67">
        <f>F91+G91+H91+I91</f>
        <v>3</v>
      </c>
      <c r="K91" s="68">
        <f t="shared" si="3"/>
        <v>6</v>
      </c>
      <c r="L91" s="69"/>
    </row>
    <row r="92" spans="2:12">
      <c r="B92" t="s">
        <v>512</v>
      </c>
      <c r="C92" s="72" t="s">
        <v>768</v>
      </c>
      <c r="D92" s="121" t="s">
        <v>769</v>
      </c>
      <c r="E92" s="67" t="s">
        <v>16</v>
      </c>
      <c r="F92" s="67"/>
      <c r="G92" s="67">
        <v>1</v>
      </c>
      <c r="H92" s="67">
        <v>1</v>
      </c>
      <c r="I92" s="67">
        <v>1</v>
      </c>
      <c r="J92" s="67">
        <f>F92+G92+H92+I92</f>
        <v>3</v>
      </c>
      <c r="K92" s="68">
        <f t="shared" si="3"/>
        <v>6</v>
      </c>
      <c r="L92" s="69"/>
    </row>
    <row r="93" spans="2:12">
      <c r="B93" t="s">
        <v>512</v>
      </c>
      <c r="C93" s="72" t="s">
        <v>742</v>
      </c>
      <c r="D93" s="121" t="s">
        <v>743</v>
      </c>
      <c r="E93" s="67" t="s">
        <v>16</v>
      </c>
      <c r="F93" s="67"/>
      <c r="G93" s="67">
        <v>2</v>
      </c>
      <c r="H93" s="67">
        <v>2</v>
      </c>
      <c r="I93" s="67">
        <v>2</v>
      </c>
      <c r="J93" s="67">
        <f>F93+G93+H93+I93</f>
        <v>6</v>
      </c>
      <c r="K93" s="68">
        <f t="shared" si="3"/>
        <v>12</v>
      </c>
      <c r="L93" s="69"/>
    </row>
    <row r="94" spans="2:12">
      <c r="B94" t="s">
        <v>507</v>
      </c>
      <c r="C94" s="72" t="s">
        <v>430</v>
      </c>
      <c r="D94" s="122" t="s">
        <v>770</v>
      </c>
      <c r="E94" s="67"/>
      <c r="F94" s="67"/>
      <c r="G94" s="67"/>
      <c r="H94" s="67"/>
      <c r="I94" s="67"/>
      <c r="J94" s="67"/>
      <c r="K94" s="68"/>
      <c r="L94" s="69"/>
    </row>
    <row r="95" spans="2:12">
      <c r="B95" t="s">
        <v>512</v>
      </c>
      <c r="C95" s="72" t="s">
        <v>771</v>
      </c>
      <c r="D95" s="121" t="s">
        <v>772</v>
      </c>
      <c r="E95" s="67" t="s">
        <v>16</v>
      </c>
      <c r="F95" s="67">
        <v>1</v>
      </c>
      <c r="G95" s="67"/>
      <c r="H95" s="67"/>
      <c r="I95" s="67"/>
      <c r="J95" s="67">
        <f>F95+G95+H95+I95</f>
        <v>1</v>
      </c>
      <c r="K95" s="68">
        <f t="shared" si="3"/>
        <v>2</v>
      </c>
      <c r="L95" s="69"/>
    </row>
    <row r="96" spans="2:12">
      <c r="B96" t="s">
        <v>512</v>
      </c>
      <c r="C96" s="72" t="s">
        <v>773</v>
      </c>
      <c r="D96" s="121" t="s">
        <v>774</v>
      </c>
      <c r="E96" s="67" t="s">
        <v>16</v>
      </c>
      <c r="F96" s="67">
        <v>5</v>
      </c>
      <c r="G96" s="67"/>
      <c r="H96" s="67"/>
      <c r="I96" s="67"/>
      <c r="J96" s="67">
        <f>F96+G96+H96+I96</f>
        <v>5</v>
      </c>
      <c r="K96" s="68">
        <f t="shared" si="3"/>
        <v>10</v>
      </c>
      <c r="L96" s="69"/>
    </row>
    <row r="97" spans="2:12" ht="31.2">
      <c r="B97" t="s">
        <v>507</v>
      </c>
      <c r="C97" s="72" t="s">
        <v>440</v>
      </c>
      <c r="D97" s="122" t="s">
        <v>775</v>
      </c>
      <c r="E97" s="67"/>
      <c r="F97" s="67"/>
      <c r="G97" s="67"/>
      <c r="H97" s="67"/>
      <c r="I97" s="67"/>
      <c r="J97" s="67"/>
      <c r="K97" s="68"/>
      <c r="L97" s="69"/>
    </row>
    <row r="98" spans="2:12">
      <c r="B98" t="s">
        <v>512</v>
      </c>
      <c r="C98" s="72" t="s">
        <v>776</v>
      </c>
      <c r="D98" s="121" t="s">
        <v>777</v>
      </c>
      <c r="E98" s="67" t="s">
        <v>16</v>
      </c>
      <c r="F98" s="67">
        <v>1</v>
      </c>
      <c r="G98" s="67"/>
      <c r="H98" s="67"/>
      <c r="I98" s="67"/>
      <c r="J98" s="67">
        <f>F98+G98+H98+I98</f>
        <v>1</v>
      </c>
      <c r="K98" s="68">
        <f t="shared" si="3"/>
        <v>2</v>
      </c>
      <c r="L98" s="69"/>
    </row>
    <row r="99" spans="2:12">
      <c r="B99" t="s">
        <v>512</v>
      </c>
      <c r="C99" s="72" t="s">
        <v>778</v>
      </c>
      <c r="D99" s="121" t="s">
        <v>779</v>
      </c>
      <c r="E99" s="67" t="s">
        <v>16</v>
      </c>
      <c r="F99" s="67"/>
      <c r="G99" s="67"/>
      <c r="H99" s="67"/>
      <c r="I99" s="67"/>
      <c r="J99" s="67">
        <f>F99+G99+H99+I99</f>
        <v>0</v>
      </c>
      <c r="K99" s="68">
        <f t="shared" si="3"/>
        <v>0</v>
      </c>
      <c r="L99" s="69"/>
    </row>
    <row r="100" spans="2:12" ht="30" customHeight="1">
      <c r="B100" t="s">
        <v>507</v>
      </c>
      <c r="C100" s="72" t="s">
        <v>471</v>
      </c>
      <c r="D100" s="240" t="s">
        <v>780</v>
      </c>
      <c r="E100" s="241"/>
      <c r="F100" s="241"/>
      <c r="G100" s="241"/>
      <c r="H100" s="241"/>
      <c r="I100" s="241"/>
      <c r="J100" s="241"/>
      <c r="K100" s="241"/>
      <c r="L100" s="242"/>
    </row>
    <row r="101" spans="2:12">
      <c r="B101" t="s">
        <v>512</v>
      </c>
      <c r="C101" s="72" t="s">
        <v>781</v>
      </c>
      <c r="D101" s="121" t="s">
        <v>782</v>
      </c>
      <c r="E101" s="67" t="s">
        <v>16</v>
      </c>
      <c r="F101" s="67"/>
      <c r="G101" s="67">
        <v>2</v>
      </c>
      <c r="H101" s="67">
        <v>6</v>
      </c>
      <c r="I101" s="67"/>
      <c r="J101" s="67">
        <f t="shared" ref="J101:J115" si="4">F101+G101+H101+I101</f>
        <v>8</v>
      </c>
      <c r="K101" s="68">
        <f t="shared" si="3"/>
        <v>16</v>
      </c>
      <c r="L101" s="69" t="s">
        <v>1148</v>
      </c>
    </row>
    <row r="102" spans="2:12">
      <c r="B102" t="s">
        <v>512</v>
      </c>
      <c r="C102" s="72" t="s">
        <v>783</v>
      </c>
      <c r="D102" s="121" t="s">
        <v>784</v>
      </c>
      <c r="E102" s="67" t="s">
        <v>16</v>
      </c>
      <c r="F102" s="67"/>
      <c r="G102" s="67">
        <v>3</v>
      </c>
      <c r="H102" s="67">
        <v>2</v>
      </c>
      <c r="I102" s="67">
        <v>3</v>
      </c>
      <c r="J102" s="67">
        <f t="shared" si="4"/>
        <v>8</v>
      </c>
      <c r="K102" s="68">
        <f t="shared" si="3"/>
        <v>16</v>
      </c>
      <c r="L102" s="69" t="s">
        <v>1149</v>
      </c>
    </row>
    <row r="103" spans="2:12">
      <c r="B103" t="s">
        <v>512</v>
      </c>
      <c r="C103" s="72" t="s">
        <v>785</v>
      </c>
      <c r="D103" s="121" t="s">
        <v>786</v>
      </c>
      <c r="E103" s="67" t="s">
        <v>16</v>
      </c>
      <c r="F103" s="67"/>
      <c r="G103" s="67">
        <v>2</v>
      </c>
      <c r="H103" s="67"/>
      <c r="I103" s="67">
        <v>3</v>
      </c>
      <c r="J103" s="67">
        <f t="shared" si="4"/>
        <v>5</v>
      </c>
      <c r="K103" s="68">
        <f t="shared" si="3"/>
        <v>10</v>
      </c>
      <c r="L103" s="69" t="s">
        <v>1150</v>
      </c>
    </row>
    <row r="104" spans="2:12">
      <c r="B104" t="s">
        <v>512</v>
      </c>
      <c r="C104" s="72" t="s">
        <v>787</v>
      </c>
      <c r="D104" s="121" t="s">
        <v>788</v>
      </c>
      <c r="E104" s="67" t="s">
        <v>16</v>
      </c>
      <c r="F104" s="67"/>
      <c r="G104" s="67"/>
      <c r="H104" s="67"/>
      <c r="I104" s="67"/>
      <c r="J104" s="67">
        <f t="shared" si="4"/>
        <v>0</v>
      </c>
      <c r="K104" s="68">
        <f t="shared" si="3"/>
        <v>0</v>
      </c>
      <c r="L104" s="69"/>
    </row>
    <row r="105" spans="2:12">
      <c r="B105" t="s">
        <v>512</v>
      </c>
      <c r="C105" s="72" t="s">
        <v>789</v>
      </c>
      <c r="D105" s="121" t="s">
        <v>790</v>
      </c>
      <c r="E105" s="67" t="s">
        <v>16</v>
      </c>
      <c r="F105" s="67"/>
      <c r="G105" s="67"/>
      <c r="H105" s="67"/>
      <c r="I105" s="67"/>
      <c r="J105" s="67">
        <f t="shared" si="4"/>
        <v>0</v>
      </c>
      <c r="K105" s="68">
        <f t="shared" si="3"/>
        <v>0</v>
      </c>
      <c r="L105" s="69"/>
    </row>
    <row r="106" spans="2:12">
      <c r="B106" t="s">
        <v>512</v>
      </c>
      <c r="C106" s="72" t="s">
        <v>791</v>
      </c>
      <c r="D106" s="121" t="s">
        <v>792</v>
      </c>
      <c r="E106" s="67" t="s">
        <v>16</v>
      </c>
      <c r="F106" s="67"/>
      <c r="G106" s="67"/>
      <c r="H106" s="67"/>
      <c r="I106" s="67"/>
      <c r="J106" s="67">
        <f t="shared" si="4"/>
        <v>0</v>
      </c>
      <c r="K106" s="68">
        <f t="shared" si="3"/>
        <v>0</v>
      </c>
      <c r="L106" s="69"/>
    </row>
    <row r="107" spans="2:12">
      <c r="B107" t="s">
        <v>512</v>
      </c>
      <c r="C107" s="72" t="s">
        <v>793</v>
      </c>
      <c r="D107" s="121" t="s">
        <v>794</v>
      </c>
      <c r="E107" s="67" t="s">
        <v>16</v>
      </c>
      <c r="F107" s="67"/>
      <c r="G107" s="67"/>
      <c r="H107" s="67"/>
      <c r="I107" s="67"/>
      <c r="J107" s="67">
        <f t="shared" si="4"/>
        <v>0</v>
      </c>
      <c r="K107" s="68">
        <f t="shared" si="3"/>
        <v>0</v>
      </c>
      <c r="L107" s="69"/>
    </row>
    <row r="108" spans="2:12">
      <c r="B108" t="s">
        <v>512</v>
      </c>
      <c r="C108" s="72" t="s">
        <v>795</v>
      </c>
      <c r="D108" s="121" t="s">
        <v>796</v>
      </c>
      <c r="E108" s="67" t="s">
        <v>16</v>
      </c>
      <c r="F108" s="67"/>
      <c r="G108" s="67"/>
      <c r="H108" s="67"/>
      <c r="I108" s="67"/>
      <c r="J108" s="67">
        <f t="shared" si="4"/>
        <v>0</v>
      </c>
      <c r="K108" s="68">
        <f t="shared" si="3"/>
        <v>0</v>
      </c>
      <c r="L108" s="69"/>
    </row>
    <row r="109" spans="2:12">
      <c r="B109" t="s">
        <v>512</v>
      </c>
      <c r="C109" s="72" t="s">
        <v>797</v>
      </c>
      <c r="D109" s="121" t="s">
        <v>798</v>
      </c>
      <c r="E109" s="67" t="s">
        <v>16</v>
      </c>
      <c r="F109" s="67"/>
      <c r="G109" s="67"/>
      <c r="H109" s="67"/>
      <c r="I109" s="67"/>
      <c r="J109" s="67">
        <f t="shared" si="4"/>
        <v>0</v>
      </c>
      <c r="K109" s="68">
        <f t="shared" si="3"/>
        <v>0</v>
      </c>
      <c r="L109" s="69"/>
    </row>
    <row r="110" spans="2:12">
      <c r="B110" t="s">
        <v>512</v>
      </c>
      <c r="C110" s="72" t="s">
        <v>799</v>
      </c>
      <c r="D110" s="121" t="s">
        <v>800</v>
      </c>
      <c r="E110" s="67" t="s">
        <v>16</v>
      </c>
      <c r="F110" s="67"/>
      <c r="G110" s="67"/>
      <c r="H110" s="67"/>
      <c r="I110" s="67"/>
      <c r="J110" s="67">
        <f t="shared" si="4"/>
        <v>0</v>
      </c>
      <c r="K110" s="68">
        <f t="shared" si="3"/>
        <v>0</v>
      </c>
      <c r="L110" s="69"/>
    </row>
    <row r="111" spans="2:12">
      <c r="B111" t="s">
        <v>512</v>
      </c>
      <c r="C111" s="72" t="s">
        <v>801</v>
      </c>
      <c r="D111" s="121" t="s">
        <v>802</v>
      </c>
      <c r="E111" s="67" t="s">
        <v>16</v>
      </c>
      <c r="F111" s="67"/>
      <c r="G111" s="67"/>
      <c r="H111" s="67"/>
      <c r="I111" s="67"/>
      <c r="J111" s="67">
        <f t="shared" si="4"/>
        <v>0</v>
      </c>
      <c r="K111" s="68">
        <f t="shared" si="3"/>
        <v>0</v>
      </c>
      <c r="L111" s="69"/>
    </row>
    <row r="112" spans="2:12">
      <c r="B112" t="s">
        <v>512</v>
      </c>
      <c r="C112" s="72" t="s">
        <v>803</v>
      </c>
      <c r="D112" s="121" t="s">
        <v>804</v>
      </c>
      <c r="E112" s="67" t="s">
        <v>16</v>
      </c>
      <c r="F112" s="67"/>
      <c r="G112" s="67"/>
      <c r="H112" s="67"/>
      <c r="I112" s="67"/>
      <c r="J112" s="67">
        <f t="shared" si="4"/>
        <v>0</v>
      </c>
      <c r="K112" s="68">
        <f t="shared" si="3"/>
        <v>0</v>
      </c>
      <c r="L112" s="69"/>
    </row>
    <row r="113" spans="2:12">
      <c r="B113" t="s">
        <v>512</v>
      </c>
      <c r="C113" s="72" t="s">
        <v>805</v>
      </c>
      <c r="D113" s="121" t="s">
        <v>806</v>
      </c>
      <c r="E113" s="67" t="s">
        <v>16</v>
      </c>
      <c r="F113" s="67"/>
      <c r="G113" s="67"/>
      <c r="H113" s="67"/>
      <c r="I113" s="67"/>
      <c r="J113" s="67">
        <f t="shared" si="4"/>
        <v>0</v>
      </c>
      <c r="K113" s="68">
        <f t="shared" si="3"/>
        <v>0</v>
      </c>
      <c r="L113" s="69"/>
    </row>
    <row r="114" spans="2:12">
      <c r="B114" t="s">
        <v>512</v>
      </c>
      <c r="C114" s="72" t="s">
        <v>807</v>
      </c>
      <c r="D114" s="121" t="s">
        <v>808</v>
      </c>
      <c r="E114" s="67" t="s">
        <v>16</v>
      </c>
      <c r="F114" s="67"/>
      <c r="G114" s="67"/>
      <c r="H114" s="67"/>
      <c r="I114" s="67"/>
      <c r="J114" s="67">
        <f t="shared" si="4"/>
        <v>0</v>
      </c>
      <c r="K114" s="68">
        <f t="shared" si="3"/>
        <v>0</v>
      </c>
      <c r="L114" s="69"/>
    </row>
    <row r="115" spans="2:12">
      <c r="B115" t="s">
        <v>512</v>
      </c>
      <c r="C115" s="72" t="s">
        <v>809</v>
      </c>
      <c r="D115" s="121" t="s">
        <v>810</v>
      </c>
      <c r="E115" s="67" t="s">
        <v>16</v>
      </c>
      <c r="F115" s="67"/>
      <c r="G115" s="67"/>
      <c r="H115" s="67"/>
      <c r="I115" s="67">
        <v>2</v>
      </c>
      <c r="J115" s="67">
        <f t="shared" si="4"/>
        <v>2</v>
      </c>
      <c r="K115" s="68">
        <f t="shared" si="3"/>
        <v>4</v>
      </c>
      <c r="L115" s="69"/>
    </row>
    <row r="116" spans="2:12" ht="30.45" customHeight="1">
      <c r="B116" t="s">
        <v>507</v>
      </c>
      <c r="C116" s="72" t="s">
        <v>473</v>
      </c>
      <c r="D116" s="240" t="s">
        <v>811</v>
      </c>
      <c r="E116" s="241"/>
      <c r="F116" s="241"/>
      <c r="G116" s="241"/>
      <c r="H116" s="241"/>
      <c r="I116" s="241"/>
      <c r="J116" s="241"/>
      <c r="K116" s="241"/>
      <c r="L116" s="242"/>
    </row>
    <row r="117" spans="2:12">
      <c r="B117" t="s">
        <v>512</v>
      </c>
      <c r="C117" s="72" t="s">
        <v>812</v>
      </c>
      <c r="D117" s="121" t="s">
        <v>813</v>
      </c>
      <c r="E117" s="67" t="s">
        <v>16</v>
      </c>
      <c r="F117" s="67"/>
      <c r="G117" s="67"/>
      <c r="H117" s="67"/>
      <c r="I117" s="67"/>
      <c r="J117" s="67">
        <f t="shared" ref="J117:J124" si="5">F117+G117+H117+I117</f>
        <v>0</v>
      </c>
      <c r="K117" s="68">
        <f t="shared" si="3"/>
        <v>0</v>
      </c>
      <c r="L117" s="69"/>
    </row>
    <row r="118" spans="2:12">
      <c r="B118" t="s">
        <v>512</v>
      </c>
      <c r="C118" s="72" t="s">
        <v>814</v>
      </c>
      <c r="D118" s="121" t="s">
        <v>815</v>
      </c>
      <c r="E118" s="67" t="s">
        <v>16</v>
      </c>
      <c r="F118" s="67"/>
      <c r="G118" s="67"/>
      <c r="H118" s="67"/>
      <c r="I118" s="67"/>
      <c r="J118" s="67">
        <f t="shared" si="5"/>
        <v>0</v>
      </c>
      <c r="K118" s="68">
        <f t="shared" si="3"/>
        <v>0</v>
      </c>
      <c r="L118" s="69"/>
    </row>
    <row r="119" spans="2:12">
      <c r="B119" t="s">
        <v>512</v>
      </c>
      <c r="C119" s="72" t="s">
        <v>816</v>
      </c>
      <c r="D119" s="121" t="s">
        <v>817</v>
      </c>
      <c r="E119" s="67" t="s">
        <v>16</v>
      </c>
      <c r="F119" s="67"/>
      <c r="G119" s="67"/>
      <c r="H119" s="67"/>
      <c r="I119" s="67">
        <v>3</v>
      </c>
      <c r="J119" s="67">
        <f t="shared" si="5"/>
        <v>3</v>
      </c>
      <c r="K119" s="68">
        <f t="shared" si="3"/>
        <v>6</v>
      </c>
      <c r="L119" s="69"/>
    </row>
    <row r="120" spans="2:12">
      <c r="B120" t="s">
        <v>512</v>
      </c>
      <c r="C120" s="72" t="s">
        <v>818</v>
      </c>
      <c r="D120" s="121" t="s">
        <v>819</v>
      </c>
      <c r="E120" s="67" t="s">
        <v>16</v>
      </c>
      <c r="F120" s="67"/>
      <c r="G120" s="67"/>
      <c r="H120" s="67"/>
      <c r="I120" s="67"/>
      <c r="J120" s="67">
        <f t="shared" si="5"/>
        <v>0</v>
      </c>
      <c r="K120" s="68">
        <f t="shared" si="3"/>
        <v>0</v>
      </c>
      <c r="L120" s="69"/>
    </row>
    <row r="121" spans="2:12">
      <c r="B121" t="s">
        <v>512</v>
      </c>
      <c r="C121" s="72" t="s">
        <v>820</v>
      </c>
      <c r="D121" s="121" t="s">
        <v>821</v>
      </c>
      <c r="E121" s="67" t="s">
        <v>16</v>
      </c>
      <c r="F121" s="67"/>
      <c r="G121" s="67">
        <v>6</v>
      </c>
      <c r="H121" s="67">
        <v>4</v>
      </c>
      <c r="I121" s="67"/>
      <c r="J121" s="67">
        <f t="shared" si="5"/>
        <v>10</v>
      </c>
      <c r="K121" s="68">
        <f t="shared" si="3"/>
        <v>20</v>
      </c>
      <c r="L121" s="120" t="s">
        <v>1151</v>
      </c>
    </row>
    <row r="122" spans="2:12">
      <c r="B122" t="s">
        <v>512</v>
      </c>
      <c r="C122" s="72" t="s">
        <v>822</v>
      </c>
      <c r="D122" s="121" t="s">
        <v>823</v>
      </c>
      <c r="E122" s="67" t="s">
        <v>16</v>
      </c>
      <c r="F122" s="67"/>
      <c r="G122" s="67"/>
      <c r="H122" s="67"/>
      <c r="I122" s="67"/>
      <c r="J122" s="67">
        <f t="shared" si="5"/>
        <v>0</v>
      </c>
      <c r="K122" s="68">
        <f t="shared" si="3"/>
        <v>0</v>
      </c>
      <c r="L122" s="69"/>
    </row>
    <row r="123" spans="2:12">
      <c r="B123" t="s">
        <v>512</v>
      </c>
      <c r="C123" s="72" t="s">
        <v>824</v>
      </c>
      <c r="D123" s="121" t="s">
        <v>825</v>
      </c>
      <c r="E123" s="67" t="s">
        <v>16</v>
      </c>
      <c r="F123" s="67"/>
      <c r="G123" s="67"/>
      <c r="H123" s="67"/>
      <c r="I123" s="67"/>
      <c r="J123" s="67">
        <f t="shared" si="5"/>
        <v>0</v>
      </c>
      <c r="K123" s="68">
        <f t="shared" si="3"/>
        <v>0</v>
      </c>
      <c r="L123" s="69"/>
    </row>
    <row r="124" spans="2:12">
      <c r="B124" t="s">
        <v>554</v>
      </c>
      <c r="C124" s="72"/>
      <c r="D124" s="121" t="s">
        <v>668</v>
      </c>
      <c r="E124" s="67"/>
      <c r="F124" s="67"/>
      <c r="G124" s="67"/>
      <c r="H124" s="67"/>
      <c r="I124" s="67"/>
      <c r="J124" s="67">
        <f t="shared" si="5"/>
        <v>0</v>
      </c>
      <c r="K124" s="68">
        <f t="shared" si="3"/>
        <v>0</v>
      </c>
      <c r="L124" s="69"/>
    </row>
    <row r="125" spans="2:12" ht="31.2">
      <c r="C125" s="72"/>
      <c r="D125" s="123" t="s">
        <v>826</v>
      </c>
      <c r="E125" s="67"/>
      <c r="F125" s="67"/>
      <c r="G125" s="67"/>
      <c r="H125" s="67"/>
      <c r="I125" s="67"/>
      <c r="J125" s="67"/>
      <c r="K125" s="68"/>
      <c r="L125" s="69"/>
    </row>
    <row r="126" spans="2:12" ht="30.45" customHeight="1">
      <c r="B126" t="s">
        <v>507</v>
      </c>
      <c r="C126" s="72" t="s">
        <v>478</v>
      </c>
      <c r="D126" s="240" t="s">
        <v>827</v>
      </c>
      <c r="E126" s="241"/>
      <c r="F126" s="241"/>
      <c r="G126" s="241"/>
      <c r="H126" s="241"/>
      <c r="I126" s="241"/>
      <c r="J126" s="241"/>
      <c r="K126" s="241"/>
      <c r="L126" s="242"/>
    </row>
    <row r="127" spans="2:12">
      <c r="B127" t="s">
        <v>512</v>
      </c>
      <c r="C127" s="72" t="s">
        <v>828</v>
      </c>
      <c r="D127" s="121" t="s">
        <v>829</v>
      </c>
      <c r="E127" s="67" t="s">
        <v>16</v>
      </c>
      <c r="F127" s="67"/>
      <c r="G127" s="67"/>
      <c r="H127" s="67"/>
      <c r="I127" s="67"/>
      <c r="J127" s="67">
        <f>F127+G127+H127+I127</f>
        <v>0</v>
      </c>
      <c r="K127" s="68">
        <f t="shared" si="3"/>
        <v>0</v>
      </c>
      <c r="L127" s="69"/>
    </row>
    <row r="128" spans="2:12">
      <c r="B128" t="s">
        <v>512</v>
      </c>
      <c r="C128" s="72" t="s">
        <v>830</v>
      </c>
      <c r="D128" s="121" t="s">
        <v>831</v>
      </c>
      <c r="E128" s="67" t="s">
        <v>16</v>
      </c>
      <c r="F128" s="67"/>
      <c r="G128" s="67">
        <v>4</v>
      </c>
      <c r="H128" s="67">
        <v>4</v>
      </c>
      <c r="I128" s="67">
        <v>3</v>
      </c>
      <c r="J128" s="67">
        <f>F128+G128+H128+I128</f>
        <v>11</v>
      </c>
      <c r="K128" s="68">
        <f t="shared" si="3"/>
        <v>22</v>
      </c>
      <c r="L128" s="69"/>
    </row>
    <row r="129" spans="2:12" ht="30.45" customHeight="1">
      <c r="B129" t="s">
        <v>507</v>
      </c>
      <c r="C129" s="72" t="s">
        <v>480</v>
      </c>
      <c r="D129" s="240" t="s">
        <v>832</v>
      </c>
      <c r="E129" s="241"/>
      <c r="F129" s="241"/>
      <c r="G129" s="241"/>
      <c r="H129" s="241"/>
      <c r="I129" s="241"/>
      <c r="J129" s="241"/>
      <c r="K129" s="241"/>
      <c r="L129" s="242"/>
    </row>
    <row r="130" spans="2:12">
      <c r="B130" t="s">
        <v>512</v>
      </c>
      <c r="C130" s="72" t="s">
        <v>833</v>
      </c>
      <c r="D130" s="121" t="s">
        <v>834</v>
      </c>
      <c r="E130" s="67" t="s">
        <v>16</v>
      </c>
      <c r="F130" s="67">
        <v>1</v>
      </c>
      <c r="G130" s="67"/>
      <c r="H130" s="67"/>
      <c r="I130" s="67"/>
      <c r="J130" s="67">
        <f t="shared" ref="J130:J138" si="6">F130+G130+H130+I130</f>
        <v>1</v>
      </c>
      <c r="K130" s="68">
        <f t="shared" si="3"/>
        <v>2</v>
      </c>
      <c r="L130" s="69"/>
    </row>
    <row r="131" spans="2:12">
      <c r="B131" t="s">
        <v>512</v>
      </c>
      <c r="C131" s="72" t="s">
        <v>835</v>
      </c>
      <c r="D131" s="121" t="s">
        <v>836</v>
      </c>
      <c r="E131" s="67" t="s">
        <v>16</v>
      </c>
      <c r="F131" s="67"/>
      <c r="G131" s="67">
        <v>4</v>
      </c>
      <c r="H131" s="67">
        <v>4</v>
      </c>
      <c r="I131" s="67">
        <v>3</v>
      </c>
      <c r="J131" s="67">
        <f t="shared" si="6"/>
        <v>11</v>
      </c>
      <c r="K131" s="68">
        <f t="shared" si="3"/>
        <v>22</v>
      </c>
      <c r="L131" s="69"/>
    </row>
    <row r="132" spans="2:12">
      <c r="B132" t="s">
        <v>512</v>
      </c>
      <c r="C132" s="72" t="s">
        <v>837</v>
      </c>
      <c r="D132" s="121" t="s">
        <v>838</v>
      </c>
      <c r="E132" s="67" t="s">
        <v>16</v>
      </c>
      <c r="F132" s="67"/>
      <c r="G132" s="67">
        <v>7</v>
      </c>
      <c r="H132" s="67">
        <v>8</v>
      </c>
      <c r="I132" s="67">
        <v>8</v>
      </c>
      <c r="J132" s="67">
        <f t="shared" si="6"/>
        <v>23</v>
      </c>
      <c r="K132" s="68">
        <f t="shared" si="3"/>
        <v>46</v>
      </c>
      <c r="L132" s="69"/>
    </row>
    <row r="133" spans="2:12">
      <c r="B133" t="s">
        <v>512</v>
      </c>
      <c r="C133" s="72" t="s">
        <v>839</v>
      </c>
      <c r="D133" s="121" t="s">
        <v>840</v>
      </c>
      <c r="E133" s="67" t="s">
        <v>16</v>
      </c>
      <c r="F133" s="67">
        <v>1</v>
      </c>
      <c r="G133" s="67"/>
      <c r="H133" s="67"/>
      <c r="I133" s="67"/>
      <c r="J133" s="67">
        <f t="shared" si="6"/>
        <v>1</v>
      </c>
      <c r="K133" s="68">
        <f t="shared" si="3"/>
        <v>2</v>
      </c>
      <c r="L133" s="69"/>
    </row>
    <row r="134" spans="2:12">
      <c r="B134" t="s">
        <v>512</v>
      </c>
      <c r="C134" s="72" t="s">
        <v>841</v>
      </c>
      <c r="D134" s="121" t="s">
        <v>842</v>
      </c>
      <c r="E134" s="67" t="s">
        <v>16</v>
      </c>
      <c r="F134" s="67"/>
      <c r="G134" s="67">
        <v>7</v>
      </c>
      <c r="H134" s="67">
        <v>8</v>
      </c>
      <c r="I134" s="67">
        <v>8</v>
      </c>
      <c r="J134" s="67">
        <f t="shared" si="6"/>
        <v>23</v>
      </c>
      <c r="K134" s="68">
        <f t="shared" ref="K134:K194" si="7">F134+G134+H134+I134+J134</f>
        <v>46</v>
      </c>
      <c r="L134" s="69"/>
    </row>
    <row r="135" spans="2:12" ht="31.2">
      <c r="B135" t="s">
        <v>512</v>
      </c>
      <c r="C135" s="72" t="s">
        <v>843</v>
      </c>
      <c r="D135" s="121" t="s">
        <v>844</v>
      </c>
      <c r="E135" s="67" t="s">
        <v>16</v>
      </c>
      <c r="F135" s="67">
        <v>1</v>
      </c>
      <c r="G135" s="67"/>
      <c r="H135" s="67"/>
      <c r="I135" s="67"/>
      <c r="J135" s="67">
        <f t="shared" si="6"/>
        <v>1</v>
      </c>
      <c r="K135" s="68">
        <f t="shared" si="7"/>
        <v>2</v>
      </c>
      <c r="L135" s="69"/>
    </row>
    <row r="136" spans="2:12">
      <c r="B136" t="s">
        <v>512</v>
      </c>
      <c r="C136" s="72" t="s">
        <v>845</v>
      </c>
      <c r="D136" s="121" t="s">
        <v>846</v>
      </c>
      <c r="E136" s="67" t="s">
        <v>16</v>
      </c>
      <c r="F136" s="67"/>
      <c r="G136" s="67"/>
      <c r="H136" s="67"/>
      <c r="I136" s="67"/>
      <c r="J136" s="67">
        <f t="shared" si="6"/>
        <v>0</v>
      </c>
      <c r="K136" s="68">
        <f t="shared" si="7"/>
        <v>0</v>
      </c>
      <c r="L136" s="69"/>
    </row>
    <row r="137" spans="2:12">
      <c r="B137" t="s">
        <v>512</v>
      </c>
      <c r="C137" s="72" t="s">
        <v>847</v>
      </c>
      <c r="D137" s="121" t="s">
        <v>848</v>
      </c>
      <c r="E137" s="67" t="s">
        <v>16</v>
      </c>
      <c r="F137" s="67"/>
      <c r="G137" s="67">
        <v>4</v>
      </c>
      <c r="H137" s="67">
        <v>4</v>
      </c>
      <c r="I137" s="67">
        <v>3</v>
      </c>
      <c r="J137" s="67">
        <f t="shared" si="6"/>
        <v>11</v>
      </c>
      <c r="K137" s="68">
        <f t="shared" si="7"/>
        <v>22</v>
      </c>
      <c r="L137" s="69"/>
    </row>
    <row r="138" spans="2:12" ht="31.2">
      <c r="B138" t="s">
        <v>512</v>
      </c>
      <c r="C138" s="72" t="s">
        <v>849</v>
      </c>
      <c r="D138" s="121" t="s">
        <v>850</v>
      </c>
      <c r="E138" s="67" t="s">
        <v>16</v>
      </c>
      <c r="F138" s="67"/>
      <c r="G138" s="67">
        <v>4</v>
      </c>
      <c r="H138" s="67">
        <v>4</v>
      </c>
      <c r="I138" s="67">
        <v>3</v>
      </c>
      <c r="J138" s="67">
        <f t="shared" si="6"/>
        <v>11</v>
      </c>
      <c r="K138" s="68">
        <f t="shared" si="7"/>
        <v>22</v>
      </c>
      <c r="L138" s="69"/>
    </row>
    <row r="139" spans="2:12">
      <c r="B139" t="s">
        <v>507</v>
      </c>
      <c r="C139" s="72" t="s">
        <v>851</v>
      </c>
      <c r="D139" s="240" t="s">
        <v>852</v>
      </c>
      <c r="E139" s="241"/>
      <c r="F139" s="241"/>
      <c r="G139" s="241"/>
      <c r="H139" s="241"/>
      <c r="I139" s="241"/>
      <c r="J139" s="241"/>
      <c r="K139" s="241"/>
      <c r="L139" s="242"/>
    </row>
    <row r="140" spans="2:12" ht="31.2">
      <c r="B140" t="s">
        <v>512</v>
      </c>
      <c r="C140" s="72" t="s">
        <v>853</v>
      </c>
      <c r="D140" s="121" t="s">
        <v>854</v>
      </c>
      <c r="E140" s="67" t="s">
        <v>16</v>
      </c>
      <c r="F140" s="67"/>
      <c r="G140" s="67">
        <v>6</v>
      </c>
      <c r="H140" s="67">
        <v>4</v>
      </c>
      <c r="I140" s="67">
        <v>3</v>
      </c>
      <c r="J140" s="67">
        <f t="shared" ref="J140:J145" si="8">F140+G140+H140+I140</f>
        <v>13</v>
      </c>
      <c r="K140" s="68">
        <f t="shared" si="7"/>
        <v>26</v>
      </c>
      <c r="L140" s="69"/>
    </row>
    <row r="141" spans="2:12" ht="31.2">
      <c r="B141" t="s">
        <v>512</v>
      </c>
      <c r="C141" s="72" t="s">
        <v>855</v>
      </c>
      <c r="D141" s="121" t="s">
        <v>856</v>
      </c>
      <c r="E141" s="67" t="s">
        <v>16</v>
      </c>
      <c r="F141" s="67"/>
      <c r="G141" s="67">
        <v>6</v>
      </c>
      <c r="H141" s="67">
        <v>4</v>
      </c>
      <c r="I141" s="67">
        <v>3</v>
      </c>
      <c r="J141" s="67">
        <f t="shared" si="8"/>
        <v>13</v>
      </c>
      <c r="K141" s="68">
        <f t="shared" si="7"/>
        <v>26</v>
      </c>
      <c r="L141" s="69"/>
    </row>
    <row r="142" spans="2:12">
      <c r="B142" t="s">
        <v>512</v>
      </c>
      <c r="C142" s="72" t="s">
        <v>857</v>
      </c>
      <c r="D142" s="121" t="s">
        <v>858</v>
      </c>
      <c r="E142" s="67" t="s">
        <v>16</v>
      </c>
      <c r="F142" s="67"/>
      <c r="G142" s="67">
        <v>12</v>
      </c>
      <c r="H142" s="67">
        <v>8</v>
      </c>
      <c r="I142" s="67">
        <v>6</v>
      </c>
      <c r="J142" s="67">
        <f t="shared" si="8"/>
        <v>26</v>
      </c>
      <c r="K142" s="68">
        <f t="shared" si="7"/>
        <v>52</v>
      </c>
      <c r="L142" s="69"/>
    </row>
    <row r="143" spans="2:12" ht="31.2">
      <c r="B143" t="s">
        <v>507</v>
      </c>
      <c r="C143" s="72" t="s">
        <v>859</v>
      </c>
      <c r="D143" s="121" t="s">
        <v>860</v>
      </c>
      <c r="E143" s="67"/>
      <c r="F143" s="67"/>
      <c r="G143" s="67"/>
      <c r="H143" s="67"/>
      <c r="I143" s="67"/>
      <c r="J143" s="67">
        <f t="shared" si="8"/>
        <v>0</v>
      </c>
      <c r="K143" s="68">
        <f t="shared" si="7"/>
        <v>0</v>
      </c>
      <c r="L143" s="69"/>
    </row>
    <row r="144" spans="2:12">
      <c r="B144" t="s">
        <v>512</v>
      </c>
      <c r="C144" s="72" t="s">
        <v>861</v>
      </c>
      <c r="D144" s="121" t="s">
        <v>862</v>
      </c>
      <c r="E144" s="67" t="s">
        <v>16</v>
      </c>
      <c r="F144" s="67"/>
      <c r="G144" s="67">
        <v>6</v>
      </c>
      <c r="H144" s="67">
        <v>4</v>
      </c>
      <c r="I144" s="67">
        <v>2</v>
      </c>
      <c r="J144" s="67">
        <f t="shared" si="8"/>
        <v>12</v>
      </c>
      <c r="K144" s="68">
        <f t="shared" si="7"/>
        <v>24</v>
      </c>
      <c r="L144" s="69"/>
    </row>
    <row r="145" spans="2:12">
      <c r="B145" t="s">
        <v>512</v>
      </c>
      <c r="C145" s="72" t="s">
        <v>863</v>
      </c>
      <c r="D145" s="121" t="s">
        <v>864</v>
      </c>
      <c r="E145" s="67" t="s">
        <v>16</v>
      </c>
      <c r="F145" s="67"/>
      <c r="G145" s="67"/>
      <c r="H145" s="67"/>
      <c r="I145" s="67">
        <v>1</v>
      </c>
      <c r="J145" s="67">
        <f t="shared" si="8"/>
        <v>1</v>
      </c>
      <c r="K145" s="68">
        <f t="shared" si="7"/>
        <v>2</v>
      </c>
      <c r="L145" s="69"/>
    </row>
    <row r="146" spans="2:12">
      <c r="B146" t="s">
        <v>512</v>
      </c>
      <c r="C146" s="72" t="s">
        <v>865</v>
      </c>
      <c r="D146" s="121" t="s">
        <v>866</v>
      </c>
      <c r="E146" s="67" t="s">
        <v>16</v>
      </c>
      <c r="F146" s="67"/>
      <c r="G146" s="67"/>
      <c r="H146" s="67"/>
      <c r="I146" s="67"/>
      <c r="J146" s="67"/>
      <c r="K146" s="68">
        <f t="shared" si="7"/>
        <v>0</v>
      </c>
      <c r="L146" s="69"/>
    </row>
    <row r="147" spans="2:12">
      <c r="B147" t="s">
        <v>507</v>
      </c>
      <c r="C147" s="72" t="s">
        <v>867</v>
      </c>
      <c r="D147" s="243" t="s">
        <v>868</v>
      </c>
      <c r="E147" s="244"/>
      <c r="F147" s="244"/>
      <c r="G147" s="244"/>
      <c r="H147" s="244"/>
      <c r="I147" s="244"/>
      <c r="J147" s="244"/>
      <c r="K147" s="244"/>
      <c r="L147" s="245"/>
    </row>
    <row r="148" spans="2:12">
      <c r="B148" t="s">
        <v>507</v>
      </c>
      <c r="C148" s="72" t="s">
        <v>869</v>
      </c>
      <c r="D148" s="243" t="s">
        <v>870</v>
      </c>
      <c r="E148" s="244"/>
      <c r="F148" s="244"/>
      <c r="G148" s="244"/>
      <c r="H148" s="244"/>
      <c r="I148" s="244"/>
      <c r="J148" s="244"/>
      <c r="K148" s="244"/>
      <c r="L148" s="245"/>
    </row>
    <row r="149" spans="2:12">
      <c r="B149" t="s">
        <v>512</v>
      </c>
      <c r="C149" s="72" t="s">
        <v>871</v>
      </c>
      <c r="D149" s="121" t="s">
        <v>872</v>
      </c>
      <c r="E149" s="67" t="s">
        <v>68</v>
      </c>
      <c r="F149" s="67"/>
      <c r="G149" s="67"/>
      <c r="H149" s="67"/>
      <c r="I149" s="67"/>
      <c r="J149" s="67">
        <f>F149+G149+H149+I149</f>
        <v>0</v>
      </c>
      <c r="K149" s="68">
        <f t="shared" si="7"/>
        <v>0</v>
      </c>
      <c r="L149" s="69"/>
    </row>
    <row r="150" spans="2:12">
      <c r="B150" t="s">
        <v>512</v>
      </c>
      <c r="C150" s="72" t="s">
        <v>873</v>
      </c>
      <c r="D150" s="121" t="s">
        <v>874</v>
      </c>
      <c r="E150" s="67" t="s">
        <v>68</v>
      </c>
      <c r="F150" s="67"/>
      <c r="G150" s="67"/>
      <c r="H150" s="67"/>
      <c r="I150" s="67"/>
      <c r="J150" s="67">
        <f>F150+G150+H150+I150</f>
        <v>0</v>
      </c>
      <c r="K150" s="68">
        <f t="shared" si="7"/>
        <v>0</v>
      </c>
      <c r="L150" s="69"/>
    </row>
    <row r="151" spans="2:12">
      <c r="B151" t="s">
        <v>512</v>
      </c>
      <c r="C151" s="72" t="s">
        <v>875</v>
      </c>
      <c r="D151" s="121" t="s">
        <v>876</v>
      </c>
      <c r="E151" s="67" t="s">
        <v>68</v>
      </c>
      <c r="F151" s="67"/>
      <c r="G151" s="67"/>
      <c r="H151" s="67"/>
      <c r="I151" s="67"/>
      <c r="J151" s="67">
        <f>F151+G151+H151+I151</f>
        <v>0</v>
      </c>
      <c r="K151" s="68">
        <f t="shared" si="7"/>
        <v>0</v>
      </c>
      <c r="L151" s="69"/>
    </row>
    <row r="152" spans="2:12">
      <c r="B152" t="s">
        <v>512</v>
      </c>
      <c r="C152" s="72" t="s">
        <v>877</v>
      </c>
      <c r="D152" s="121" t="s">
        <v>878</v>
      </c>
      <c r="E152" s="67" t="s">
        <v>68</v>
      </c>
      <c r="F152" s="67"/>
      <c r="G152" s="67"/>
      <c r="H152" s="67"/>
      <c r="I152" s="67"/>
      <c r="J152" s="67">
        <f>F152+G152+H152+I152</f>
        <v>0</v>
      </c>
      <c r="K152" s="68">
        <f t="shared" si="7"/>
        <v>0</v>
      </c>
      <c r="L152" s="69"/>
    </row>
    <row r="153" spans="2:12">
      <c r="B153" t="s">
        <v>512</v>
      </c>
      <c r="C153" s="72" t="s">
        <v>879</v>
      </c>
      <c r="D153" s="121" t="s">
        <v>880</v>
      </c>
      <c r="E153" s="67" t="s">
        <v>68</v>
      </c>
      <c r="F153" s="67"/>
      <c r="G153" s="67"/>
      <c r="H153" s="67"/>
      <c r="I153" s="67"/>
      <c r="J153" s="67">
        <f>F153+G153+H153+I153</f>
        <v>0</v>
      </c>
      <c r="K153" s="68">
        <f t="shared" si="7"/>
        <v>0</v>
      </c>
      <c r="L153" s="69"/>
    </row>
    <row r="154" spans="2:12">
      <c r="B154" t="s">
        <v>554</v>
      </c>
      <c r="C154" s="72"/>
      <c r="D154" s="121" t="s">
        <v>668</v>
      </c>
      <c r="E154" s="67"/>
      <c r="F154" s="67"/>
      <c r="G154" s="67"/>
      <c r="H154" s="67"/>
      <c r="I154" s="67"/>
      <c r="J154" s="67"/>
      <c r="K154" s="68"/>
      <c r="L154" s="69"/>
    </row>
    <row r="155" spans="2:12" ht="78">
      <c r="C155" s="234"/>
      <c r="D155" s="123" t="s">
        <v>881</v>
      </c>
      <c r="E155" s="67"/>
      <c r="F155" s="67"/>
      <c r="G155" s="67"/>
      <c r="H155" s="67"/>
      <c r="I155" s="67"/>
      <c r="J155" s="67"/>
      <c r="K155" s="68"/>
      <c r="L155" s="69"/>
    </row>
    <row r="156" spans="2:12">
      <c r="C156" s="236"/>
      <c r="D156" s="123" t="s">
        <v>882</v>
      </c>
      <c r="E156" s="67"/>
      <c r="F156" s="67"/>
      <c r="G156" s="67"/>
      <c r="H156" s="67"/>
      <c r="I156" s="67"/>
      <c r="J156" s="67"/>
      <c r="K156" s="68"/>
      <c r="L156" s="69"/>
    </row>
    <row r="157" spans="2:12">
      <c r="B157" t="s">
        <v>507</v>
      </c>
      <c r="C157" s="72" t="s">
        <v>883</v>
      </c>
      <c r="D157" s="243" t="s">
        <v>884</v>
      </c>
      <c r="E157" s="244"/>
      <c r="F157" s="244"/>
      <c r="G157" s="244"/>
      <c r="H157" s="244"/>
      <c r="I157" s="244"/>
      <c r="J157" s="244"/>
      <c r="K157" s="244"/>
      <c r="L157" s="245"/>
    </row>
    <row r="158" spans="2:12">
      <c r="B158" t="s">
        <v>512</v>
      </c>
      <c r="C158" s="72" t="s">
        <v>885</v>
      </c>
      <c r="D158" s="121" t="s">
        <v>886</v>
      </c>
      <c r="E158" s="67" t="s">
        <v>68</v>
      </c>
      <c r="F158" s="67"/>
      <c r="G158" s="67">
        <v>100</v>
      </c>
      <c r="H158" s="67">
        <v>220</v>
      </c>
      <c r="I158" s="67">
        <v>150</v>
      </c>
      <c r="J158" s="67">
        <f>F158+G158+H158+I158</f>
        <v>470</v>
      </c>
      <c r="K158" s="68">
        <f t="shared" si="7"/>
        <v>940</v>
      </c>
      <c r="L158" s="69"/>
    </row>
    <row r="159" spans="2:12">
      <c r="B159" t="s">
        <v>512</v>
      </c>
      <c r="C159" s="72" t="s">
        <v>887</v>
      </c>
      <c r="D159" s="121" t="s">
        <v>888</v>
      </c>
      <c r="E159" s="67" t="s">
        <v>68</v>
      </c>
      <c r="F159" s="67"/>
      <c r="G159" s="67">
        <v>20</v>
      </c>
      <c r="H159" s="67"/>
      <c r="I159" s="67">
        <v>30</v>
      </c>
      <c r="J159" s="67">
        <f>F159+G159+H159+I159</f>
        <v>50</v>
      </c>
      <c r="K159" s="68">
        <f t="shared" si="7"/>
        <v>100</v>
      </c>
      <c r="L159" s="69"/>
    </row>
    <row r="160" spans="2:12">
      <c r="B160" t="s">
        <v>512</v>
      </c>
      <c r="C160" s="72" t="s">
        <v>278</v>
      </c>
      <c r="D160" s="121" t="s">
        <v>889</v>
      </c>
      <c r="E160" s="67" t="s">
        <v>68</v>
      </c>
      <c r="F160" s="67"/>
      <c r="G160" s="67"/>
      <c r="H160" s="67"/>
      <c r="I160" s="67"/>
      <c r="J160" s="67">
        <f>F160+G160+H160+I160</f>
        <v>0</v>
      </c>
      <c r="K160" s="68">
        <f t="shared" si="7"/>
        <v>0</v>
      </c>
      <c r="L160" s="69"/>
    </row>
    <row r="161" spans="2:12">
      <c r="B161" t="s">
        <v>512</v>
      </c>
      <c r="C161" s="72" t="s">
        <v>890</v>
      </c>
      <c r="D161" s="121" t="s">
        <v>891</v>
      </c>
      <c r="E161" s="67" t="s">
        <v>280</v>
      </c>
      <c r="F161" s="67"/>
      <c r="G161" s="67"/>
      <c r="H161" s="67"/>
      <c r="I161" s="67"/>
      <c r="J161" s="67">
        <v>1</v>
      </c>
      <c r="K161" s="68">
        <f t="shared" si="7"/>
        <v>1</v>
      </c>
      <c r="L161" s="69"/>
    </row>
    <row r="162" spans="2:12">
      <c r="B162" t="s">
        <v>554</v>
      </c>
      <c r="C162" s="72"/>
      <c r="D162" s="121" t="s">
        <v>668</v>
      </c>
      <c r="E162" s="67"/>
      <c r="F162" s="67"/>
      <c r="G162" s="67"/>
      <c r="H162" s="67"/>
      <c r="I162" s="67"/>
      <c r="J162" s="67"/>
      <c r="K162" s="68"/>
      <c r="L162" s="69"/>
    </row>
    <row r="163" spans="2:12">
      <c r="C163" s="72"/>
      <c r="D163" s="123" t="s">
        <v>882</v>
      </c>
      <c r="E163" s="67"/>
      <c r="F163" s="67"/>
      <c r="G163" s="67"/>
      <c r="H163" s="67"/>
      <c r="I163" s="67"/>
      <c r="J163" s="67"/>
      <c r="K163" s="68"/>
      <c r="L163" s="69"/>
    </row>
    <row r="164" spans="2:12">
      <c r="B164" t="s">
        <v>507</v>
      </c>
      <c r="C164" s="72" t="s">
        <v>892</v>
      </c>
      <c r="D164" s="243" t="s">
        <v>893</v>
      </c>
      <c r="E164" s="244"/>
      <c r="F164" s="244"/>
      <c r="G164" s="244"/>
      <c r="H164" s="244"/>
      <c r="I164" s="244"/>
      <c r="J164" s="244"/>
      <c r="K164" s="244"/>
      <c r="L164" s="245"/>
    </row>
    <row r="165" spans="2:12">
      <c r="B165" t="s">
        <v>512</v>
      </c>
      <c r="C165" s="72" t="s">
        <v>894</v>
      </c>
      <c r="D165" s="121" t="s">
        <v>895</v>
      </c>
      <c r="E165" s="67" t="s">
        <v>68</v>
      </c>
      <c r="F165" s="67"/>
      <c r="G165" s="67"/>
      <c r="H165" s="67"/>
      <c r="I165" s="67"/>
      <c r="J165" s="67">
        <f>F165+G165+H165+I165</f>
        <v>0</v>
      </c>
      <c r="K165" s="68">
        <f t="shared" si="7"/>
        <v>0</v>
      </c>
      <c r="L165" s="69"/>
    </row>
    <row r="166" spans="2:12">
      <c r="B166" t="s">
        <v>512</v>
      </c>
      <c r="C166" s="72" t="s">
        <v>896</v>
      </c>
      <c r="D166" s="121" t="s">
        <v>897</v>
      </c>
      <c r="E166" s="67" t="s">
        <v>280</v>
      </c>
      <c r="F166" s="67"/>
      <c r="G166" s="67"/>
      <c r="H166" s="67"/>
      <c r="I166" s="67"/>
      <c r="J166" s="67">
        <f>F166+G166+H166+I166</f>
        <v>0</v>
      </c>
      <c r="K166" s="68">
        <f t="shared" si="7"/>
        <v>0</v>
      </c>
      <c r="L166" s="69"/>
    </row>
    <row r="167" spans="2:12">
      <c r="B167" t="s">
        <v>507</v>
      </c>
      <c r="C167" s="72" t="s">
        <v>898</v>
      </c>
      <c r="D167" s="243" t="s">
        <v>899</v>
      </c>
      <c r="E167" s="244"/>
      <c r="F167" s="244"/>
      <c r="G167" s="244"/>
      <c r="H167" s="244"/>
      <c r="I167" s="244"/>
      <c r="J167" s="244"/>
      <c r="K167" s="244"/>
      <c r="L167" s="245"/>
    </row>
    <row r="168" spans="2:12">
      <c r="B168" t="s">
        <v>512</v>
      </c>
      <c r="C168" s="72" t="s">
        <v>900</v>
      </c>
      <c r="D168" s="121" t="s">
        <v>901</v>
      </c>
      <c r="E168" s="67" t="s">
        <v>68</v>
      </c>
      <c r="F168" s="67"/>
      <c r="G168" s="67">
        <v>100</v>
      </c>
      <c r="H168" s="67">
        <v>220</v>
      </c>
      <c r="I168" s="67">
        <v>150</v>
      </c>
      <c r="J168" s="67">
        <f t="shared" ref="J168:J175" si="9">F168+G168+H168+I168</f>
        <v>470</v>
      </c>
      <c r="K168" s="68">
        <f t="shared" si="7"/>
        <v>940</v>
      </c>
      <c r="L168" s="69"/>
    </row>
    <row r="169" spans="2:12">
      <c r="B169" t="s">
        <v>512</v>
      </c>
      <c r="C169" s="72" t="s">
        <v>902</v>
      </c>
      <c r="D169" s="121" t="s">
        <v>903</v>
      </c>
      <c r="E169" s="67" t="s">
        <v>68</v>
      </c>
      <c r="F169" s="67"/>
      <c r="G169" s="67">
        <v>20</v>
      </c>
      <c r="H169" s="67"/>
      <c r="I169" s="67">
        <v>30</v>
      </c>
      <c r="J169" s="67">
        <f t="shared" si="9"/>
        <v>50</v>
      </c>
      <c r="K169" s="68">
        <f t="shared" si="7"/>
        <v>100</v>
      </c>
      <c r="L169" s="69"/>
    </row>
    <row r="170" spans="2:12">
      <c r="B170" t="s">
        <v>512</v>
      </c>
      <c r="C170" s="72" t="s">
        <v>904</v>
      </c>
      <c r="D170" s="121" t="s">
        <v>905</v>
      </c>
      <c r="E170" s="67" t="s">
        <v>68</v>
      </c>
      <c r="F170" s="67"/>
      <c r="G170" s="67"/>
      <c r="H170" s="67"/>
      <c r="I170" s="67"/>
      <c r="J170" s="67">
        <f t="shared" si="9"/>
        <v>0</v>
      </c>
      <c r="K170" s="68">
        <f t="shared" si="7"/>
        <v>0</v>
      </c>
      <c r="L170" s="69"/>
    </row>
    <row r="171" spans="2:12">
      <c r="B171" t="s">
        <v>512</v>
      </c>
      <c r="C171" s="72" t="s">
        <v>906</v>
      </c>
      <c r="D171" s="121" t="s">
        <v>907</v>
      </c>
      <c r="E171" s="67" t="s">
        <v>68</v>
      </c>
      <c r="F171" s="67"/>
      <c r="G171" s="67">
        <v>60</v>
      </c>
      <c r="H171" s="67"/>
      <c r="I171" s="67"/>
      <c r="J171" s="67">
        <f t="shared" si="9"/>
        <v>60</v>
      </c>
      <c r="K171" s="68">
        <f t="shared" si="7"/>
        <v>120</v>
      </c>
      <c r="L171" s="69"/>
    </row>
    <row r="172" spans="2:12">
      <c r="B172" t="s">
        <v>512</v>
      </c>
      <c r="C172" s="72" t="s">
        <v>908</v>
      </c>
      <c r="D172" s="121" t="s">
        <v>909</v>
      </c>
      <c r="E172" s="67" t="s">
        <v>68</v>
      </c>
      <c r="F172" s="67"/>
      <c r="G172" s="67"/>
      <c r="H172" s="67"/>
      <c r="I172" s="67"/>
      <c r="J172" s="67">
        <f t="shared" si="9"/>
        <v>0</v>
      </c>
      <c r="K172" s="68">
        <f t="shared" si="7"/>
        <v>0</v>
      </c>
      <c r="L172" s="69"/>
    </row>
    <row r="173" spans="2:12">
      <c r="B173" t="s">
        <v>512</v>
      </c>
      <c r="C173" s="72" t="s">
        <v>910</v>
      </c>
      <c r="D173" s="121" t="s">
        <v>911</v>
      </c>
      <c r="E173" s="67" t="s">
        <v>68</v>
      </c>
      <c r="F173" s="67"/>
      <c r="G173" s="67"/>
      <c r="H173" s="67"/>
      <c r="I173" s="67"/>
      <c r="J173" s="67">
        <f t="shared" si="9"/>
        <v>0</v>
      </c>
      <c r="K173" s="68">
        <f t="shared" si="7"/>
        <v>0</v>
      </c>
      <c r="L173" s="69"/>
    </row>
    <row r="174" spans="2:12">
      <c r="B174" t="s">
        <v>512</v>
      </c>
      <c r="C174" s="72" t="s">
        <v>912</v>
      </c>
      <c r="D174" s="121" t="s">
        <v>913</v>
      </c>
      <c r="E174" s="67" t="s">
        <v>68</v>
      </c>
      <c r="F174" s="67">
        <v>8</v>
      </c>
      <c r="G174" s="67"/>
      <c r="H174" s="67"/>
      <c r="I174" s="67"/>
      <c r="J174" s="67">
        <f t="shared" si="9"/>
        <v>8</v>
      </c>
      <c r="K174" s="68">
        <f t="shared" si="7"/>
        <v>16</v>
      </c>
      <c r="L174" s="69"/>
    </row>
    <row r="175" spans="2:12">
      <c r="B175" t="s">
        <v>512</v>
      </c>
      <c r="C175" s="72" t="s">
        <v>914</v>
      </c>
      <c r="D175" s="121" t="s">
        <v>915</v>
      </c>
      <c r="E175" s="67" t="s">
        <v>68</v>
      </c>
      <c r="F175" s="67">
        <v>18</v>
      </c>
      <c r="G175" s="67"/>
      <c r="H175" s="67"/>
      <c r="I175" s="67"/>
      <c r="J175" s="67">
        <f t="shared" si="9"/>
        <v>18</v>
      </c>
      <c r="K175" s="68">
        <f t="shared" si="7"/>
        <v>36</v>
      </c>
      <c r="L175" s="69"/>
    </row>
    <row r="176" spans="2:12">
      <c r="B176" t="s">
        <v>507</v>
      </c>
      <c r="C176" s="72" t="s">
        <v>916</v>
      </c>
      <c r="D176" s="243" t="s">
        <v>917</v>
      </c>
      <c r="E176" s="244"/>
      <c r="F176" s="244"/>
      <c r="G176" s="244"/>
      <c r="H176" s="244"/>
      <c r="I176" s="244"/>
      <c r="J176" s="244"/>
      <c r="K176" s="244"/>
      <c r="L176" s="245"/>
    </row>
    <row r="177" spans="2:12">
      <c r="B177" t="s">
        <v>512</v>
      </c>
      <c r="C177" s="72" t="s">
        <v>918</v>
      </c>
      <c r="D177" s="121" t="s">
        <v>919</v>
      </c>
      <c r="E177" s="67" t="s">
        <v>68</v>
      </c>
      <c r="F177" s="67"/>
      <c r="G177" s="67"/>
      <c r="H177" s="67"/>
      <c r="I177" s="67"/>
      <c r="J177" s="67">
        <f t="shared" ref="J177:J182" si="10">F177+G177+H177+I177</f>
        <v>0</v>
      </c>
      <c r="K177" s="68">
        <f t="shared" si="7"/>
        <v>0</v>
      </c>
      <c r="L177" s="69"/>
    </row>
    <row r="178" spans="2:12">
      <c r="B178" t="s">
        <v>512</v>
      </c>
      <c r="C178" s="72" t="s">
        <v>920</v>
      </c>
      <c r="D178" s="121" t="s">
        <v>921</v>
      </c>
      <c r="E178" s="67" t="s">
        <v>68</v>
      </c>
      <c r="F178" s="67"/>
      <c r="G178" s="67"/>
      <c r="H178" s="67"/>
      <c r="I178" s="67"/>
      <c r="J178" s="67">
        <f t="shared" si="10"/>
        <v>0</v>
      </c>
      <c r="K178" s="68">
        <f t="shared" si="7"/>
        <v>0</v>
      </c>
      <c r="L178" s="69"/>
    </row>
    <row r="179" spans="2:12">
      <c r="B179" t="s">
        <v>512</v>
      </c>
      <c r="C179" s="72" t="s">
        <v>922</v>
      </c>
      <c r="D179" s="121" t="s">
        <v>923</v>
      </c>
      <c r="E179" s="67" t="s">
        <v>68</v>
      </c>
      <c r="F179" s="67"/>
      <c r="G179" s="67"/>
      <c r="H179" s="67"/>
      <c r="I179" s="67"/>
      <c r="J179" s="67">
        <f t="shared" si="10"/>
        <v>0</v>
      </c>
      <c r="K179" s="68">
        <f t="shared" si="7"/>
        <v>0</v>
      </c>
      <c r="L179" s="69"/>
    </row>
    <row r="180" spans="2:12">
      <c r="B180" t="s">
        <v>512</v>
      </c>
      <c r="C180" s="72" t="s">
        <v>924</v>
      </c>
      <c r="D180" s="121" t="s">
        <v>925</v>
      </c>
      <c r="E180" s="67" t="s">
        <v>68</v>
      </c>
      <c r="F180" s="67"/>
      <c r="G180" s="67"/>
      <c r="H180" s="67"/>
      <c r="I180" s="67"/>
      <c r="J180" s="67">
        <f t="shared" si="10"/>
        <v>0</v>
      </c>
      <c r="K180" s="68">
        <f t="shared" si="7"/>
        <v>0</v>
      </c>
      <c r="L180" s="69"/>
    </row>
    <row r="181" spans="2:12">
      <c r="B181" t="s">
        <v>512</v>
      </c>
      <c r="C181" s="72" t="s">
        <v>926</v>
      </c>
      <c r="D181" s="121" t="s">
        <v>927</v>
      </c>
      <c r="E181" s="67" t="s">
        <v>68</v>
      </c>
      <c r="F181" s="67"/>
      <c r="G181" s="67"/>
      <c r="H181" s="67"/>
      <c r="I181" s="67"/>
      <c r="J181" s="67">
        <f t="shared" si="10"/>
        <v>0</v>
      </c>
      <c r="K181" s="68">
        <f t="shared" si="7"/>
        <v>0</v>
      </c>
      <c r="L181" s="69"/>
    </row>
    <row r="182" spans="2:12">
      <c r="B182" t="s">
        <v>507</v>
      </c>
      <c r="C182" s="72" t="s">
        <v>928</v>
      </c>
      <c r="D182" s="122" t="s">
        <v>929</v>
      </c>
      <c r="E182" s="67"/>
      <c r="F182" s="67"/>
      <c r="G182" s="67"/>
      <c r="H182" s="67"/>
      <c r="I182" s="67"/>
      <c r="J182" s="67">
        <f t="shared" si="10"/>
        <v>0</v>
      </c>
      <c r="K182" s="68">
        <f t="shared" si="7"/>
        <v>0</v>
      </c>
      <c r="L182" s="69"/>
    </row>
    <row r="183" spans="2:12">
      <c r="B183" t="s">
        <v>512</v>
      </c>
      <c r="C183" s="72" t="s">
        <v>930</v>
      </c>
      <c r="D183" s="121" t="s">
        <v>931</v>
      </c>
      <c r="E183" s="67" t="s">
        <v>280</v>
      </c>
      <c r="F183" s="67"/>
      <c r="G183" s="67"/>
      <c r="H183" s="67"/>
      <c r="I183" s="67"/>
      <c r="J183" s="67">
        <v>1</v>
      </c>
      <c r="K183" s="68">
        <f t="shared" si="7"/>
        <v>1</v>
      </c>
      <c r="L183" s="69"/>
    </row>
    <row r="184" spans="2:12">
      <c r="B184" t="s">
        <v>554</v>
      </c>
      <c r="C184" s="72"/>
      <c r="D184" s="121" t="s">
        <v>668</v>
      </c>
      <c r="E184" s="67"/>
      <c r="F184" s="67"/>
      <c r="G184" s="67"/>
      <c r="H184" s="67"/>
      <c r="I184" s="67"/>
      <c r="J184" s="67"/>
      <c r="K184" s="68"/>
      <c r="L184" s="69"/>
    </row>
    <row r="185" spans="2:12">
      <c r="C185" s="234"/>
      <c r="D185" s="123" t="s">
        <v>932</v>
      </c>
      <c r="E185" s="67"/>
      <c r="F185" s="67"/>
      <c r="G185" s="67"/>
      <c r="H185" s="67"/>
      <c r="I185" s="67"/>
      <c r="J185" s="67"/>
      <c r="K185" s="68"/>
      <c r="L185" s="69"/>
    </row>
    <row r="186" spans="2:12" ht="31.2">
      <c r="C186" s="235"/>
      <c r="D186" s="123" t="s">
        <v>933</v>
      </c>
      <c r="E186" s="67"/>
      <c r="F186" s="67"/>
      <c r="G186" s="67"/>
      <c r="H186" s="67"/>
      <c r="I186" s="67"/>
      <c r="J186" s="67"/>
      <c r="K186" s="68"/>
      <c r="L186" s="69"/>
    </row>
    <row r="187" spans="2:12" ht="31.2">
      <c r="C187" s="236"/>
      <c r="D187" s="123" t="s">
        <v>934</v>
      </c>
      <c r="E187" s="67"/>
      <c r="F187" s="67"/>
      <c r="G187" s="67"/>
      <c r="H187" s="67"/>
      <c r="I187" s="67"/>
      <c r="J187" s="67"/>
      <c r="K187" s="68"/>
      <c r="L187" s="69"/>
    </row>
    <row r="188" spans="2:12">
      <c r="B188" t="s">
        <v>507</v>
      </c>
      <c r="C188" s="72" t="s">
        <v>935</v>
      </c>
      <c r="D188" s="243" t="s">
        <v>936</v>
      </c>
      <c r="E188" s="244"/>
      <c r="F188" s="244"/>
      <c r="G188" s="244"/>
      <c r="H188" s="244"/>
      <c r="I188" s="244"/>
      <c r="J188" s="244"/>
      <c r="K188" s="244"/>
      <c r="L188" s="245"/>
    </row>
    <row r="189" spans="2:12">
      <c r="B189" t="s">
        <v>512</v>
      </c>
      <c r="C189" s="72" t="s">
        <v>937</v>
      </c>
      <c r="D189" s="121" t="s">
        <v>938</v>
      </c>
      <c r="E189" s="67" t="s">
        <v>280</v>
      </c>
      <c r="F189" s="67"/>
      <c r="G189" s="67"/>
      <c r="H189" s="67"/>
      <c r="I189" s="67"/>
      <c r="J189" s="67">
        <v>1</v>
      </c>
      <c r="K189" s="68">
        <f t="shared" si="7"/>
        <v>1</v>
      </c>
      <c r="L189" s="69"/>
    </row>
    <row r="190" spans="2:12">
      <c r="B190" t="s">
        <v>554</v>
      </c>
      <c r="C190" s="72"/>
      <c r="D190" s="121" t="s">
        <v>668</v>
      </c>
      <c r="E190" s="67"/>
      <c r="F190" s="67"/>
      <c r="G190" s="67"/>
      <c r="H190" s="67"/>
      <c r="I190" s="67"/>
      <c r="J190" s="67"/>
      <c r="K190" s="68"/>
      <c r="L190" s="69"/>
    </row>
    <row r="191" spans="2:12" ht="31.2">
      <c r="C191" s="234"/>
      <c r="D191" s="123" t="s">
        <v>939</v>
      </c>
      <c r="E191" s="67"/>
      <c r="F191" s="67"/>
      <c r="G191" s="67"/>
      <c r="H191" s="67"/>
      <c r="I191" s="67"/>
      <c r="J191" s="67"/>
      <c r="K191" s="68"/>
      <c r="L191" s="69"/>
    </row>
    <row r="192" spans="2:12" ht="31.2">
      <c r="C192" s="236"/>
      <c r="D192" s="123" t="s">
        <v>940</v>
      </c>
      <c r="E192" s="67"/>
      <c r="F192" s="67"/>
      <c r="G192" s="67"/>
      <c r="H192" s="67"/>
      <c r="I192" s="67"/>
      <c r="J192" s="67"/>
      <c r="K192" s="68"/>
      <c r="L192" s="69"/>
    </row>
    <row r="193" spans="2:12">
      <c r="B193" t="s">
        <v>507</v>
      </c>
      <c r="C193" s="72" t="s">
        <v>941</v>
      </c>
      <c r="D193" s="243" t="s">
        <v>942</v>
      </c>
      <c r="E193" s="244"/>
      <c r="F193" s="244"/>
      <c r="G193" s="244"/>
      <c r="H193" s="244"/>
      <c r="I193" s="244"/>
      <c r="J193" s="244"/>
      <c r="K193" s="244"/>
      <c r="L193" s="245"/>
    </row>
    <row r="194" spans="2:12">
      <c r="B194" t="s">
        <v>512</v>
      </c>
      <c r="C194" s="72" t="s">
        <v>943</v>
      </c>
      <c r="D194" s="121" t="s">
        <v>944</v>
      </c>
      <c r="E194" s="67" t="s">
        <v>280</v>
      </c>
      <c r="F194" s="67"/>
      <c r="G194" s="67"/>
      <c r="H194" s="67"/>
      <c r="I194" s="67"/>
      <c r="J194" s="67">
        <v>1</v>
      </c>
      <c r="K194" s="68">
        <f t="shared" si="7"/>
        <v>1</v>
      </c>
      <c r="L194" s="69"/>
    </row>
    <row r="195" spans="2:12">
      <c r="B195" t="s">
        <v>554</v>
      </c>
      <c r="C195" s="72"/>
      <c r="D195" s="121" t="s">
        <v>668</v>
      </c>
      <c r="E195" s="67"/>
      <c r="F195" s="67"/>
      <c r="G195" s="67"/>
      <c r="H195" s="67"/>
      <c r="I195" s="67"/>
      <c r="J195" s="67"/>
      <c r="K195" s="68"/>
      <c r="L195" s="69"/>
    </row>
    <row r="196" spans="2:12">
      <c r="C196" s="72"/>
      <c r="D196" s="123" t="s">
        <v>945</v>
      </c>
      <c r="E196" s="67"/>
      <c r="F196" s="67"/>
      <c r="G196" s="67"/>
      <c r="H196" s="67"/>
      <c r="I196" s="67"/>
      <c r="J196" s="67"/>
      <c r="K196" s="68"/>
      <c r="L196" s="69"/>
    </row>
  </sheetData>
  <mergeCells count="33">
    <mergeCell ref="D167:L167"/>
    <mergeCell ref="D176:L176"/>
    <mergeCell ref="D188:L188"/>
    <mergeCell ref="D193:L193"/>
    <mergeCell ref="D116:L116"/>
    <mergeCell ref="D126:L126"/>
    <mergeCell ref="D129:L129"/>
    <mergeCell ref="D139:L139"/>
    <mergeCell ref="D147:L147"/>
    <mergeCell ref="D148:L148"/>
    <mergeCell ref="D157:L157"/>
    <mergeCell ref="D164:L164"/>
    <mergeCell ref="E3:L3"/>
    <mergeCell ref="C81:C82"/>
    <mergeCell ref="C77:C78"/>
    <mergeCell ref="C85:C87"/>
    <mergeCell ref="C155:C156"/>
    <mergeCell ref="D37:L37"/>
    <mergeCell ref="D42:L42"/>
    <mergeCell ref="D60:L60"/>
    <mergeCell ref="D31:L31"/>
    <mergeCell ref="D14:L14"/>
    <mergeCell ref="D4:L4"/>
    <mergeCell ref="D100:L100"/>
    <mergeCell ref="D88:L88"/>
    <mergeCell ref="D89:L89"/>
    <mergeCell ref="C185:C187"/>
    <mergeCell ref="C191:C192"/>
    <mergeCell ref="C7:C13"/>
    <mergeCell ref="C27:C30"/>
    <mergeCell ref="C64:C65"/>
    <mergeCell ref="C68:C69"/>
    <mergeCell ref="C72:C73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5BE5-1FB7-4E07-8887-7E1B4F7A4C7A}">
  <dimension ref="A1:K565"/>
  <sheetViews>
    <sheetView topLeftCell="B1" workbookViewId="0">
      <pane ySplit="2" topLeftCell="A37" activePane="bottomLeft" state="frozen"/>
      <selection activeCell="B1" sqref="B1"/>
      <selection pane="bottomLeft" activeCell="C2" sqref="C2:K2"/>
    </sheetView>
  </sheetViews>
  <sheetFormatPr defaultRowHeight="13.2"/>
  <cols>
    <col min="1" max="1" width="0.44140625" customWidth="1"/>
    <col min="3" max="3" width="58.21875" style="22" customWidth="1"/>
    <col min="4" max="4" width="8.77734375" style="117"/>
    <col min="5" max="9" width="11.21875" style="117" customWidth="1"/>
    <col min="10" max="10" width="11.21875" style="118" customWidth="1"/>
    <col min="11" max="11" width="27.5546875" style="22" customWidth="1"/>
  </cols>
  <sheetData>
    <row r="1" spans="1:11">
      <c r="A1" s="4"/>
    </row>
    <row r="2" spans="1:11" ht="31.2">
      <c r="A2" s="5"/>
      <c r="C2" s="119" t="s">
        <v>661</v>
      </c>
      <c r="D2" s="57" t="s">
        <v>7</v>
      </c>
      <c r="E2" s="58" t="s">
        <v>1143</v>
      </c>
      <c r="F2" s="58" t="s">
        <v>1144</v>
      </c>
      <c r="G2" s="58" t="s">
        <v>1145</v>
      </c>
      <c r="H2" s="58" t="s">
        <v>1146</v>
      </c>
      <c r="I2" s="58" t="s">
        <v>1147</v>
      </c>
      <c r="J2" s="59" t="s">
        <v>1138</v>
      </c>
      <c r="K2" s="60" t="s">
        <v>1139</v>
      </c>
    </row>
    <row r="3" spans="1:11" ht="15.6">
      <c r="A3" s="5"/>
      <c r="C3" s="249" t="s">
        <v>946</v>
      </c>
      <c r="D3" s="250"/>
      <c r="E3" s="250"/>
      <c r="F3" s="250"/>
      <c r="G3" s="250"/>
      <c r="H3" s="250"/>
      <c r="I3" s="250"/>
      <c r="J3" s="250"/>
      <c r="K3" s="251"/>
    </row>
    <row r="4" spans="1:11" ht="15.6">
      <c r="A4" s="5"/>
      <c r="C4" s="246" t="s">
        <v>947</v>
      </c>
      <c r="D4" s="247"/>
      <c r="E4" s="247"/>
      <c r="F4" s="247"/>
      <c r="G4" s="247"/>
      <c r="H4" s="247"/>
      <c r="I4" s="247"/>
      <c r="J4" s="247"/>
      <c r="K4" s="248"/>
    </row>
    <row r="5" spans="1:11" ht="31.2">
      <c r="A5" s="5"/>
      <c r="C5" s="125" t="s">
        <v>948</v>
      </c>
      <c r="D5" s="124" t="s">
        <v>16</v>
      </c>
      <c r="E5" s="124">
        <v>1</v>
      </c>
      <c r="F5" s="124"/>
      <c r="G5" s="124"/>
      <c r="H5" s="124"/>
      <c r="I5" s="124"/>
      <c r="J5" s="128">
        <f>E5+F5+G5+H5+I5</f>
        <v>1</v>
      </c>
      <c r="K5" s="127"/>
    </row>
    <row r="6" spans="1:11" ht="15.6">
      <c r="A6" s="5"/>
      <c r="C6" s="125" t="s">
        <v>949</v>
      </c>
      <c r="D6" s="124" t="s">
        <v>16</v>
      </c>
      <c r="E6" s="124">
        <v>1</v>
      </c>
      <c r="F6" s="124"/>
      <c r="G6" s="124"/>
      <c r="H6" s="124"/>
      <c r="I6" s="124"/>
      <c r="J6" s="128">
        <f t="shared" ref="J6:J49" si="0">E6+F6+G6+H6+I6</f>
        <v>1</v>
      </c>
      <c r="K6" s="127"/>
    </row>
    <row r="7" spans="1:11" ht="15.6">
      <c r="A7" s="5"/>
      <c r="C7" s="246" t="s">
        <v>950</v>
      </c>
      <c r="D7" s="247"/>
      <c r="E7" s="247"/>
      <c r="F7" s="247"/>
      <c r="G7" s="247"/>
      <c r="H7" s="247"/>
      <c r="I7" s="247"/>
      <c r="J7" s="247"/>
      <c r="K7" s="248"/>
    </row>
    <row r="8" spans="1:11" ht="33.6" customHeight="1">
      <c r="A8" s="5"/>
      <c r="C8" s="125" t="s">
        <v>951</v>
      </c>
      <c r="D8" s="124" t="s">
        <v>16</v>
      </c>
      <c r="E8" s="124"/>
      <c r="F8" s="124">
        <v>4</v>
      </c>
      <c r="G8" s="124">
        <v>4</v>
      </c>
      <c r="H8" s="124">
        <v>4</v>
      </c>
      <c r="I8" s="124"/>
      <c r="J8" s="128">
        <f t="shared" si="0"/>
        <v>12</v>
      </c>
      <c r="K8" s="127" t="s">
        <v>952</v>
      </c>
    </row>
    <row r="9" spans="1:11" ht="15.6">
      <c r="A9" s="5"/>
      <c r="C9" s="125" t="s">
        <v>953</v>
      </c>
      <c r="D9" s="124" t="s">
        <v>16</v>
      </c>
      <c r="E9" s="124"/>
      <c r="F9" s="124">
        <v>4</v>
      </c>
      <c r="G9" s="124">
        <v>4</v>
      </c>
      <c r="H9" s="124">
        <v>4</v>
      </c>
      <c r="I9" s="124"/>
      <c r="J9" s="128">
        <f t="shared" si="0"/>
        <v>12</v>
      </c>
      <c r="K9" s="127"/>
    </row>
    <row r="10" spans="1:11" ht="41.55" customHeight="1">
      <c r="A10" s="5"/>
      <c r="C10" s="125" t="s">
        <v>954</v>
      </c>
      <c r="D10" s="124" t="s">
        <v>16</v>
      </c>
      <c r="E10" s="124"/>
      <c r="F10" s="124">
        <v>5</v>
      </c>
      <c r="G10" s="124">
        <v>6</v>
      </c>
      <c r="H10" s="124">
        <v>4</v>
      </c>
      <c r="I10" s="124"/>
      <c r="J10" s="128">
        <f t="shared" si="0"/>
        <v>15</v>
      </c>
      <c r="K10" s="127" t="s">
        <v>1152</v>
      </c>
    </row>
    <row r="11" spans="1:11" ht="15.6">
      <c r="A11" s="5"/>
      <c r="C11" s="125" t="s">
        <v>955</v>
      </c>
      <c r="D11" s="124" t="s">
        <v>16</v>
      </c>
      <c r="E11" s="124"/>
      <c r="F11" s="124">
        <v>5</v>
      </c>
      <c r="G11" s="124">
        <v>6</v>
      </c>
      <c r="H11" s="124">
        <v>4</v>
      </c>
      <c r="I11" s="124"/>
      <c r="J11" s="128">
        <f t="shared" si="0"/>
        <v>15</v>
      </c>
      <c r="K11" s="127"/>
    </row>
    <row r="12" spans="1:11" ht="31.2">
      <c r="A12" s="5"/>
      <c r="C12" s="125" t="s">
        <v>956</v>
      </c>
      <c r="D12" s="124" t="s">
        <v>16</v>
      </c>
      <c r="E12" s="124"/>
      <c r="F12" s="124">
        <v>1</v>
      </c>
      <c r="G12" s="124">
        <v>2</v>
      </c>
      <c r="H12" s="124">
        <v>2</v>
      </c>
      <c r="I12" s="124"/>
      <c r="J12" s="128">
        <f t="shared" si="0"/>
        <v>5</v>
      </c>
      <c r="K12" s="127"/>
    </row>
    <row r="13" spans="1:11" ht="15.6">
      <c r="A13" s="5"/>
      <c r="C13" s="125" t="s">
        <v>957</v>
      </c>
      <c r="D13" s="124" t="s">
        <v>16</v>
      </c>
      <c r="E13" s="124"/>
      <c r="F13" s="124">
        <v>1</v>
      </c>
      <c r="G13" s="124">
        <v>2</v>
      </c>
      <c r="H13" s="124">
        <v>2</v>
      </c>
      <c r="I13" s="124"/>
      <c r="J13" s="128">
        <f t="shared" si="0"/>
        <v>5</v>
      </c>
      <c r="K13" s="127"/>
    </row>
    <row r="14" spans="1:11" ht="31.2">
      <c r="A14" s="5"/>
      <c r="C14" s="125" t="s">
        <v>958</v>
      </c>
      <c r="D14" s="124" t="s">
        <v>16</v>
      </c>
      <c r="E14" s="124"/>
      <c r="F14" s="124">
        <v>3</v>
      </c>
      <c r="G14" s="124">
        <v>2</v>
      </c>
      <c r="H14" s="124">
        <v>1</v>
      </c>
      <c r="I14" s="124"/>
      <c r="J14" s="128">
        <f t="shared" si="0"/>
        <v>6</v>
      </c>
      <c r="K14" s="127"/>
    </row>
    <row r="15" spans="1:11" ht="15.6">
      <c r="A15" s="5"/>
      <c r="C15" s="125" t="s">
        <v>959</v>
      </c>
      <c r="D15" s="124" t="s">
        <v>16</v>
      </c>
      <c r="E15" s="124"/>
      <c r="F15" s="124">
        <v>3</v>
      </c>
      <c r="G15" s="124">
        <v>2</v>
      </c>
      <c r="H15" s="124">
        <v>1</v>
      </c>
      <c r="I15" s="124"/>
      <c r="J15" s="128">
        <f t="shared" si="0"/>
        <v>6</v>
      </c>
      <c r="K15" s="127"/>
    </row>
    <row r="16" spans="1:11" ht="31.2">
      <c r="A16" s="5"/>
      <c r="C16" s="125" t="s">
        <v>960</v>
      </c>
      <c r="D16" s="124" t="s">
        <v>16</v>
      </c>
      <c r="E16" s="124"/>
      <c r="F16" s="124">
        <v>2</v>
      </c>
      <c r="G16" s="124">
        <v>2</v>
      </c>
      <c r="H16" s="124">
        <v>2</v>
      </c>
      <c r="I16" s="124"/>
      <c r="J16" s="128">
        <f t="shared" si="0"/>
        <v>6</v>
      </c>
      <c r="K16" s="127"/>
    </row>
    <row r="17" spans="1:11" ht="15.6">
      <c r="A17" s="5"/>
      <c r="C17" s="125" t="s">
        <v>961</v>
      </c>
      <c r="D17" s="124" t="s">
        <v>16</v>
      </c>
      <c r="E17" s="124"/>
      <c r="F17" s="124">
        <v>2</v>
      </c>
      <c r="G17" s="124">
        <v>2</v>
      </c>
      <c r="H17" s="124">
        <v>2</v>
      </c>
      <c r="I17" s="124"/>
      <c r="J17" s="128">
        <f t="shared" si="0"/>
        <v>6</v>
      </c>
      <c r="K17" s="127"/>
    </row>
    <row r="18" spans="1:11" ht="31.2">
      <c r="A18" s="5"/>
      <c r="C18" s="125" t="s">
        <v>962</v>
      </c>
      <c r="D18" s="124" t="s">
        <v>16</v>
      </c>
      <c r="E18" s="124"/>
      <c r="F18" s="124">
        <v>2</v>
      </c>
      <c r="G18" s="124">
        <v>6</v>
      </c>
      <c r="H18" s="124">
        <v>4</v>
      </c>
      <c r="I18" s="124"/>
      <c r="J18" s="128">
        <f t="shared" si="0"/>
        <v>12</v>
      </c>
      <c r="K18" s="127"/>
    </row>
    <row r="19" spans="1:11" ht="15.6">
      <c r="A19" s="5"/>
      <c r="C19" s="125" t="s">
        <v>963</v>
      </c>
      <c r="D19" s="124" t="s">
        <v>16</v>
      </c>
      <c r="E19" s="124"/>
      <c r="F19" s="124">
        <v>2</v>
      </c>
      <c r="G19" s="124">
        <v>6</v>
      </c>
      <c r="H19" s="124">
        <v>4</v>
      </c>
      <c r="I19" s="124"/>
      <c r="J19" s="128">
        <f t="shared" si="0"/>
        <v>12</v>
      </c>
      <c r="K19" s="127"/>
    </row>
    <row r="20" spans="1:11" ht="31.2">
      <c r="A20" s="5"/>
      <c r="C20" s="125" t="s">
        <v>964</v>
      </c>
      <c r="D20" s="124" t="s">
        <v>16</v>
      </c>
      <c r="E20" s="124"/>
      <c r="F20" s="124">
        <v>2</v>
      </c>
      <c r="G20" s="124"/>
      <c r="H20" s="124"/>
      <c r="I20" s="124"/>
      <c r="J20" s="128">
        <f t="shared" si="0"/>
        <v>2</v>
      </c>
      <c r="K20" s="127"/>
    </row>
    <row r="21" spans="1:11" ht="15.6">
      <c r="A21" s="5"/>
      <c r="C21" s="125" t="s">
        <v>965</v>
      </c>
      <c r="D21" s="124" t="s">
        <v>16</v>
      </c>
      <c r="E21" s="124"/>
      <c r="F21" s="124">
        <v>2</v>
      </c>
      <c r="G21" s="124"/>
      <c r="H21" s="124"/>
      <c r="I21" s="124"/>
      <c r="J21" s="128">
        <f t="shared" si="0"/>
        <v>2</v>
      </c>
      <c r="K21" s="127"/>
    </row>
    <row r="22" spans="1:11" ht="30" customHeight="1">
      <c r="A22" s="5"/>
      <c r="C22" s="246" t="s">
        <v>966</v>
      </c>
      <c r="D22" s="247"/>
      <c r="E22" s="247"/>
      <c r="F22" s="247"/>
      <c r="G22" s="247"/>
      <c r="H22" s="247"/>
      <c r="I22" s="247"/>
      <c r="J22" s="247"/>
      <c r="K22" s="248"/>
    </row>
    <row r="23" spans="1:11" ht="15.6">
      <c r="A23" s="5"/>
      <c r="C23" s="125" t="s">
        <v>967</v>
      </c>
      <c r="D23" s="124" t="s">
        <v>68</v>
      </c>
      <c r="E23" s="124"/>
      <c r="F23" s="124">
        <v>35</v>
      </c>
      <c r="G23" s="124">
        <v>40</v>
      </c>
      <c r="H23" s="124">
        <v>31</v>
      </c>
      <c r="I23" s="124"/>
      <c r="J23" s="128">
        <f t="shared" si="0"/>
        <v>106</v>
      </c>
      <c r="K23" s="127"/>
    </row>
    <row r="24" spans="1:11" ht="15.6">
      <c r="A24" s="5"/>
      <c r="C24" s="125" t="s">
        <v>953</v>
      </c>
      <c r="D24" s="124" t="s">
        <v>68</v>
      </c>
      <c r="E24" s="124"/>
      <c r="F24" s="124"/>
      <c r="G24" s="124"/>
      <c r="H24" s="124"/>
      <c r="I24" s="124"/>
      <c r="J24" s="128">
        <f t="shared" si="0"/>
        <v>0</v>
      </c>
      <c r="K24" s="127"/>
    </row>
    <row r="25" spans="1:11" ht="15.6">
      <c r="A25" s="5"/>
      <c r="C25" s="125" t="s">
        <v>968</v>
      </c>
      <c r="D25" s="124" t="s">
        <v>68</v>
      </c>
      <c r="E25" s="124"/>
      <c r="F25" s="124">
        <v>31</v>
      </c>
      <c r="G25" s="124">
        <v>42</v>
      </c>
      <c r="H25" s="124">
        <v>42</v>
      </c>
      <c r="I25" s="124"/>
      <c r="J25" s="128">
        <f t="shared" si="0"/>
        <v>115</v>
      </c>
      <c r="K25" s="127"/>
    </row>
    <row r="26" spans="1:11" ht="15.6">
      <c r="A26" s="5"/>
      <c r="C26" s="125" t="s">
        <v>955</v>
      </c>
      <c r="D26" s="124" t="s">
        <v>68</v>
      </c>
      <c r="E26" s="124"/>
      <c r="F26" s="124"/>
      <c r="G26" s="124"/>
      <c r="H26" s="124"/>
      <c r="I26" s="124"/>
      <c r="J26" s="128">
        <f t="shared" si="0"/>
        <v>0</v>
      </c>
      <c r="K26" s="127"/>
    </row>
    <row r="27" spans="1:11" ht="15.6">
      <c r="A27" s="5"/>
      <c r="C27" s="125" t="s">
        <v>969</v>
      </c>
      <c r="D27" s="124" t="s">
        <v>68</v>
      </c>
      <c r="E27" s="124"/>
      <c r="F27" s="124">
        <v>15</v>
      </c>
      <c r="G27" s="124">
        <v>12</v>
      </c>
      <c r="H27" s="124">
        <v>1</v>
      </c>
      <c r="I27" s="124"/>
      <c r="J27" s="128">
        <f t="shared" si="0"/>
        <v>28</v>
      </c>
      <c r="K27" s="127"/>
    </row>
    <row r="28" spans="1:11" ht="15.6">
      <c r="A28" s="5"/>
      <c r="C28" s="125" t="s">
        <v>957</v>
      </c>
      <c r="D28" s="124" t="s">
        <v>68</v>
      </c>
      <c r="E28" s="124"/>
      <c r="F28" s="124"/>
      <c r="G28" s="124"/>
      <c r="H28" s="124"/>
      <c r="I28" s="124"/>
      <c r="J28" s="128">
        <f t="shared" si="0"/>
        <v>0</v>
      </c>
      <c r="K28" s="127"/>
    </row>
    <row r="29" spans="1:11" ht="15.6">
      <c r="A29" s="5"/>
      <c r="C29" s="125" t="s">
        <v>970</v>
      </c>
      <c r="D29" s="124" t="s">
        <v>68</v>
      </c>
      <c r="E29" s="124"/>
      <c r="F29" s="124">
        <v>1</v>
      </c>
      <c r="G29" s="124">
        <v>3</v>
      </c>
      <c r="H29" s="124">
        <v>10</v>
      </c>
      <c r="I29" s="124"/>
      <c r="J29" s="128">
        <f t="shared" si="0"/>
        <v>14</v>
      </c>
      <c r="K29" s="127"/>
    </row>
    <row r="30" spans="1:11" ht="15.6">
      <c r="A30" s="5"/>
      <c r="C30" s="125" t="s">
        <v>959</v>
      </c>
      <c r="D30" s="124" t="s">
        <v>68</v>
      </c>
      <c r="E30" s="124"/>
      <c r="F30" s="124"/>
      <c r="G30" s="124"/>
      <c r="H30" s="124"/>
      <c r="I30" s="124"/>
      <c r="J30" s="128">
        <f t="shared" si="0"/>
        <v>0</v>
      </c>
      <c r="K30" s="127"/>
    </row>
    <row r="31" spans="1:11" ht="15.6">
      <c r="A31" s="5"/>
      <c r="C31" s="125" t="s">
        <v>971</v>
      </c>
      <c r="D31" s="124" t="s">
        <v>68</v>
      </c>
      <c r="E31" s="124"/>
      <c r="F31" s="124">
        <v>10</v>
      </c>
      <c r="G31" s="124">
        <v>10</v>
      </c>
      <c r="H31" s="124">
        <v>2</v>
      </c>
      <c r="I31" s="124">
        <v>6</v>
      </c>
      <c r="J31" s="128">
        <f t="shared" si="0"/>
        <v>28</v>
      </c>
      <c r="K31" s="127"/>
    </row>
    <row r="32" spans="1:11" ht="15.6">
      <c r="A32" s="5"/>
      <c r="C32" s="125" t="s">
        <v>961</v>
      </c>
      <c r="D32" s="124" t="s">
        <v>68</v>
      </c>
      <c r="E32" s="124"/>
      <c r="F32" s="124"/>
      <c r="G32" s="124"/>
      <c r="H32" s="124"/>
      <c r="I32" s="124"/>
      <c r="J32" s="128">
        <f t="shared" si="0"/>
        <v>0</v>
      </c>
      <c r="K32" s="127"/>
    </row>
    <row r="33" spans="1:11" ht="15.6">
      <c r="A33" s="5"/>
      <c r="C33" s="125" t="s">
        <v>972</v>
      </c>
      <c r="D33" s="124" t="s">
        <v>68</v>
      </c>
      <c r="E33" s="124"/>
      <c r="F33" s="124">
        <v>1</v>
      </c>
      <c r="G33" s="124">
        <v>1</v>
      </c>
      <c r="H33" s="124">
        <v>4</v>
      </c>
      <c r="I33" s="124"/>
      <c r="J33" s="128">
        <f t="shared" si="0"/>
        <v>6</v>
      </c>
      <c r="K33" s="127"/>
    </row>
    <row r="34" spans="1:11" ht="15.6">
      <c r="A34" s="5"/>
      <c r="C34" s="125" t="s">
        <v>963</v>
      </c>
      <c r="D34" s="124" t="s">
        <v>68</v>
      </c>
      <c r="E34" s="124"/>
      <c r="F34" s="124"/>
      <c r="G34" s="124"/>
      <c r="H34" s="124"/>
      <c r="I34" s="124"/>
      <c r="J34" s="128">
        <f t="shared" si="0"/>
        <v>0</v>
      </c>
      <c r="K34" s="127"/>
    </row>
    <row r="35" spans="1:11" ht="15.6">
      <c r="A35" s="5"/>
      <c r="C35" s="125" t="s">
        <v>973</v>
      </c>
      <c r="D35" s="124" t="s">
        <v>68</v>
      </c>
      <c r="E35" s="124"/>
      <c r="F35" s="124">
        <v>1.5</v>
      </c>
      <c r="G35" s="124">
        <v>1.5</v>
      </c>
      <c r="H35" s="124"/>
      <c r="I35" s="124"/>
      <c r="J35" s="128">
        <f t="shared" si="0"/>
        <v>3</v>
      </c>
      <c r="K35" s="127"/>
    </row>
    <row r="36" spans="1:11" ht="15.6">
      <c r="A36" s="5"/>
      <c r="C36" s="125" t="s">
        <v>965</v>
      </c>
      <c r="D36" s="124" t="s">
        <v>68</v>
      </c>
      <c r="E36" s="124"/>
      <c r="F36" s="124"/>
      <c r="G36" s="124"/>
      <c r="H36" s="124"/>
      <c r="I36" s="124"/>
      <c r="J36" s="128">
        <f t="shared" si="0"/>
        <v>0</v>
      </c>
      <c r="K36" s="127"/>
    </row>
    <row r="37" spans="1:11" ht="15.6">
      <c r="A37" s="5"/>
      <c r="C37" s="125" t="s">
        <v>974</v>
      </c>
      <c r="D37" s="124" t="s">
        <v>68</v>
      </c>
      <c r="E37" s="124"/>
      <c r="F37" s="124"/>
      <c r="G37" s="124"/>
      <c r="H37" s="124">
        <v>4</v>
      </c>
      <c r="I37" s="124">
        <v>6</v>
      </c>
      <c r="J37" s="128">
        <f t="shared" si="0"/>
        <v>10</v>
      </c>
      <c r="K37" s="127"/>
    </row>
    <row r="38" spans="1:11" ht="15.6">
      <c r="A38" s="5"/>
      <c r="C38" s="125" t="s">
        <v>975</v>
      </c>
      <c r="D38" s="124" t="s">
        <v>68</v>
      </c>
      <c r="E38" s="124"/>
      <c r="F38" s="124"/>
      <c r="G38" s="124"/>
      <c r="H38" s="124"/>
      <c r="I38" s="124"/>
      <c r="J38" s="128">
        <f t="shared" si="0"/>
        <v>0</v>
      </c>
      <c r="K38" s="127"/>
    </row>
    <row r="39" spans="1:11" ht="15.6">
      <c r="A39" s="5"/>
      <c r="C39" s="246" t="s">
        <v>976</v>
      </c>
      <c r="D39" s="247"/>
      <c r="E39" s="247"/>
      <c r="F39" s="247"/>
      <c r="G39" s="247"/>
      <c r="H39" s="247"/>
      <c r="I39" s="247"/>
      <c r="J39" s="247"/>
      <c r="K39" s="248"/>
    </row>
    <row r="40" spans="1:11" ht="46.8">
      <c r="A40" s="5"/>
      <c r="C40" s="125" t="s">
        <v>977</v>
      </c>
      <c r="D40" s="124" t="s">
        <v>280</v>
      </c>
      <c r="E40" s="124">
        <v>1</v>
      </c>
      <c r="F40" s="124"/>
      <c r="G40" s="124"/>
      <c r="H40" s="124"/>
      <c r="I40" s="124"/>
      <c r="J40" s="128">
        <f t="shared" si="0"/>
        <v>1</v>
      </c>
      <c r="K40" s="127"/>
    </row>
    <row r="41" spans="1:11" ht="15.6">
      <c r="A41" s="5"/>
      <c r="C41" s="125" t="s">
        <v>978</v>
      </c>
      <c r="D41" s="124" t="s">
        <v>280</v>
      </c>
      <c r="E41" s="124">
        <v>1</v>
      </c>
      <c r="F41" s="124"/>
      <c r="G41" s="124"/>
      <c r="H41" s="124"/>
      <c r="I41" s="124"/>
      <c r="J41" s="128">
        <f t="shared" si="0"/>
        <v>1</v>
      </c>
      <c r="K41" s="127"/>
    </row>
    <row r="42" spans="1:11" ht="31.2">
      <c r="A42" s="5"/>
      <c r="C42" s="125" t="s">
        <v>979</v>
      </c>
      <c r="D42" s="124" t="s">
        <v>980</v>
      </c>
      <c r="E42" s="124"/>
      <c r="F42" s="124"/>
      <c r="G42" s="124"/>
      <c r="H42" s="124"/>
      <c r="I42" s="124"/>
      <c r="J42" s="128">
        <f t="shared" si="0"/>
        <v>0</v>
      </c>
      <c r="K42" s="127"/>
    </row>
    <row r="43" spans="1:11" ht="15.6">
      <c r="A43" s="5"/>
      <c r="C43" s="125" t="s">
        <v>981</v>
      </c>
      <c r="D43" s="124" t="s">
        <v>980</v>
      </c>
      <c r="E43" s="124"/>
      <c r="F43" s="124"/>
      <c r="G43" s="124"/>
      <c r="H43" s="124"/>
      <c r="I43" s="124"/>
      <c r="J43" s="128">
        <f t="shared" si="0"/>
        <v>0</v>
      </c>
      <c r="K43" s="127"/>
    </row>
    <row r="44" spans="1:11" ht="15.6">
      <c r="A44" s="5"/>
      <c r="C44" s="125" t="s">
        <v>982</v>
      </c>
      <c r="D44" s="124"/>
      <c r="E44" s="124"/>
      <c r="F44" s="124"/>
      <c r="G44" s="124"/>
      <c r="H44" s="124"/>
      <c r="I44" s="124"/>
      <c r="J44" s="128"/>
      <c r="K44" s="127"/>
    </row>
    <row r="45" spans="1:11" ht="31.2">
      <c r="A45" s="5"/>
      <c r="C45" s="125" t="s">
        <v>983</v>
      </c>
      <c r="D45" s="124" t="s">
        <v>280</v>
      </c>
      <c r="E45" s="124"/>
      <c r="F45" s="124"/>
      <c r="G45" s="124"/>
      <c r="H45" s="124"/>
      <c r="I45" s="124"/>
      <c r="J45" s="128">
        <f t="shared" si="0"/>
        <v>0</v>
      </c>
      <c r="K45" s="127"/>
    </row>
    <row r="46" spans="1:11" ht="75.45" customHeight="1">
      <c r="A46" s="5"/>
      <c r="C46" s="125" t="s">
        <v>984</v>
      </c>
      <c r="D46" s="124" t="s">
        <v>280</v>
      </c>
      <c r="E46" s="124"/>
      <c r="F46" s="124"/>
      <c r="G46" s="124"/>
      <c r="H46" s="124"/>
      <c r="I46" s="124"/>
      <c r="J46" s="128">
        <f t="shared" si="0"/>
        <v>0</v>
      </c>
      <c r="K46" s="127" t="s">
        <v>985</v>
      </c>
    </row>
    <row r="47" spans="1:11" ht="15.6">
      <c r="A47" s="5"/>
      <c r="C47" s="125" t="s">
        <v>986</v>
      </c>
      <c r="D47" s="124" t="s">
        <v>16</v>
      </c>
      <c r="E47" s="124"/>
      <c r="F47" s="124"/>
      <c r="G47" s="124"/>
      <c r="H47" s="124"/>
      <c r="I47" s="124"/>
      <c r="J47" s="128">
        <f t="shared" si="0"/>
        <v>0</v>
      </c>
      <c r="K47" s="127"/>
    </row>
    <row r="48" spans="1:11" ht="15.6">
      <c r="A48" s="5"/>
      <c r="C48" s="125" t="s">
        <v>987</v>
      </c>
      <c r="D48" s="124" t="s">
        <v>16</v>
      </c>
      <c r="E48" s="124"/>
      <c r="F48" s="124"/>
      <c r="G48" s="124"/>
      <c r="H48" s="124"/>
      <c r="I48" s="124"/>
      <c r="J48" s="128">
        <f t="shared" si="0"/>
        <v>0</v>
      </c>
      <c r="K48" s="127"/>
    </row>
    <row r="49" spans="1:11" ht="15.6">
      <c r="A49" s="5"/>
      <c r="C49" s="125" t="s">
        <v>288</v>
      </c>
      <c r="D49" s="124" t="s">
        <v>16</v>
      </c>
      <c r="E49" s="124"/>
      <c r="F49" s="124"/>
      <c r="G49" s="124"/>
      <c r="H49" s="124"/>
      <c r="I49" s="124"/>
      <c r="J49" s="128">
        <f t="shared" si="0"/>
        <v>0</v>
      </c>
      <c r="K49" s="127"/>
    </row>
    <row r="50" spans="1:11" ht="15.6">
      <c r="A50" s="5"/>
      <c r="C50" s="125"/>
      <c r="D50" s="124"/>
      <c r="E50" s="124"/>
      <c r="F50" s="124"/>
      <c r="G50" s="124"/>
      <c r="H50" s="124"/>
      <c r="I50" s="124"/>
      <c r="J50" s="128">
        <f>E50+F50+G50+H50+I50</f>
        <v>0</v>
      </c>
      <c r="K50" s="127"/>
    </row>
    <row r="51" spans="1:11" ht="15.6">
      <c r="A51" s="5"/>
      <c r="C51" s="126" t="s">
        <v>988</v>
      </c>
      <c r="D51" s="124"/>
      <c r="E51" s="124"/>
      <c r="F51" s="124"/>
      <c r="G51" s="124"/>
      <c r="H51" s="124"/>
      <c r="I51" s="124">
        <v>1</v>
      </c>
      <c r="J51" s="128">
        <f>E51+F51+G51+H51+I51</f>
        <v>1</v>
      </c>
      <c r="K51" s="127"/>
    </row>
    <row r="52" spans="1:11">
      <c r="A52" s="5"/>
    </row>
    <row r="53" spans="1:11">
      <c r="A53" s="5"/>
    </row>
    <row r="54" spans="1:11">
      <c r="A54" s="5"/>
    </row>
    <row r="55" spans="1:11">
      <c r="A55" s="5"/>
    </row>
    <row r="56" spans="1:11">
      <c r="A56" s="8"/>
    </row>
    <row r="57" spans="1:11">
      <c r="A57" s="8"/>
    </row>
    <row r="58" spans="1:11">
      <c r="A58" s="8"/>
    </row>
    <row r="59" spans="1:11">
      <c r="A59" s="8"/>
    </row>
    <row r="60" spans="1:11">
      <c r="A60" s="8"/>
    </row>
    <row r="61" spans="1:11">
      <c r="A61" s="8"/>
    </row>
    <row r="62" spans="1:11">
      <c r="A62" s="8"/>
    </row>
    <row r="63" spans="1:11">
      <c r="A63" s="8"/>
    </row>
    <row r="64" spans="1:1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7"/>
    </row>
    <row r="73" spans="1:1">
      <c r="A73" s="8"/>
    </row>
    <row r="74" spans="1:1">
      <c r="A74" s="8"/>
    </row>
    <row r="75" spans="1:1">
      <c r="A75" s="8"/>
    </row>
    <row r="76" spans="1:1">
      <c r="A76" s="7"/>
    </row>
    <row r="77" spans="1:1">
      <c r="A77" s="8"/>
    </row>
    <row r="78" spans="1:1">
      <c r="A78" s="8"/>
    </row>
    <row r="79" spans="1:1">
      <c r="A79" s="7"/>
    </row>
    <row r="80" spans="1:1">
      <c r="A80" s="8"/>
    </row>
    <row r="81" spans="1:1">
      <c r="A81" s="8"/>
    </row>
    <row r="82" spans="1:1">
      <c r="A82" s="7"/>
    </row>
    <row r="83" spans="1:1">
      <c r="A83" s="8"/>
    </row>
    <row r="84" spans="1:1">
      <c r="A84" s="8"/>
    </row>
    <row r="85" spans="1:1">
      <c r="A85" s="8"/>
    </row>
    <row r="86" spans="1:1">
      <c r="A86" s="7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7"/>
    </row>
    <row r="92" spans="1:1">
      <c r="A92" s="8"/>
    </row>
    <row r="93" spans="1:1">
      <c r="A93" s="8"/>
    </row>
    <row r="94" spans="1:1">
      <c r="A94" s="6"/>
    </row>
    <row r="95" spans="1:1">
      <c r="A95" s="7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7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7"/>
    </row>
    <row r="128" spans="1:1">
      <c r="A128" s="8"/>
    </row>
    <row r="129" spans="1:1">
      <c r="A129" s="8"/>
    </row>
    <row r="130" spans="1:1">
      <c r="A130" s="7"/>
    </row>
    <row r="131" spans="1:1">
      <c r="A131" s="8"/>
    </row>
    <row r="132" spans="1:1">
      <c r="A132" s="8"/>
    </row>
    <row r="133" spans="1:1">
      <c r="A133" s="7"/>
    </row>
    <row r="134" spans="1:1">
      <c r="A134" s="8"/>
    </row>
    <row r="135" spans="1:1">
      <c r="A135" s="8"/>
    </row>
    <row r="136" spans="1:1">
      <c r="A136" s="7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7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7"/>
    </row>
    <row r="148" spans="1:1">
      <c r="A148" s="8"/>
    </row>
    <row r="149" spans="1:1">
      <c r="A149" s="8"/>
    </row>
    <row r="150" spans="1:1">
      <c r="A150" s="6"/>
    </row>
    <row r="151" spans="1:1">
      <c r="A151" s="6"/>
    </row>
    <row r="152" spans="1:1">
      <c r="A152" s="7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7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7"/>
    </row>
    <row r="181" spans="1:1">
      <c r="A181" s="8"/>
    </row>
    <row r="182" spans="1:1">
      <c r="A182" s="7"/>
    </row>
    <row r="183" spans="1:1">
      <c r="A183" s="8"/>
    </row>
    <row r="184" spans="1:1">
      <c r="A184" s="8"/>
    </row>
    <row r="185" spans="1:1">
      <c r="A185" s="7"/>
    </row>
    <row r="186" spans="1:1">
      <c r="A186" s="8"/>
    </row>
    <row r="187" spans="1:1">
      <c r="A187" s="8"/>
    </row>
    <row r="188" spans="1:1">
      <c r="A188" s="7"/>
    </row>
    <row r="189" spans="1:1">
      <c r="A189" s="8"/>
    </row>
    <row r="190" spans="1:1">
      <c r="A190" s="7"/>
    </row>
    <row r="191" spans="1:1">
      <c r="A191" s="8"/>
    </row>
    <row r="192" spans="1:1">
      <c r="A192" s="8"/>
    </row>
    <row r="193" spans="1:1">
      <c r="A193" s="7"/>
    </row>
    <row r="194" spans="1:1">
      <c r="A194" s="8"/>
    </row>
    <row r="195" spans="1:1">
      <c r="A195" s="8"/>
    </row>
    <row r="196" spans="1:1">
      <c r="A196" s="6"/>
    </row>
    <row r="197" spans="1:1">
      <c r="A197" s="6"/>
    </row>
    <row r="198" spans="1:1">
      <c r="A198" s="7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7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7"/>
    </row>
    <row r="227" spans="1:1">
      <c r="A227" s="8"/>
    </row>
    <row r="228" spans="1:1">
      <c r="A228" s="7"/>
    </row>
    <row r="229" spans="1:1">
      <c r="A229" s="8"/>
    </row>
    <row r="230" spans="1:1">
      <c r="A230" s="8"/>
    </row>
    <row r="231" spans="1:1">
      <c r="A231" s="7"/>
    </row>
    <row r="232" spans="1:1">
      <c r="A232" s="8"/>
    </row>
    <row r="233" spans="1:1">
      <c r="A233" s="8"/>
    </row>
    <row r="234" spans="1:1">
      <c r="A234" s="7"/>
    </row>
    <row r="235" spans="1:1">
      <c r="A235" s="8"/>
    </row>
    <row r="236" spans="1:1">
      <c r="A236" s="7"/>
    </row>
    <row r="237" spans="1:1">
      <c r="A237" s="8"/>
    </row>
    <row r="238" spans="1:1">
      <c r="A238" s="8"/>
    </row>
    <row r="239" spans="1:1">
      <c r="A239" s="8"/>
    </row>
    <row r="240" spans="1:1">
      <c r="A240" s="7"/>
    </row>
    <row r="241" spans="1:1">
      <c r="A241" s="8"/>
    </row>
    <row r="242" spans="1:1">
      <c r="A242" s="8"/>
    </row>
    <row r="243" spans="1:1">
      <c r="A243" s="6"/>
    </row>
    <row r="244" spans="1:1">
      <c r="A244" s="6"/>
    </row>
    <row r="245" spans="1:1">
      <c r="A245" s="7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7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7"/>
    </row>
    <row r="278" spans="1:1">
      <c r="A278" s="8"/>
    </row>
    <row r="279" spans="1:1">
      <c r="A279" s="8"/>
    </row>
    <row r="280" spans="1:1">
      <c r="A280" s="7"/>
    </row>
    <row r="281" spans="1:1">
      <c r="A281" s="8"/>
    </row>
    <row r="282" spans="1:1">
      <c r="A282" s="8"/>
    </row>
    <row r="283" spans="1:1">
      <c r="A283" s="7"/>
    </row>
    <row r="284" spans="1:1">
      <c r="A284" s="8"/>
    </row>
    <row r="285" spans="1:1">
      <c r="A285" s="8"/>
    </row>
    <row r="286" spans="1:1">
      <c r="A286" s="7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7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7"/>
    </row>
    <row r="298" spans="1:1">
      <c r="A298" s="8"/>
    </row>
    <row r="299" spans="1:1">
      <c r="A299" s="8"/>
    </row>
    <row r="300" spans="1:1">
      <c r="A300" s="6"/>
    </row>
    <row r="301" spans="1:1">
      <c r="A301" s="6"/>
    </row>
    <row r="302" spans="1:1">
      <c r="A302" s="7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7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7"/>
    </row>
    <row r="334" spans="1:1">
      <c r="A334" s="8"/>
    </row>
    <row r="335" spans="1:1">
      <c r="A335" s="8"/>
    </row>
    <row r="336" spans="1:1">
      <c r="A336" s="8"/>
    </row>
    <row r="337" spans="1:1">
      <c r="A337" s="7"/>
    </row>
    <row r="338" spans="1:1">
      <c r="A338" s="8"/>
    </row>
    <row r="339" spans="1:1">
      <c r="A339" s="8"/>
    </row>
    <row r="340" spans="1:1">
      <c r="A340" s="7"/>
    </row>
    <row r="341" spans="1:1">
      <c r="A341" s="8"/>
    </row>
    <row r="342" spans="1:1">
      <c r="A342" s="8"/>
    </row>
    <row r="343" spans="1:1">
      <c r="A343" s="7"/>
    </row>
    <row r="344" spans="1:1">
      <c r="A344" s="8"/>
    </row>
    <row r="345" spans="1:1">
      <c r="A345" s="8"/>
    </row>
    <row r="346" spans="1:1">
      <c r="A346" s="8"/>
    </row>
    <row r="347" spans="1:1">
      <c r="A347" s="7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7"/>
    </row>
    <row r="353" spans="1:1">
      <c r="A353" s="8"/>
    </row>
    <row r="354" spans="1:1">
      <c r="A354" s="8"/>
    </row>
    <row r="355" spans="1:1">
      <c r="A355" s="6"/>
    </row>
    <row r="356" spans="1:1">
      <c r="A356" s="6"/>
    </row>
    <row r="357" spans="1:1">
      <c r="A357" s="7"/>
    </row>
    <row r="358" spans="1:1">
      <c r="A358" s="8"/>
    </row>
    <row r="359" spans="1:1">
      <c r="A359" s="8"/>
    </row>
    <row r="360" spans="1:1">
      <c r="A360" s="7"/>
    </row>
    <row r="361" spans="1:1">
      <c r="A361" s="8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7"/>
    </row>
    <row r="369" spans="1:1">
      <c r="A369" s="8"/>
    </row>
    <row r="370" spans="1:1">
      <c r="A370" s="7"/>
    </row>
    <row r="371" spans="1:1">
      <c r="A371" s="8"/>
    </row>
    <row r="372" spans="1:1">
      <c r="A372" s="8"/>
    </row>
    <row r="373" spans="1:1">
      <c r="A373" s="7"/>
    </row>
    <row r="374" spans="1:1">
      <c r="A374" s="8"/>
    </row>
    <row r="375" spans="1:1">
      <c r="A375" s="6"/>
    </row>
    <row r="376" spans="1:1">
      <c r="A376" s="6"/>
    </row>
    <row r="377" spans="1:1">
      <c r="A377" s="7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7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7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6"/>
    </row>
    <row r="406" spans="1:1">
      <c r="A406" s="6"/>
    </row>
    <row r="407" spans="1:1">
      <c r="A407" s="7"/>
    </row>
    <row r="408" spans="1:1">
      <c r="A408" s="8"/>
    </row>
    <row r="409" spans="1:1">
      <c r="A409" s="7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7"/>
    </row>
    <row r="417" spans="1:1">
      <c r="A417" s="8"/>
    </row>
    <row r="418" spans="1:1">
      <c r="A418" s="7"/>
    </row>
    <row r="419" spans="1:1">
      <c r="A419" s="8"/>
    </row>
    <row r="420" spans="1:1">
      <c r="A420" s="8"/>
    </row>
    <row r="421" spans="1:1">
      <c r="A421" s="7"/>
    </row>
    <row r="422" spans="1:1">
      <c r="A422" s="8"/>
    </row>
    <row r="423" spans="1:1">
      <c r="A423" s="8"/>
    </row>
    <row r="424" spans="1:1">
      <c r="A424" s="6"/>
    </row>
    <row r="425" spans="1:1">
      <c r="A425" s="6"/>
    </row>
    <row r="426" spans="1:1">
      <c r="A426" s="7"/>
    </row>
    <row r="427" spans="1:1">
      <c r="A427" s="8"/>
    </row>
    <row r="428" spans="1:1">
      <c r="A428" s="7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7"/>
    </row>
    <row r="444" spans="1:1">
      <c r="A444" s="8"/>
    </row>
    <row r="445" spans="1:1">
      <c r="A445" s="7"/>
    </row>
    <row r="446" spans="1:1">
      <c r="A446" s="8"/>
    </row>
    <row r="447" spans="1:1">
      <c r="A447" s="7"/>
    </row>
    <row r="448" spans="1:1">
      <c r="A448" s="8"/>
    </row>
    <row r="449" spans="1:1">
      <c r="A449" s="8"/>
    </row>
    <row r="450" spans="1:1">
      <c r="A450" s="7"/>
    </row>
    <row r="451" spans="1:1">
      <c r="A451" s="8"/>
    </row>
    <row r="452" spans="1:1">
      <c r="A452" s="8"/>
    </row>
    <row r="453" spans="1:1">
      <c r="A453" s="8"/>
    </row>
    <row r="454" spans="1:1">
      <c r="A454" s="7"/>
    </row>
    <row r="455" spans="1:1">
      <c r="A455" s="8"/>
    </row>
    <row r="456" spans="1:1">
      <c r="A456" s="6"/>
    </row>
    <row r="457" spans="1:1">
      <c r="A457" s="6"/>
    </row>
    <row r="458" spans="1:1">
      <c r="A458" s="7"/>
    </row>
    <row r="459" spans="1:1">
      <c r="A459" s="8"/>
    </row>
    <row r="460" spans="1:1">
      <c r="A460" s="8"/>
    </row>
    <row r="461" spans="1:1">
      <c r="A461" s="8"/>
    </row>
    <row r="462" spans="1:1">
      <c r="A462" s="8"/>
    </row>
    <row r="463" spans="1:1">
      <c r="A463" s="7"/>
    </row>
    <row r="464" spans="1:1">
      <c r="A464" s="8"/>
    </row>
    <row r="465" spans="1:1">
      <c r="A465" s="8"/>
    </row>
    <row r="466" spans="1:1">
      <c r="A466" s="8"/>
    </row>
    <row r="467" spans="1:1">
      <c r="A467" s="8"/>
    </row>
    <row r="468" spans="1:1">
      <c r="A468" s="8"/>
    </row>
    <row r="469" spans="1:1">
      <c r="A469" s="8"/>
    </row>
    <row r="470" spans="1:1">
      <c r="A470" s="8"/>
    </row>
    <row r="471" spans="1:1">
      <c r="A471" s="8"/>
    </row>
    <row r="472" spans="1:1">
      <c r="A472" s="7"/>
    </row>
    <row r="473" spans="1:1">
      <c r="A473" s="8"/>
    </row>
    <row r="474" spans="1:1">
      <c r="A474" s="8"/>
    </row>
    <row r="475" spans="1:1">
      <c r="A475" s="8"/>
    </row>
    <row r="476" spans="1:1">
      <c r="A476" s="7"/>
    </row>
    <row r="477" spans="1:1">
      <c r="A477" s="8"/>
    </row>
    <row r="478" spans="1:1">
      <c r="A478" s="8"/>
    </row>
    <row r="479" spans="1:1">
      <c r="A479" s="8"/>
    </row>
    <row r="480" spans="1:1">
      <c r="A480" s="7"/>
    </row>
    <row r="481" spans="1:1">
      <c r="A481" s="8"/>
    </row>
    <row r="482" spans="1:1">
      <c r="A482" s="7"/>
    </row>
    <row r="483" spans="1:1">
      <c r="A483" s="8"/>
    </row>
    <row r="484" spans="1:1">
      <c r="A484" s="8"/>
    </row>
    <row r="485" spans="1:1">
      <c r="A485" s="8"/>
    </row>
    <row r="486" spans="1:1">
      <c r="A486" s="7"/>
    </row>
    <row r="487" spans="1:1">
      <c r="A487" s="8"/>
    </row>
    <row r="488" spans="1:1">
      <c r="A488" s="8"/>
    </row>
    <row r="489" spans="1:1">
      <c r="A489" s="8"/>
    </row>
    <row r="490" spans="1:1">
      <c r="A490" s="8"/>
    </row>
    <row r="491" spans="1:1">
      <c r="A491" s="8"/>
    </row>
    <row r="492" spans="1:1">
      <c r="A492" s="8"/>
    </row>
    <row r="493" spans="1:1">
      <c r="A493" s="6"/>
    </row>
    <row r="494" spans="1:1">
      <c r="A494" s="6"/>
    </row>
    <row r="495" spans="1:1">
      <c r="A495" s="7"/>
    </row>
    <row r="496" spans="1:1">
      <c r="A496" s="8"/>
    </row>
    <row r="497" spans="1:1">
      <c r="A497" s="8"/>
    </row>
    <row r="498" spans="1:1">
      <c r="A498" s="8"/>
    </row>
    <row r="499" spans="1:1">
      <c r="A499" s="8"/>
    </row>
    <row r="500" spans="1:1">
      <c r="A500" s="8"/>
    </row>
    <row r="501" spans="1:1">
      <c r="A501" s="8"/>
    </row>
    <row r="502" spans="1:1">
      <c r="A502" s="8"/>
    </row>
    <row r="503" spans="1:1">
      <c r="A503" s="8"/>
    </row>
    <row r="504" spans="1:1">
      <c r="A504" s="8"/>
    </row>
    <row r="505" spans="1:1">
      <c r="A505" s="7"/>
    </row>
    <row r="506" spans="1:1">
      <c r="A506" s="8"/>
    </row>
    <row r="507" spans="1:1">
      <c r="A507" s="8"/>
    </row>
    <row r="508" spans="1:1">
      <c r="A508" s="6"/>
    </row>
    <row r="509" spans="1:1">
      <c r="A509" s="6"/>
    </row>
    <row r="510" spans="1:1">
      <c r="A510" s="7"/>
    </row>
    <row r="511" spans="1:1">
      <c r="A511" s="8"/>
    </row>
    <row r="512" spans="1:1">
      <c r="A512" s="8"/>
    </row>
    <row r="513" spans="1:1">
      <c r="A513" s="8"/>
    </row>
    <row r="514" spans="1:1">
      <c r="A514" s="8"/>
    </row>
    <row r="515" spans="1:1">
      <c r="A515" s="8"/>
    </row>
    <row r="516" spans="1:1">
      <c r="A516" s="8"/>
    </row>
    <row r="517" spans="1:1">
      <c r="A517" s="9"/>
    </row>
    <row r="518" spans="1:1">
      <c r="A518" s="10"/>
    </row>
    <row r="519" spans="1:1">
      <c r="A519" s="11"/>
    </row>
    <row r="520" spans="1:1">
      <c r="A520" s="12"/>
    </row>
    <row r="521" spans="1:1">
      <c r="A521" s="12"/>
    </row>
    <row r="522" spans="1:1">
      <c r="A522" s="9"/>
    </row>
    <row r="523" spans="1:1">
      <c r="A523" s="10"/>
    </row>
    <row r="524" spans="1:1">
      <c r="A524" s="12"/>
    </row>
    <row r="525" spans="1:1">
      <c r="A525" s="12"/>
    </row>
    <row r="526" spans="1:1">
      <c r="A526" s="12"/>
    </row>
    <row r="527" spans="1:1">
      <c r="A527" s="13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3"/>
    </row>
    <row r="536" spans="1:1">
      <c r="A536" s="12"/>
    </row>
    <row r="537" spans="1:1">
      <c r="A537" s="12"/>
    </row>
    <row r="538" spans="1:1">
      <c r="A538" s="12"/>
    </row>
    <row r="539" spans="1:1">
      <c r="A539" s="13"/>
    </row>
    <row r="540" spans="1:1">
      <c r="A540" s="12"/>
    </row>
    <row r="541" spans="1:1">
      <c r="A541" s="14"/>
    </row>
    <row r="542" spans="1:1">
      <c r="A542" s="14"/>
    </row>
    <row r="543" spans="1:1">
      <c r="A543" s="14"/>
    </row>
    <row r="544" spans="1:1">
      <c r="A544" s="14"/>
    </row>
    <row r="545" spans="1:1">
      <c r="A545" s="14"/>
    </row>
    <row r="546" spans="1:1">
      <c r="A546" s="14"/>
    </row>
    <row r="547" spans="1:1">
      <c r="A547" s="14"/>
    </row>
    <row r="548" spans="1:1">
      <c r="A548" s="14"/>
    </row>
    <row r="549" spans="1:1">
      <c r="A549" s="14"/>
    </row>
    <row r="550" spans="1:1">
      <c r="A550" s="14"/>
    </row>
    <row r="551" spans="1:1">
      <c r="A551" s="15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</sheetData>
  <mergeCells count="5">
    <mergeCell ref="C22:K22"/>
    <mergeCell ref="C39:K39"/>
    <mergeCell ref="C7:K7"/>
    <mergeCell ref="C4:K4"/>
    <mergeCell ref="C3:K3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7303-CEE0-4B4C-9FD9-C61354D5C442}">
  <dimension ref="A2:K220"/>
  <sheetViews>
    <sheetView topLeftCell="A56" workbookViewId="0">
      <selection activeCell="S17" sqref="S17:T17"/>
    </sheetView>
  </sheetViews>
  <sheetFormatPr defaultRowHeight="13.2"/>
  <cols>
    <col min="1" max="1" width="8.77734375" style="23"/>
    <col min="2" max="2" width="7.77734375" style="23" customWidth="1"/>
    <col min="3" max="3" width="50.21875" style="23" customWidth="1"/>
    <col min="4" max="4" width="8.77734375" style="23"/>
    <col min="5" max="10" width="10.5546875" style="118" customWidth="1"/>
    <col min="11" max="11" width="22.6640625" style="23" customWidth="1"/>
  </cols>
  <sheetData>
    <row r="2" spans="2:11" ht="31.2">
      <c r="B2" s="56" t="s">
        <v>1141</v>
      </c>
      <c r="C2" s="119" t="s">
        <v>661</v>
      </c>
      <c r="D2" s="57" t="s">
        <v>7</v>
      </c>
      <c r="E2" s="58" t="s">
        <v>1143</v>
      </c>
      <c r="F2" s="58" t="s">
        <v>1144</v>
      </c>
      <c r="G2" s="58" t="s">
        <v>1145</v>
      </c>
      <c r="H2" s="58" t="s">
        <v>1146</v>
      </c>
      <c r="I2" s="58" t="s">
        <v>1147</v>
      </c>
      <c r="J2" s="59" t="s">
        <v>1138</v>
      </c>
      <c r="K2" s="60" t="s">
        <v>1139</v>
      </c>
    </row>
    <row r="3" spans="2:11" ht="15.6">
      <c r="B3" s="135" t="s">
        <v>883</v>
      </c>
      <c r="C3" s="135" t="s">
        <v>946</v>
      </c>
      <c r="D3" s="134"/>
      <c r="E3" s="100"/>
      <c r="F3" s="100"/>
      <c r="G3" s="100"/>
      <c r="H3" s="100"/>
      <c r="I3" s="100"/>
      <c r="J3" s="138"/>
      <c r="K3" s="138"/>
    </row>
    <row r="4" spans="2:11" ht="15.6">
      <c r="B4" s="135" t="s">
        <v>892</v>
      </c>
      <c r="C4" s="135" t="s">
        <v>989</v>
      </c>
      <c r="D4" s="134"/>
      <c r="E4" s="100"/>
      <c r="F4" s="100"/>
      <c r="G4" s="100"/>
      <c r="H4" s="100"/>
      <c r="I4" s="100"/>
      <c r="J4" s="138"/>
      <c r="K4" s="116"/>
    </row>
    <row r="5" spans="2:11" ht="35.549999999999997" customHeight="1">
      <c r="B5" s="64" t="s">
        <v>990</v>
      </c>
      <c r="C5" s="65" t="s">
        <v>991</v>
      </c>
      <c r="D5" s="66" t="s">
        <v>16</v>
      </c>
      <c r="E5" s="100">
        <v>1</v>
      </c>
      <c r="F5" s="100"/>
      <c r="G5" s="100"/>
      <c r="H5" s="100"/>
      <c r="I5" s="100"/>
      <c r="J5" s="139">
        <f>E5+F5+G5+H5+I5</f>
        <v>1</v>
      </c>
      <c r="K5" s="116"/>
    </row>
    <row r="6" spans="2:11" ht="124.8">
      <c r="B6" s="64"/>
      <c r="C6" s="140" t="s">
        <v>992</v>
      </c>
      <c r="D6" s="66"/>
      <c r="E6" s="100"/>
      <c r="F6" s="100"/>
      <c r="G6" s="100"/>
      <c r="H6" s="100"/>
      <c r="I6" s="100"/>
      <c r="J6" s="139"/>
      <c r="K6" s="116"/>
    </row>
    <row r="7" spans="2:11" ht="15.6">
      <c r="B7" s="64" t="s">
        <v>993</v>
      </c>
      <c r="C7" s="65" t="s">
        <v>994</v>
      </c>
      <c r="D7" s="66" t="s">
        <v>16</v>
      </c>
      <c r="E7" s="100">
        <v>4</v>
      </c>
      <c r="F7" s="100"/>
      <c r="G7" s="100"/>
      <c r="H7" s="100"/>
      <c r="I7" s="100"/>
      <c r="J7" s="139">
        <f t="shared" ref="J7:J23" si="0">E7+F7+G7+H7+I7</f>
        <v>4</v>
      </c>
      <c r="K7" s="116"/>
    </row>
    <row r="8" spans="2:11" ht="15.6">
      <c r="B8" s="64" t="s">
        <v>995</v>
      </c>
      <c r="C8" s="65" t="s">
        <v>996</v>
      </c>
      <c r="D8" s="66" t="s">
        <v>16</v>
      </c>
      <c r="E8" s="100">
        <v>2</v>
      </c>
      <c r="F8" s="100"/>
      <c r="G8" s="100"/>
      <c r="H8" s="100"/>
      <c r="I8" s="100"/>
      <c r="J8" s="139">
        <f t="shared" si="0"/>
        <v>2</v>
      </c>
      <c r="K8" s="116"/>
    </row>
    <row r="9" spans="2:11" ht="15.6">
      <c r="B9" s="64" t="s">
        <v>997</v>
      </c>
      <c r="C9" s="65" t="s">
        <v>998</v>
      </c>
      <c r="D9" s="66" t="s">
        <v>16</v>
      </c>
      <c r="E9" s="100">
        <v>35</v>
      </c>
      <c r="F9" s="100"/>
      <c r="G9" s="100"/>
      <c r="H9" s="100"/>
      <c r="I9" s="100"/>
      <c r="J9" s="139">
        <f t="shared" si="0"/>
        <v>35</v>
      </c>
      <c r="K9" s="116"/>
    </row>
    <row r="10" spans="2:11" ht="15.6">
      <c r="B10" s="64" t="s">
        <v>999</v>
      </c>
      <c r="C10" s="65" t="s">
        <v>1000</v>
      </c>
      <c r="D10" s="66" t="s">
        <v>16</v>
      </c>
      <c r="E10" s="100">
        <v>10</v>
      </c>
      <c r="F10" s="100"/>
      <c r="G10" s="100"/>
      <c r="H10" s="100"/>
      <c r="I10" s="100"/>
      <c r="J10" s="139">
        <f t="shared" si="0"/>
        <v>10</v>
      </c>
      <c r="K10" s="116"/>
    </row>
    <row r="11" spans="2:11" ht="15.6">
      <c r="B11" s="64" t="s">
        <v>1001</v>
      </c>
      <c r="C11" s="65" t="s">
        <v>1002</v>
      </c>
      <c r="D11" s="66" t="s">
        <v>16</v>
      </c>
      <c r="E11" s="100">
        <v>2</v>
      </c>
      <c r="F11" s="100"/>
      <c r="G11" s="100"/>
      <c r="H11" s="100"/>
      <c r="I11" s="100"/>
      <c r="J11" s="139">
        <f t="shared" si="0"/>
        <v>2</v>
      </c>
      <c r="K11" s="116"/>
    </row>
    <row r="12" spans="2:11" ht="15.6">
      <c r="B12" s="64" t="s">
        <v>1003</v>
      </c>
      <c r="C12" s="65" t="s">
        <v>1004</v>
      </c>
      <c r="D12" s="66" t="s">
        <v>16</v>
      </c>
      <c r="E12" s="100">
        <v>4</v>
      </c>
      <c r="F12" s="100"/>
      <c r="G12" s="100"/>
      <c r="H12" s="100"/>
      <c r="I12" s="100"/>
      <c r="J12" s="139">
        <f t="shared" si="0"/>
        <v>4</v>
      </c>
      <c r="K12" s="116"/>
    </row>
    <row r="13" spans="2:11" ht="15.6">
      <c r="B13" s="64" t="s">
        <v>1005</v>
      </c>
      <c r="C13" s="65" t="s">
        <v>1006</v>
      </c>
      <c r="D13" s="66" t="s">
        <v>16</v>
      </c>
      <c r="E13" s="100">
        <v>2</v>
      </c>
      <c r="F13" s="100"/>
      <c r="G13" s="100"/>
      <c r="H13" s="100"/>
      <c r="I13" s="100"/>
      <c r="J13" s="139">
        <f t="shared" si="0"/>
        <v>2</v>
      </c>
      <c r="K13" s="116"/>
    </row>
    <row r="14" spans="2:11" ht="31.2">
      <c r="B14" s="64" t="s">
        <v>1007</v>
      </c>
      <c r="C14" s="65" t="s">
        <v>1008</v>
      </c>
      <c r="D14" s="66" t="s">
        <v>16</v>
      </c>
      <c r="E14" s="100">
        <v>1</v>
      </c>
      <c r="F14" s="100"/>
      <c r="G14" s="100"/>
      <c r="H14" s="100"/>
      <c r="I14" s="100"/>
      <c r="J14" s="139">
        <f t="shared" si="0"/>
        <v>1</v>
      </c>
      <c r="K14" s="116"/>
    </row>
    <row r="15" spans="2:11" ht="31.2">
      <c r="B15" s="64" t="s">
        <v>1009</v>
      </c>
      <c r="C15" s="65" t="s">
        <v>1008</v>
      </c>
      <c r="D15" s="66" t="s">
        <v>16</v>
      </c>
      <c r="E15" s="100">
        <v>1</v>
      </c>
      <c r="F15" s="100"/>
      <c r="G15" s="100"/>
      <c r="H15" s="100"/>
      <c r="I15" s="100"/>
      <c r="J15" s="139">
        <f t="shared" si="0"/>
        <v>1</v>
      </c>
      <c r="K15" s="116"/>
    </row>
    <row r="16" spans="2:11" ht="31.2">
      <c r="B16" s="64" t="s">
        <v>1010</v>
      </c>
      <c r="C16" s="65" t="s">
        <v>1008</v>
      </c>
      <c r="D16" s="66" t="s">
        <v>16</v>
      </c>
      <c r="E16" s="100">
        <v>1</v>
      </c>
      <c r="F16" s="100"/>
      <c r="G16" s="100"/>
      <c r="H16" s="100"/>
      <c r="I16" s="100"/>
      <c r="J16" s="139">
        <f t="shared" si="0"/>
        <v>1</v>
      </c>
      <c r="K16" s="116"/>
    </row>
    <row r="17" spans="2:11" ht="31.2">
      <c r="B17" s="64" t="s">
        <v>1011</v>
      </c>
      <c r="C17" s="65" t="s">
        <v>1008</v>
      </c>
      <c r="D17" s="66" t="s">
        <v>16</v>
      </c>
      <c r="E17" s="100">
        <v>1</v>
      </c>
      <c r="F17" s="100"/>
      <c r="G17" s="100"/>
      <c r="H17" s="100"/>
      <c r="I17" s="100"/>
      <c r="J17" s="139">
        <f t="shared" si="0"/>
        <v>1</v>
      </c>
      <c r="K17" s="116"/>
    </row>
    <row r="18" spans="2:11" ht="15.6">
      <c r="B18" s="64" t="s">
        <v>1012</v>
      </c>
      <c r="C18" s="65" t="s">
        <v>1013</v>
      </c>
      <c r="D18" s="66" t="s">
        <v>16</v>
      </c>
      <c r="E18" s="100">
        <v>4</v>
      </c>
      <c r="F18" s="100"/>
      <c r="G18" s="100"/>
      <c r="H18" s="100"/>
      <c r="I18" s="100"/>
      <c r="J18" s="139">
        <f t="shared" si="0"/>
        <v>4</v>
      </c>
      <c r="K18" s="116"/>
    </row>
    <row r="19" spans="2:11" ht="62.4">
      <c r="B19" s="64" t="s">
        <v>1014</v>
      </c>
      <c r="C19" s="65" t="s">
        <v>1015</v>
      </c>
      <c r="D19" s="66" t="s">
        <v>1016</v>
      </c>
      <c r="E19" s="100">
        <v>100</v>
      </c>
      <c r="F19" s="100"/>
      <c r="G19" s="100"/>
      <c r="H19" s="100"/>
      <c r="I19" s="100"/>
      <c r="J19" s="139">
        <f t="shared" si="0"/>
        <v>100</v>
      </c>
      <c r="K19" s="116"/>
    </row>
    <row r="20" spans="2:11" ht="62.4">
      <c r="B20" s="64" t="s">
        <v>1017</v>
      </c>
      <c r="C20" s="65" t="s">
        <v>1018</v>
      </c>
      <c r="D20" s="66" t="s">
        <v>1016</v>
      </c>
      <c r="E20" s="100">
        <v>20</v>
      </c>
      <c r="F20" s="100"/>
      <c r="G20" s="100"/>
      <c r="H20" s="100"/>
      <c r="I20" s="100"/>
      <c r="J20" s="139">
        <f t="shared" si="0"/>
        <v>20</v>
      </c>
      <c r="K20" s="116"/>
    </row>
    <row r="21" spans="2:11" ht="62.4">
      <c r="B21" s="64" t="s">
        <v>1019</v>
      </c>
      <c r="C21" s="65" t="s">
        <v>1020</v>
      </c>
      <c r="D21" s="66" t="s">
        <v>1016</v>
      </c>
      <c r="E21" s="100">
        <v>86</v>
      </c>
      <c r="F21" s="100"/>
      <c r="G21" s="100"/>
      <c r="H21" s="100"/>
      <c r="I21" s="100"/>
      <c r="J21" s="139">
        <f t="shared" si="0"/>
        <v>86</v>
      </c>
      <c r="K21" s="116"/>
    </row>
    <row r="22" spans="2:11" ht="62.4">
      <c r="B22" s="64" t="s">
        <v>1021</v>
      </c>
      <c r="C22" s="65" t="s">
        <v>1022</v>
      </c>
      <c r="D22" s="66" t="s">
        <v>1016</v>
      </c>
      <c r="E22" s="100">
        <v>32</v>
      </c>
      <c r="F22" s="100"/>
      <c r="G22" s="100"/>
      <c r="H22" s="100"/>
      <c r="I22" s="100"/>
      <c r="J22" s="139">
        <f t="shared" si="0"/>
        <v>32</v>
      </c>
      <c r="K22" s="116"/>
    </row>
    <row r="23" spans="2:11" ht="31.2">
      <c r="B23" s="64" t="s">
        <v>1023</v>
      </c>
      <c r="C23" s="65" t="s">
        <v>1024</v>
      </c>
      <c r="D23" s="66" t="s">
        <v>289</v>
      </c>
      <c r="E23" s="100">
        <v>20</v>
      </c>
      <c r="F23" s="100"/>
      <c r="G23" s="100"/>
      <c r="H23" s="100"/>
      <c r="I23" s="100"/>
      <c r="J23" s="139">
        <f t="shared" si="0"/>
        <v>20</v>
      </c>
      <c r="K23" s="116"/>
    </row>
    <row r="24" spans="2:11" ht="15.6">
      <c r="B24" s="64" t="s">
        <v>898</v>
      </c>
      <c r="C24" s="65" t="s">
        <v>1025</v>
      </c>
      <c r="D24" s="66"/>
      <c r="E24" s="100"/>
      <c r="F24" s="100"/>
      <c r="G24" s="100"/>
      <c r="H24" s="100"/>
      <c r="I24" s="100"/>
      <c r="J24" s="139"/>
      <c r="K24" s="116"/>
    </row>
    <row r="25" spans="2:11" ht="46.8">
      <c r="B25" s="64" t="s">
        <v>1026</v>
      </c>
      <c r="C25" s="65" t="s">
        <v>1027</v>
      </c>
      <c r="D25" s="66" t="s">
        <v>16</v>
      </c>
      <c r="E25" s="100">
        <v>1</v>
      </c>
      <c r="F25" s="100"/>
      <c r="G25" s="100"/>
      <c r="H25" s="100"/>
      <c r="I25" s="100"/>
      <c r="J25" s="139">
        <f t="shared" ref="J25:J31" si="1">E25+F25+G25+H25+I25</f>
        <v>1</v>
      </c>
      <c r="K25" s="116"/>
    </row>
    <row r="26" spans="2:11" ht="15.6">
      <c r="B26" s="64" t="s">
        <v>1028</v>
      </c>
      <c r="C26" s="65" t="s">
        <v>1029</v>
      </c>
      <c r="D26" s="66" t="s">
        <v>16</v>
      </c>
      <c r="E26" s="100">
        <v>5</v>
      </c>
      <c r="F26" s="100"/>
      <c r="G26" s="100"/>
      <c r="H26" s="100"/>
      <c r="I26" s="100"/>
      <c r="J26" s="139">
        <f t="shared" si="1"/>
        <v>5</v>
      </c>
      <c r="K26" s="116"/>
    </row>
    <row r="27" spans="2:11" ht="15.6">
      <c r="B27" s="64" t="s">
        <v>1030</v>
      </c>
      <c r="C27" s="65" t="s">
        <v>1031</v>
      </c>
      <c r="D27" s="66" t="s">
        <v>16</v>
      </c>
      <c r="E27" s="100">
        <v>3</v>
      </c>
      <c r="F27" s="100"/>
      <c r="G27" s="100"/>
      <c r="H27" s="100"/>
      <c r="I27" s="100"/>
      <c r="J27" s="139">
        <f t="shared" si="1"/>
        <v>3</v>
      </c>
      <c r="K27" s="116"/>
    </row>
    <row r="28" spans="2:11" ht="15.6">
      <c r="B28" s="64" t="s">
        <v>1032</v>
      </c>
      <c r="C28" s="65" t="s">
        <v>1033</v>
      </c>
      <c r="D28" s="66" t="s">
        <v>16</v>
      </c>
      <c r="E28" s="100">
        <v>1</v>
      </c>
      <c r="F28" s="100"/>
      <c r="G28" s="100"/>
      <c r="H28" s="100"/>
      <c r="I28" s="100"/>
      <c r="J28" s="139">
        <f t="shared" si="1"/>
        <v>1</v>
      </c>
      <c r="K28" s="116"/>
    </row>
    <row r="29" spans="2:11" ht="15.6">
      <c r="B29" s="64" t="s">
        <v>1034</v>
      </c>
      <c r="C29" s="65" t="s">
        <v>1035</v>
      </c>
      <c r="D29" s="66" t="s">
        <v>16</v>
      </c>
      <c r="E29" s="100">
        <v>2</v>
      </c>
      <c r="F29" s="100"/>
      <c r="G29" s="100"/>
      <c r="H29" s="100"/>
      <c r="I29" s="100"/>
      <c r="J29" s="139">
        <f t="shared" si="1"/>
        <v>2</v>
      </c>
      <c r="K29" s="116"/>
    </row>
    <row r="30" spans="2:11" ht="62.4">
      <c r="B30" s="64" t="s">
        <v>1019</v>
      </c>
      <c r="C30" s="65" t="s">
        <v>1020</v>
      </c>
      <c r="D30" s="66" t="s">
        <v>1016</v>
      </c>
      <c r="E30" s="100">
        <v>55</v>
      </c>
      <c r="F30" s="100"/>
      <c r="G30" s="100"/>
      <c r="H30" s="100"/>
      <c r="I30" s="100"/>
      <c r="J30" s="139">
        <f t="shared" si="1"/>
        <v>55</v>
      </c>
      <c r="K30" s="116"/>
    </row>
    <row r="31" spans="2:11" ht="31.2">
      <c r="B31" s="64" t="s">
        <v>1023</v>
      </c>
      <c r="C31" s="65" t="s">
        <v>1024</v>
      </c>
      <c r="D31" s="66" t="s">
        <v>289</v>
      </c>
      <c r="E31" s="100">
        <v>5</v>
      </c>
      <c r="F31" s="100"/>
      <c r="G31" s="100"/>
      <c r="H31" s="100"/>
      <c r="I31" s="100"/>
      <c r="J31" s="139">
        <f t="shared" si="1"/>
        <v>5</v>
      </c>
      <c r="K31" s="116"/>
    </row>
    <row r="32" spans="2:11" ht="15.6">
      <c r="B32" s="64" t="s">
        <v>916</v>
      </c>
      <c r="C32" s="65" t="s">
        <v>1036</v>
      </c>
      <c r="D32" s="66"/>
      <c r="E32" s="100"/>
      <c r="F32" s="100"/>
      <c r="G32" s="100"/>
      <c r="H32" s="100"/>
      <c r="I32" s="100"/>
      <c r="J32" s="139"/>
      <c r="K32" s="116"/>
    </row>
    <row r="33" spans="2:11" ht="31.2">
      <c r="B33" s="64" t="s">
        <v>1037</v>
      </c>
      <c r="C33" s="65" t="s">
        <v>1038</v>
      </c>
      <c r="D33" s="66" t="s">
        <v>16</v>
      </c>
      <c r="E33" s="100"/>
      <c r="F33" s="100">
        <v>3</v>
      </c>
      <c r="G33" s="100">
        <v>2</v>
      </c>
      <c r="H33" s="100">
        <v>1</v>
      </c>
      <c r="I33" s="100"/>
      <c r="J33" s="139">
        <f>E33+F33+G33+H33+I33</f>
        <v>6</v>
      </c>
      <c r="K33" s="116"/>
    </row>
    <row r="34" spans="2:11" ht="124.8">
      <c r="B34" s="64"/>
      <c r="C34" s="141" t="s">
        <v>1039</v>
      </c>
      <c r="D34" s="66"/>
      <c r="E34" s="100"/>
      <c r="F34" s="100"/>
      <c r="G34" s="100"/>
      <c r="H34" s="100"/>
      <c r="I34" s="100"/>
      <c r="J34" s="139"/>
      <c r="K34" s="116"/>
    </row>
    <row r="35" spans="2:11" ht="15.6">
      <c r="B35" s="64" t="s">
        <v>1040</v>
      </c>
      <c r="C35" s="65" t="s">
        <v>1041</v>
      </c>
      <c r="D35" s="66" t="s">
        <v>16</v>
      </c>
      <c r="E35" s="100"/>
      <c r="F35" s="100">
        <v>12</v>
      </c>
      <c r="G35" s="100">
        <v>8</v>
      </c>
      <c r="H35" s="100">
        <v>4</v>
      </c>
      <c r="I35" s="100"/>
      <c r="J35" s="139">
        <f t="shared" ref="J35:J45" si="2">E35+F35+G35+H35+I35</f>
        <v>24</v>
      </c>
      <c r="K35" s="116"/>
    </row>
    <row r="36" spans="2:11" ht="15.6">
      <c r="B36" s="64" t="s">
        <v>1042</v>
      </c>
      <c r="C36" s="65" t="s">
        <v>1043</v>
      </c>
      <c r="D36" s="66" t="s">
        <v>16</v>
      </c>
      <c r="E36" s="100"/>
      <c r="F36" s="100">
        <v>6</v>
      </c>
      <c r="G36" s="100">
        <v>4</v>
      </c>
      <c r="H36" s="100">
        <v>2</v>
      </c>
      <c r="I36" s="100"/>
      <c r="J36" s="139">
        <f t="shared" si="2"/>
        <v>12</v>
      </c>
      <c r="K36" s="116"/>
    </row>
    <row r="37" spans="2:11" ht="15.6">
      <c r="B37" s="64" t="s">
        <v>1044</v>
      </c>
      <c r="C37" s="65" t="s">
        <v>1045</v>
      </c>
      <c r="D37" s="66" t="s">
        <v>16</v>
      </c>
      <c r="E37" s="100"/>
      <c r="F37" s="100"/>
      <c r="G37" s="100"/>
      <c r="H37" s="100"/>
      <c r="I37" s="100"/>
      <c r="J37" s="139">
        <f t="shared" si="2"/>
        <v>0</v>
      </c>
      <c r="K37" s="116"/>
    </row>
    <row r="38" spans="2:11" ht="15.6">
      <c r="B38" s="64" t="s">
        <v>1005</v>
      </c>
      <c r="C38" s="65" t="s">
        <v>1006</v>
      </c>
      <c r="D38" s="66" t="s">
        <v>16</v>
      </c>
      <c r="E38" s="100"/>
      <c r="F38" s="100">
        <v>3</v>
      </c>
      <c r="G38" s="100">
        <v>2</v>
      </c>
      <c r="H38" s="100">
        <v>4</v>
      </c>
      <c r="I38" s="100"/>
      <c r="J38" s="139">
        <f t="shared" si="2"/>
        <v>9</v>
      </c>
      <c r="K38" s="116"/>
    </row>
    <row r="39" spans="2:11" ht="15.6">
      <c r="B39" s="64" t="s">
        <v>1046</v>
      </c>
      <c r="C39" s="65" t="s">
        <v>1047</v>
      </c>
      <c r="D39" s="66" t="s">
        <v>16</v>
      </c>
      <c r="E39" s="100"/>
      <c r="F39" s="100">
        <v>6</v>
      </c>
      <c r="G39" s="100">
        <v>4</v>
      </c>
      <c r="H39" s="100">
        <v>2</v>
      </c>
      <c r="I39" s="100"/>
      <c r="J39" s="139">
        <f t="shared" si="2"/>
        <v>12</v>
      </c>
      <c r="K39" s="116"/>
    </row>
    <row r="40" spans="2:11" ht="15.6">
      <c r="B40" s="64" t="s">
        <v>1048</v>
      </c>
      <c r="C40" s="65" t="s">
        <v>1049</v>
      </c>
      <c r="D40" s="66" t="s">
        <v>16</v>
      </c>
      <c r="E40" s="100"/>
      <c r="F40" s="100">
        <v>6</v>
      </c>
      <c r="G40" s="100">
        <v>4</v>
      </c>
      <c r="H40" s="100">
        <v>2</v>
      </c>
      <c r="I40" s="100"/>
      <c r="J40" s="139">
        <f t="shared" si="2"/>
        <v>12</v>
      </c>
      <c r="K40" s="116"/>
    </row>
    <row r="41" spans="2:11" ht="62.4">
      <c r="B41" s="64" t="s">
        <v>1014</v>
      </c>
      <c r="C41" s="65" t="s">
        <v>1015</v>
      </c>
      <c r="D41" s="66" t="s">
        <v>1016</v>
      </c>
      <c r="E41" s="100"/>
      <c r="F41" s="100">
        <v>20</v>
      </c>
      <c r="G41" s="100">
        <v>20</v>
      </c>
      <c r="H41" s="100">
        <v>14</v>
      </c>
      <c r="I41" s="100"/>
      <c r="J41" s="139">
        <f t="shared" si="2"/>
        <v>54</v>
      </c>
      <c r="K41" s="116"/>
    </row>
    <row r="42" spans="2:11" ht="62.4">
      <c r="B42" s="64" t="s">
        <v>1017</v>
      </c>
      <c r="C42" s="65" t="s">
        <v>1018</v>
      </c>
      <c r="D42" s="66" t="s">
        <v>1016</v>
      </c>
      <c r="E42" s="100"/>
      <c r="F42" s="100"/>
      <c r="G42" s="100"/>
      <c r="H42" s="100"/>
      <c r="I42" s="100"/>
      <c r="J42" s="139">
        <f t="shared" si="2"/>
        <v>0</v>
      </c>
      <c r="K42" s="116"/>
    </row>
    <row r="43" spans="2:11" ht="62.4">
      <c r="B43" s="64" t="s">
        <v>1019</v>
      </c>
      <c r="C43" s="65" t="s">
        <v>1020</v>
      </c>
      <c r="D43" s="66" t="s">
        <v>1016</v>
      </c>
      <c r="E43" s="100"/>
      <c r="F43" s="100">
        <v>6</v>
      </c>
      <c r="G43" s="100">
        <v>6</v>
      </c>
      <c r="H43" s="100">
        <v>5</v>
      </c>
      <c r="I43" s="100"/>
      <c r="J43" s="139">
        <f t="shared" si="2"/>
        <v>17</v>
      </c>
      <c r="K43" s="116"/>
    </row>
    <row r="44" spans="2:11" ht="15.6">
      <c r="B44" s="64" t="s">
        <v>1050</v>
      </c>
      <c r="C44" s="65" t="s">
        <v>1051</v>
      </c>
      <c r="D44" s="66" t="s">
        <v>1016</v>
      </c>
      <c r="E44" s="100"/>
      <c r="F44" s="100">
        <v>5</v>
      </c>
      <c r="G44" s="100">
        <v>5</v>
      </c>
      <c r="H44" s="100">
        <v>3</v>
      </c>
      <c r="I44" s="100"/>
      <c r="J44" s="139">
        <f t="shared" si="2"/>
        <v>13</v>
      </c>
      <c r="K44" s="116"/>
    </row>
    <row r="45" spans="2:11" ht="15.6">
      <c r="B45" s="64" t="s">
        <v>1052</v>
      </c>
      <c r="C45" s="65" t="s">
        <v>1053</v>
      </c>
      <c r="D45" s="66" t="s">
        <v>1016</v>
      </c>
      <c r="E45" s="100"/>
      <c r="F45" s="100">
        <v>5</v>
      </c>
      <c r="G45" s="100">
        <v>5</v>
      </c>
      <c r="H45" s="100">
        <v>3</v>
      </c>
      <c r="I45" s="100"/>
      <c r="J45" s="139">
        <f t="shared" si="2"/>
        <v>13</v>
      </c>
      <c r="K45" s="116"/>
    </row>
    <row r="46" spans="2:11" ht="15.6">
      <c r="B46" s="64" t="s">
        <v>928</v>
      </c>
      <c r="C46" s="65" t="s">
        <v>1054</v>
      </c>
      <c r="D46" s="66"/>
      <c r="E46" s="100"/>
      <c r="F46" s="100"/>
      <c r="G46" s="100"/>
      <c r="H46" s="100"/>
      <c r="I46" s="100"/>
      <c r="J46" s="139"/>
      <c r="K46" s="116"/>
    </row>
    <row r="47" spans="2:11" ht="31.2">
      <c r="B47" s="64" t="s">
        <v>1037</v>
      </c>
      <c r="C47" s="65" t="s">
        <v>1038</v>
      </c>
      <c r="D47" s="66" t="s">
        <v>16</v>
      </c>
      <c r="E47" s="100"/>
      <c r="F47" s="100">
        <v>1</v>
      </c>
      <c r="G47" s="100">
        <v>2</v>
      </c>
      <c r="H47" s="100">
        <v>2</v>
      </c>
      <c r="I47" s="100"/>
      <c r="J47" s="139">
        <f>E47+F47+G47+H47+I47</f>
        <v>5</v>
      </c>
      <c r="K47" s="116"/>
    </row>
    <row r="48" spans="2:11" ht="124.8">
      <c r="B48" s="64"/>
      <c r="C48" s="141" t="s">
        <v>1055</v>
      </c>
      <c r="D48" s="66"/>
      <c r="E48" s="100"/>
      <c r="F48" s="100"/>
      <c r="G48" s="100"/>
      <c r="H48" s="100"/>
      <c r="I48" s="100"/>
      <c r="J48" s="139"/>
      <c r="K48" s="116"/>
    </row>
    <row r="49" spans="2:11" ht="15.6">
      <c r="B49" s="64" t="s">
        <v>1040</v>
      </c>
      <c r="C49" s="65" t="s">
        <v>1041</v>
      </c>
      <c r="D49" s="66" t="s">
        <v>16</v>
      </c>
      <c r="E49" s="100"/>
      <c r="F49" s="100">
        <v>4</v>
      </c>
      <c r="G49" s="100">
        <v>8</v>
      </c>
      <c r="H49" s="100">
        <v>8</v>
      </c>
      <c r="I49" s="100"/>
      <c r="J49" s="139">
        <f t="shared" ref="J49:J58" si="3">E49+F49+G49+H49+I49</f>
        <v>20</v>
      </c>
      <c r="K49" s="116"/>
    </row>
    <row r="50" spans="2:11" ht="15.6">
      <c r="B50" s="64" t="s">
        <v>1042</v>
      </c>
      <c r="C50" s="65" t="s">
        <v>1043</v>
      </c>
      <c r="D50" s="66" t="s">
        <v>16</v>
      </c>
      <c r="E50" s="100"/>
      <c r="F50" s="100">
        <v>3</v>
      </c>
      <c r="G50" s="100">
        <v>6</v>
      </c>
      <c r="H50" s="100">
        <v>6</v>
      </c>
      <c r="I50" s="100"/>
      <c r="J50" s="139">
        <f t="shared" si="3"/>
        <v>15</v>
      </c>
      <c r="K50" s="116"/>
    </row>
    <row r="51" spans="2:11" ht="15.6">
      <c r="B51" s="64" t="s">
        <v>1005</v>
      </c>
      <c r="C51" s="65" t="s">
        <v>1006</v>
      </c>
      <c r="D51" s="66" t="s">
        <v>16</v>
      </c>
      <c r="E51" s="100"/>
      <c r="F51" s="100"/>
      <c r="G51" s="100"/>
      <c r="H51" s="100"/>
      <c r="I51" s="100"/>
      <c r="J51" s="139">
        <f t="shared" si="3"/>
        <v>0</v>
      </c>
      <c r="K51" s="116"/>
    </row>
    <row r="52" spans="2:11" ht="15.6">
      <c r="B52" s="64" t="s">
        <v>1046</v>
      </c>
      <c r="C52" s="65" t="s">
        <v>1047</v>
      </c>
      <c r="D52" s="66" t="s">
        <v>16</v>
      </c>
      <c r="E52" s="100"/>
      <c r="F52" s="100">
        <v>3</v>
      </c>
      <c r="G52" s="100">
        <v>6</v>
      </c>
      <c r="H52" s="100">
        <v>6</v>
      </c>
      <c r="I52" s="100"/>
      <c r="J52" s="139">
        <f t="shared" si="3"/>
        <v>15</v>
      </c>
      <c r="K52" s="116"/>
    </row>
    <row r="53" spans="2:11" ht="15.6">
      <c r="B53" s="64" t="s">
        <v>1048</v>
      </c>
      <c r="C53" s="65" t="s">
        <v>1049</v>
      </c>
      <c r="D53" s="66" t="s">
        <v>16</v>
      </c>
      <c r="E53" s="100"/>
      <c r="F53" s="100">
        <v>3</v>
      </c>
      <c r="G53" s="100">
        <v>6</v>
      </c>
      <c r="H53" s="100">
        <v>6</v>
      </c>
      <c r="I53" s="100"/>
      <c r="J53" s="139">
        <f t="shared" si="3"/>
        <v>15</v>
      </c>
      <c r="K53" s="116"/>
    </row>
    <row r="54" spans="2:11" ht="62.4">
      <c r="B54" s="64" t="s">
        <v>1014</v>
      </c>
      <c r="C54" s="65" t="s">
        <v>1015</v>
      </c>
      <c r="D54" s="66" t="s">
        <v>1016</v>
      </c>
      <c r="E54" s="100"/>
      <c r="F54" s="100"/>
      <c r="G54" s="100"/>
      <c r="H54" s="100"/>
      <c r="I54" s="100"/>
      <c r="J54" s="139">
        <f t="shared" si="3"/>
        <v>0</v>
      </c>
      <c r="K54" s="116"/>
    </row>
    <row r="55" spans="2:11" ht="62.4">
      <c r="B55" s="64" t="s">
        <v>1017</v>
      </c>
      <c r="C55" s="65" t="s">
        <v>1018</v>
      </c>
      <c r="D55" s="66" t="s">
        <v>1016</v>
      </c>
      <c r="E55" s="100"/>
      <c r="F55" s="100"/>
      <c r="G55" s="100"/>
      <c r="H55" s="100"/>
      <c r="I55" s="100"/>
      <c r="J55" s="139">
        <f t="shared" si="3"/>
        <v>0</v>
      </c>
      <c r="K55" s="116"/>
    </row>
    <row r="56" spans="2:11" ht="62.4">
      <c r="B56" s="64" t="s">
        <v>1019</v>
      </c>
      <c r="C56" s="65" t="s">
        <v>1020</v>
      </c>
      <c r="D56" s="66" t="s">
        <v>1016</v>
      </c>
      <c r="E56" s="100"/>
      <c r="F56" s="100"/>
      <c r="G56" s="100"/>
      <c r="H56" s="100"/>
      <c r="I56" s="100"/>
      <c r="J56" s="139">
        <f t="shared" si="3"/>
        <v>0</v>
      </c>
      <c r="K56" s="116"/>
    </row>
    <row r="57" spans="2:11" ht="15.6">
      <c r="B57" s="64" t="s">
        <v>1050</v>
      </c>
      <c r="C57" s="65" t="s">
        <v>1051</v>
      </c>
      <c r="D57" s="66" t="s">
        <v>1016</v>
      </c>
      <c r="E57" s="100"/>
      <c r="F57" s="100">
        <v>3</v>
      </c>
      <c r="G57" s="100">
        <v>6</v>
      </c>
      <c r="H57" s="100">
        <v>6</v>
      </c>
      <c r="I57" s="100"/>
      <c r="J57" s="139">
        <f t="shared" si="3"/>
        <v>15</v>
      </c>
      <c r="K57" s="116"/>
    </row>
    <row r="58" spans="2:11" ht="15.6">
      <c r="B58" s="64" t="s">
        <v>1052</v>
      </c>
      <c r="C58" s="65" t="s">
        <v>1053</v>
      </c>
      <c r="D58" s="66" t="s">
        <v>1016</v>
      </c>
      <c r="E58" s="100"/>
      <c r="F58" s="100">
        <v>3</v>
      </c>
      <c r="G58" s="100">
        <v>3</v>
      </c>
      <c r="H58" s="100">
        <v>3</v>
      </c>
      <c r="I58" s="100"/>
      <c r="J58" s="139">
        <f t="shared" si="3"/>
        <v>9</v>
      </c>
      <c r="K58" s="116"/>
    </row>
    <row r="59" spans="2:11" ht="15.6">
      <c r="B59" s="64" t="s">
        <v>422</v>
      </c>
      <c r="C59" s="65" t="s">
        <v>1056</v>
      </c>
      <c r="D59" s="66"/>
      <c r="E59" s="100"/>
      <c r="F59" s="100"/>
      <c r="G59" s="100"/>
      <c r="H59" s="100"/>
      <c r="I59" s="100"/>
      <c r="J59" s="139"/>
      <c r="K59" s="116"/>
    </row>
    <row r="60" spans="2:11" ht="15.6">
      <c r="B60" s="64" t="s">
        <v>1057</v>
      </c>
      <c r="C60" s="65" t="s">
        <v>1058</v>
      </c>
      <c r="D60" s="66" t="s">
        <v>16</v>
      </c>
      <c r="E60" s="100"/>
      <c r="F60" s="100">
        <v>4</v>
      </c>
      <c r="G60" s="100">
        <v>4</v>
      </c>
      <c r="H60" s="100">
        <v>3</v>
      </c>
      <c r="I60" s="100"/>
      <c r="J60" s="139">
        <f>E60+F60+G60+H60+I60</f>
        <v>11</v>
      </c>
      <c r="K60" s="116"/>
    </row>
    <row r="61" spans="2:11" ht="62.4">
      <c r="B61" s="64" t="s">
        <v>1014</v>
      </c>
      <c r="C61" s="65" t="s">
        <v>1015</v>
      </c>
      <c r="D61" s="66" t="s">
        <v>1016</v>
      </c>
      <c r="E61" s="100"/>
      <c r="F61" s="100">
        <v>12</v>
      </c>
      <c r="G61" s="100">
        <v>12</v>
      </c>
      <c r="H61" s="100">
        <v>8</v>
      </c>
      <c r="I61" s="100"/>
      <c r="J61" s="139">
        <f>E61+F61+G61+H61+I61</f>
        <v>32</v>
      </c>
      <c r="K61" s="116"/>
    </row>
    <row r="62" spans="2:11" ht="62.4">
      <c r="B62" s="64" t="s">
        <v>1019</v>
      </c>
      <c r="C62" s="65" t="s">
        <v>1020</v>
      </c>
      <c r="D62" s="66" t="s">
        <v>1016</v>
      </c>
      <c r="E62" s="100"/>
      <c r="F62" s="100">
        <v>12</v>
      </c>
      <c r="G62" s="100">
        <v>12</v>
      </c>
      <c r="H62" s="100">
        <v>8</v>
      </c>
      <c r="I62" s="100"/>
      <c r="J62" s="139">
        <f>E62+F62+G62+H62+I62</f>
        <v>32</v>
      </c>
      <c r="K62" s="116"/>
    </row>
    <row r="63" spans="2:11" ht="15.6">
      <c r="B63" s="64" t="s">
        <v>935</v>
      </c>
      <c r="C63" s="65" t="s">
        <v>1059</v>
      </c>
      <c r="D63" s="66"/>
      <c r="E63" s="100"/>
      <c r="F63" s="100"/>
      <c r="G63" s="100"/>
      <c r="H63" s="100"/>
      <c r="I63" s="100"/>
      <c r="J63" s="139"/>
      <c r="K63" s="116"/>
    </row>
    <row r="64" spans="2:11" ht="15.6">
      <c r="B64" s="64" t="s">
        <v>941</v>
      </c>
      <c r="C64" s="65" t="s">
        <v>272</v>
      </c>
      <c r="D64" s="66"/>
      <c r="E64" s="100"/>
      <c r="F64" s="100"/>
      <c r="G64" s="100"/>
      <c r="H64" s="100"/>
      <c r="I64" s="100"/>
      <c r="J64" s="139"/>
      <c r="K64" s="116"/>
    </row>
    <row r="65" spans="2:11" ht="46.8">
      <c r="B65" s="64" t="s">
        <v>1060</v>
      </c>
      <c r="C65" s="65" t="s">
        <v>1061</v>
      </c>
      <c r="D65" s="66" t="s">
        <v>280</v>
      </c>
      <c r="E65" s="100">
        <v>1</v>
      </c>
      <c r="F65" s="100"/>
      <c r="G65" s="100"/>
      <c r="H65" s="100"/>
      <c r="I65" s="100"/>
      <c r="J65" s="139">
        <f>E65+F65+G65+H65+I65</f>
        <v>1</v>
      </c>
      <c r="K65" s="116"/>
    </row>
    <row r="66" spans="2:11" ht="15.6">
      <c r="B66" s="64" t="s">
        <v>1062</v>
      </c>
      <c r="C66" s="65" t="s">
        <v>1063</v>
      </c>
      <c r="D66" s="66" t="s">
        <v>280</v>
      </c>
      <c r="E66" s="100">
        <v>1</v>
      </c>
      <c r="F66" s="100"/>
      <c r="G66" s="100"/>
      <c r="H66" s="100"/>
      <c r="I66" s="100"/>
      <c r="J66" s="139">
        <f>E66+F66+G66+H66+I66</f>
        <v>1</v>
      </c>
      <c r="K66" s="116"/>
    </row>
    <row r="67" spans="2:11" ht="15.6">
      <c r="B67" s="64" t="s">
        <v>1064</v>
      </c>
      <c r="C67" s="65" t="s">
        <v>1065</v>
      </c>
      <c r="D67" s="66" t="s">
        <v>280</v>
      </c>
      <c r="E67" s="100">
        <v>1</v>
      </c>
      <c r="F67" s="100"/>
      <c r="G67" s="100"/>
      <c r="H67" s="100"/>
      <c r="I67" s="100"/>
      <c r="J67" s="139">
        <f>E67+F67+G67+H67+I67</f>
        <v>1</v>
      </c>
      <c r="K67" s="116"/>
    </row>
    <row r="68" spans="2:11" ht="15.6">
      <c r="B68" s="101"/>
      <c r="C68" s="136" t="s">
        <v>1066</v>
      </c>
      <c r="D68" s="66" t="s">
        <v>16</v>
      </c>
      <c r="E68" s="100"/>
      <c r="F68" s="100">
        <v>4</v>
      </c>
      <c r="G68" s="100">
        <v>4</v>
      </c>
      <c r="H68" s="100">
        <v>3</v>
      </c>
      <c r="I68" s="100"/>
      <c r="J68" s="139">
        <f>E68+F68+G68+H68+I68</f>
        <v>11</v>
      </c>
      <c r="K68" s="116"/>
    </row>
    <row r="69" spans="2:11">
      <c r="B69" s="131"/>
      <c r="C69" s="132"/>
      <c r="D69" s="133"/>
      <c r="J69" s="137"/>
    </row>
    <row r="70" spans="2:11">
      <c r="B70" s="129"/>
      <c r="C70" s="24"/>
      <c r="D70" s="130"/>
      <c r="J70" s="137"/>
    </row>
    <row r="71" spans="2:11">
      <c r="B71" s="129"/>
      <c r="C71" s="24"/>
      <c r="D71" s="130"/>
      <c r="J71" s="137"/>
    </row>
    <row r="72" spans="2:11">
      <c r="B72" s="129"/>
      <c r="C72" s="24"/>
      <c r="D72" s="130"/>
      <c r="J72" s="137"/>
    </row>
    <row r="73" spans="2:11">
      <c r="B73" s="129"/>
      <c r="C73" s="24"/>
      <c r="D73" s="130"/>
      <c r="J73" s="137"/>
    </row>
    <row r="74" spans="2:11">
      <c r="B74" s="129"/>
      <c r="C74" s="24"/>
      <c r="D74" s="130"/>
      <c r="J74" s="137"/>
    </row>
    <row r="75" spans="2:11">
      <c r="B75" s="129"/>
      <c r="C75" s="24"/>
      <c r="D75" s="130"/>
      <c r="J75" s="137"/>
    </row>
    <row r="76" spans="2:11">
      <c r="B76" s="129"/>
      <c r="C76" s="24"/>
      <c r="D76" s="130"/>
      <c r="J76" s="137"/>
    </row>
    <row r="77" spans="2:11">
      <c r="B77" s="129"/>
      <c r="C77" s="24"/>
      <c r="D77" s="130"/>
      <c r="J77" s="137"/>
    </row>
    <row r="78" spans="2:11">
      <c r="B78" s="129"/>
      <c r="C78" s="24"/>
      <c r="D78" s="130"/>
      <c r="J78" s="137"/>
    </row>
    <row r="79" spans="2:11">
      <c r="B79" s="129"/>
      <c r="C79" s="24"/>
      <c r="D79" s="130"/>
      <c r="J79" s="137"/>
    </row>
    <row r="80" spans="2:11">
      <c r="B80" s="129"/>
      <c r="C80" s="24"/>
      <c r="D80" s="130"/>
      <c r="J80" s="137"/>
    </row>
    <row r="81" spans="2:10">
      <c r="B81" s="129"/>
      <c r="C81" s="24"/>
      <c r="D81" s="130"/>
      <c r="J81" s="137"/>
    </row>
    <row r="82" spans="2:10">
      <c r="B82" s="129"/>
      <c r="C82" s="24"/>
      <c r="D82" s="130"/>
      <c r="J82" s="137"/>
    </row>
    <row r="83" spans="2:10">
      <c r="B83" s="129"/>
      <c r="C83" s="24"/>
      <c r="D83" s="130"/>
      <c r="J83" s="137"/>
    </row>
    <row r="84" spans="2:10">
      <c r="B84" s="129"/>
      <c r="C84" s="24"/>
      <c r="D84" s="130"/>
      <c r="J84" s="137"/>
    </row>
    <row r="85" spans="2:10">
      <c r="B85" s="129"/>
      <c r="C85" s="24"/>
      <c r="D85" s="130"/>
      <c r="J85" s="137"/>
    </row>
    <row r="86" spans="2:10">
      <c r="B86" s="129"/>
      <c r="C86" s="24"/>
      <c r="D86" s="130"/>
      <c r="J86" s="137"/>
    </row>
    <row r="87" spans="2:10">
      <c r="B87" s="129"/>
      <c r="C87" s="24"/>
      <c r="D87" s="130"/>
      <c r="J87" s="137"/>
    </row>
    <row r="88" spans="2:10">
      <c r="B88" s="129"/>
      <c r="C88" s="24"/>
      <c r="D88" s="130"/>
      <c r="J88" s="137"/>
    </row>
    <row r="89" spans="2:10">
      <c r="B89" s="129"/>
      <c r="C89" s="24"/>
      <c r="D89" s="130"/>
      <c r="J89" s="137"/>
    </row>
    <row r="90" spans="2:10">
      <c r="B90" s="129"/>
      <c r="C90" s="24"/>
      <c r="D90" s="130"/>
      <c r="J90" s="137"/>
    </row>
    <row r="91" spans="2:10">
      <c r="B91" s="129"/>
      <c r="C91" s="24"/>
      <c r="D91" s="130"/>
      <c r="J91" s="137"/>
    </row>
    <row r="92" spans="2:10">
      <c r="B92" s="129"/>
      <c r="C92" s="24"/>
      <c r="D92" s="130"/>
      <c r="J92" s="137"/>
    </row>
    <row r="93" spans="2:10">
      <c r="B93" s="129"/>
      <c r="C93" s="24"/>
      <c r="D93" s="130"/>
      <c r="J93" s="137"/>
    </row>
    <row r="94" spans="2:10">
      <c r="B94" s="129"/>
      <c r="C94" s="24"/>
      <c r="D94" s="130"/>
      <c r="J94" s="137"/>
    </row>
    <row r="95" spans="2:10">
      <c r="B95" s="129"/>
      <c r="C95" s="24"/>
      <c r="D95" s="130"/>
      <c r="J95" s="137"/>
    </row>
    <row r="96" spans="2:10">
      <c r="B96" s="129"/>
      <c r="C96" s="24"/>
      <c r="D96" s="130"/>
      <c r="J96" s="137"/>
    </row>
    <row r="97" spans="2:10">
      <c r="B97" s="129"/>
      <c r="C97" s="24"/>
      <c r="D97" s="130"/>
      <c r="J97" s="137"/>
    </row>
    <row r="98" spans="2:10">
      <c r="B98" s="129"/>
      <c r="C98" s="24"/>
      <c r="D98" s="130"/>
      <c r="J98" s="137"/>
    </row>
    <row r="99" spans="2:10">
      <c r="B99" s="129"/>
      <c r="C99" s="24"/>
      <c r="D99" s="130"/>
      <c r="J99" s="137"/>
    </row>
    <row r="100" spans="2:10">
      <c r="B100" s="129"/>
      <c r="C100" s="24"/>
      <c r="D100" s="130"/>
      <c r="J100" s="137"/>
    </row>
    <row r="101" spans="2:10">
      <c r="B101" s="129"/>
      <c r="C101" s="24"/>
      <c r="D101" s="130"/>
      <c r="J101" s="137"/>
    </row>
    <row r="102" spans="2:10">
      <c r="B102" s="129"/>
      <c r="C102" s="24"/>
      <c r="D102" s="130"/>
      <c r="J102" s="137"/>
    </row>
    <row r="103" spans="2:10">
      <c r="B103" s="129"/>
      <c r="C103" s="24"/>
      <c r="D103" s="130"/>
      <c r="J103" s="137"/>
    </row>
    <row r="104" spans="2:10">
      <c r="B104" s="129"/>
      <c r="C104" s="24"/>
      <c r="D104" s="130"/>
      <c r="J104" s="137"/>
    </row>
    <row r="105" spans="2:10">
      <c r="B105" s="129"/>
      <c r="C105" s="24"/>
      <c r="D105" s="130"/>
      <c r="J105" s="137"/>
    </row>
    <row r="106" spans="2:10">
      <c r="B106" s="129"/>
      <c r="C106" s="24"/>
      <c r="D106" s="130"/>
      <c r="J106" s="137"/>
    </row>
    <row r="107" spans="2:10">
      <c r="B107" s="129"/>
      <c r="C107" s="24"/>
      <c r="D107" s="130"/>
      <c r="J107" s="137"/>
    </row>
    <row r="108" spans="2:10">
      <c r="B108" s="129"/>
      <c r="C108" s="24"/>
      <c r="D108" s="130"/>
      <c r="J108" s="137"/>
    </row>
    <row r="109" spans="2:10">
      <c r="B109" s="129"/>
      <c r="C109" s="24"/>
      <c r="D109" s="130"/>
      <c r="J109" s="137"/>
    </row>
    <row r="110" spans="2:10">
      <c r="B110" s="129"/>
      <c r="C110" s="24"/>
      <c r="D110" s="130"/>
      <c r="J110" s="137"/>
    </row>
    <row r="111" spans="2:10">
      <c r="B111" s="129"/>
      <c r="C111" s="24"/>
      <c r="D111" s="130"/>
      <c r="J111" s="137"/>
    </row>
    <row r="112" spans="2:10">
      <c r="B112" s="129"/>
      <c r="C112" s="24"/>
      <c r="D112" s="130"/>
      <c r="J112" s="137"/>
    </row>
    <row r="113" spans="2:10">
      <c r="B113" s="129"/>
      <c r="C113" s="24"/>
      <c r="D113" s="130"/>
      <c r="J113" s="137"/>
    </row>
    <row r="114" spans="2:10">
      <c r="B114" s="129"/>
      <c r="C114" s="24"/>
      <c r="D114" s="130"/>
      <c r="J114" s="137"/>
    </row>
    <row r="115" spans="2:10">
      <c r="B115" s="129"/>
      <c r="C115" s="24"/>
      <c r="D115" s="130"/>
      <c r="J115" s="137"/>
    </row>
    <row r="116" spans="2:10">
      <c r="B116" s="129"/>
      <c r="C116" s="24"/>
      <c r="D116" s="130"/>
      <c r="J116" s="137"/>
    </row>
    <row r="117" spans="2:10">
      <c r="B117" s="129"/>
      <c r="C117" s="24"/>
      <c r="D117" s="130"/>
      <c r="J117" s="137"/>
    </row>
    <row r="118" spans="2:10">
      <c r="B118" s="129"/>
      <c r="C118" s="24"/>
      <c r="D118" s="130"/>
      <c r="J118" s="137"/>
    </row>
    <row r="119" spans="2:10">
      <c r="B119" s="129"/>
      <c r="C119" s="24"/>
      <c r="D119" s="130"/>
      <c r="J119" s="137"/>
    </row>
    <row r="120" spans="2:10">
      <c r="B120" s="129"/>
      <c r="C120" s="24"/>
      <c r="D120" s="130"/>
      <c r="J120" s="137"/>
    </row>
    <row r="121" spans="2:10">
      <c r="B121" s="129"/>
      <c r="C121" s="24"/>
      <c r="D121" s="130"/>
      <c r="J121" s="137"/>
    </row>
    <row r="122" spans="2:10">
      <c r="B122" s="129"/>
      <c r="C122" s="24"/>
      <c r="D122" s="130"/>
      <c r="J122" s="137"/>
    </row>
    <row r="123" spans="2:10">
      <c r="B123" s="129"/>
      <c r="C123" s="24"/>
      <c r="D123" s="130"/>
      <c r="J123" s="137"/>
    </row>
    <row r="124" spans="2:10">
      <c r="B124" s="129"/>
      <c r="C124" s="24"/>
      <c r="D124" s="130"/>
      <c r="J124" s="137"/>
    </row>
    <row r="125" spans="2:10">
      <c r="B125" s="129"/>
      <c r="C125" s="24"/>
      <c r="D125" s="130"/>
      <c r="J125" s="137"/>
    </row>
    <row r="126" spans="2:10">
      <c r="B126" s="129"/>
      <c r="C126" s="24"/>
      <c r="D126" s="130"/>
      <c r="J126" s="137"/>
    </row>
    <row r="127" spans="2:10">
      <c r="B127" s="129"/>
      <c r="C127" s="24"/>
      <c r="D127" s="130"/>
      <c r="J127" s="137"/>
    </row>
    <row r="128" spans="2:10">
      <c r="B128" s="129"/>
      <c r="C128" s="24"/>
      <c r="D128" s="130"/>
      <c r="J128" s="137"/>
    </row>
    <row r="129" spans="2:10">
      <c r="B129" s="129"/>
      <c r="C129" s="24"/>
      <c r="D129" s="130"/>
      <c r="J129" s="137"/>
    </row>
    <row r="130" spans="2:10">
      <c r="B130" s="129"/>
      <c r="C130" s="24"/>
      <c r="D130" s="130"/>
      <c r="J130" s="137"/>
    </row>
    <row r="131" spans="2:10">
      <c r="B131" s="129"/>
      <c r="C131" s="24"/>
      <c r="D131" s="130"/>
      <c r="J131" s="137"/>
    </row>
    <row r="132" spans="2:10">
      <c r="B132" s="129"/>
      <c r="C132" s="24"/>
      <c r="D132" s="130"/>
      <c r="J132" s="137"/>
    </row>
    <row r="133" spans="2:10">
      <c r="B133" s="129"/>
      <c r="C133" s="24"/>
      <c r="D133" s="130"/>
      <c r="J133" s="137"/>
    </row>
    <row r="134" spans="2:10">
      <c r="B134" s="129"/>
      <c r="C134" s="24"/>
      <c r="D134" s="130"/>
      <c r="J134" s="137"/>
    </row>
    <row r="135" spans="2:10">
      <c r="B135" s="129"/>
      <c r="C135" s="24"/>
      <c r="D135" s="130"/>
      <c r="J135" s="137"/>
    </row>
    <row r="136" spans="2:10">
      <c r="B136" s="129"/>
      <c r="C136" s="24"/>
      <c r="D136" s="130"/>
      <c r="J136" s="137"/>
    </row>
    <row r="137" spans="2:10">
      <c r="B137" s="129"/>
      <c r="C137" s="24"/>
      <c r="D137" s="130"/>
      <c r="J137" s="137"/>
    </row>
    <row r="138" spans="2:10">
      <c r="B138" s="129"/>
      <c r="C138" s="24"/>
      <c r="D138" s="130"/>
      <c r="J138" s="137"/>
    </row>
    <row r="139" spans="2:10">
      <c r="B139" s="129"/>
      <c r="C139" s="24"/>
      <c r="D139" s="130"/>
      <c r="J139" s="137"/>
    </row>
    <row r="140" spans="2:10">
      <c r="B140" s="129"/>
      <c r="C140" s="24"/>
      <c r="D140" s="130"/>
      <c r="J140" s="137"/>
    </row>
    <row r="141" spans="2:10">
      <c r="B141" s="129"/>
      <c r="C141" s="24"/>
      <c r="D141" s="130"/>
      <c r="J141" s="137"/>
    </row>
    <row r="142" spans="2:10">
      <c r="B142" s="129"/>
      <c r="C142" s="24"/>
      <c r="D142" s="130"/>
      <c r="J142" s="137"/>
    </row>
    <row r="143" spans="2:10">
      <c r="B143" s="129"/>
      <c r="C143" s="24"/>
      <c r="D143" s="130"/>
      <c r="J143" s="137"/>
    </row>
    <row r="144" spans="2:10">
      <c r="B144" s="129"/>
      <c r="C144" s="24"/>
      <c r="D144" s="130"/>
      <c r="J144" s="137"/>
    </row>
    <row r="145" spans="2:10">
      <c r="B145" s="129"/>
      <c r="C145" s="24"/>
      <c r="D145" s="130"/>
      <c r="J145" s="137"/>
    </row>
    <row r="146" spans="2:10">
      <c r="B146" s="129"/>
      <c r="C146" s="24"/>
      <c r="D146" s="130"/>
      <c r="J146" s="137"/>
    </row>
    <row r="147" spans="2:10">
      <c r="B147" s="129"/>
      <c r="C147" s="24"/>
      <c r="D147" s="130"/>
      <c r="J147" s="137"/>
    </row>
    <row r="148" spans="2:10">
      <c r="B148" s="129"/>
      <c r="C148" s="24"/>
      <c r="D148" s="130"/>
      <c r="J148" s="137"/>
    </row>
    <row r="149" spans="2:10">
      <c r="B149" s="129"/>
      <c r="C149" s="24"/>
      <c r="D149" s="130"/>
      <c r="J149" s="137"/>
    </row>
    <row r="150" spans="2:10">
      <c r="B150" s="129"/>
      <c r="C150" s="24"/>
      <c r="D150" s="130"/>
      <c r="J150" s="137"/>
    </row>
    <row r="151" spans="2:10">
      <c r="B151" s="129"/>
      <c r="C151" s="24"/>
      <c r="D151" s="130"/>
      <c r="J151" s="137"/>
    </row>
    <row r="152" spans="2:10">
      <c r="B152" s="129"/>
      <c r="C152" s="24"/>
      <c r="D152" s="130"/>
      <c r="J152" s="137"/>
    </row>
    <row r="153" spans="2:10">
      <c r="B153" s="129"/>
      <c r="C153" s="24"/>
      <c r="D153" s="130"/>
      <c r="J153" s="137"/>
    </row>
    <row r="154" spans="2:10">
      <c r="B154" s="129"/>
      <c r="C154" s="24"/>
      <c r="D154" s="130"/>
      <c r="J154" s="137"/>
    </row>
    <row r="155" spans="2:10">
      <c r="B155" s="129"/>
      <c r="C155" s="24"/>
      <c r="D155" s="130"/>
      <c r="J155" s="137"/>
    </row>
    <row r="156" spans="2:10">
      <c r="B156" s="129"/>
      <c r="C156" s="24"/>
      <c r="D156" s="130"/>
      <c r="J156" s="137"/>
    </row>
    <row r="157" spans="2:10">
      <c r="B157" s="129"/>
      <c r="C157" s="24"/>
      <c r="D157" s="130"/>
      <c r="J157" s="137"/>
    </row>
    <row r="158" spans="2:10">
      <c r="B158" s="129"/>
      <c r="C158" s="24"/>
      <c r="D158" s="130"/>
      <c r="J158" s="137"/>
    </row>
    <row r="159" spans="2:10">
      <c r="B159" s="129"/>
      <c r="C159" s="24"/>
      <c r="D159" s="130"/>
      <c r="J159" s="137"/>
    </row>
    <row r="160" spans="2:10">
      <c r="B160" s="129"/>
      <c r="C160" s="24"/>
      <c r="D160" s="130"/>
      <c r="J160" s="137"/>
    </row>
    <row r="161" spans="2:10">
      <c r="B161" s="129"/>
      <c r="C161" s="24"/>
      <c r="D161" s="130"/>
      <c r="J161" s="137"/>
    </row>
    <row r="162" spans="2:10">
      <c r="B162" s="129"/>
      <c r="C162" s="24"/>
      <c r="D162" s="130"/>
      <c r="J162" s="137"/>
    </row>
    <row r="163" spans="2:10">
      <c r="B163" s="129"/>
      <c r="C163" s="24"/>
      <c r="D163" s="130"/>
      <c r="J163" s="137"/>
    </row>
    <row r="164" spans="2:10">
      <c r="B164" s="129"/>
      <c r="C164" s="24"/>
      <c r="D164" s="130"/>
      <c r="J164" s="137"/>
    </row>
    <row r="165" spans="2:10">
      <c r="B165" s="129"/>
      <c r="C165" s="24"/>
      <c r="D165" s="130"/>
      <c r="J165" s="137"/>
    </row>
    <row r="166" spans="2:10">
      <c r="B166" s="129"/>
      <c r="C166" s="24"/>
      <c r="D166" s="130"/>
      <c r="J166" s="137"/>
    </row>
    <row r="167" spans="2:10">
      <c r="B167" s="129"/>
      <c r="C167" s="24"/>
      <c r="D167" s="130"/>
      <c r="J167" s="137"/>
    </row>
    <row r="168" spans="2:10">
      <c r="B168" s="129"/>
      <c r="C168" s="24"/>
      <c r="D168" s="130"/>
      <c r="J168" s="137"/>
    </row>
    <row r="169" spans="2:10">
      <c r="B169" s="129"/>
      <c r="C169" s="24"/>
      <c r="D169" s="130"/>
      <c r="J169" s="137"/>
    </row>
    <row r="170" spans="2:10">
      <c r="B170" s="129"/>
      <c r="C170" s="24"/>
      <c r="D170" s="130"/>
      <c r="J170" s="137"/>
    </row>
    <row r="171" spans="2:10">
      <c r="B171" s="129"/>
      <c r="C171" s="24"/>
      <c r="D171" s="130"/>
      <c r="J171" s="137"/>
    </row>
    <row r="172" spans="2:10">
      <c r="B172" s="129"/>
      <c r="C172" s="24"/>
      <c r="D172" s="130"/>
    </row>
    <row r="173" spans="2:10">
      <c r="B173" s="129"/>
      <c r="C173" s="24"/>
      <c r="D173" s="130"/>
    </row>
    <row r="174" spans="2:10">
      <c r="B174" s="129"/>
      <c r="C174" s="24"/>
      <c r="D174" s="130"/>
    </row>
    <row r="175" spans="2:10">
      <c r="B175" s="129"/>
      <c r="C175" s="24"/>
      <c r="D175" s="130"/>
    </row>
    <row r="176" spans="2:10">
      <c r="B176" s="129"/>
      <c r="C176" s="24"/>
      <c r="D176" s="130"/>
    </row>
    <row r="177" spans="2:4">
      <c r="B177" s="129"/>
      <c r="C177" s="24"/>
      <c r="D177" s="130"/>
    </row>
    <row r="178" spans="2:4">
      <c r="B178" s="129"/>
      <c r="C178" s="24"/>
      <c r="D178" s="130"/>
    </row>
    <row r="179" spans="2:4">
      <c r="B179" s="129"/>
      <c r="C179" s="24"/>
      <c r="D179" s="130"/>
    </row>
    <row r="180" spans="2:4">
      <c r="B180" s="129"/>
      <c r="C180" s="24"/>
      <c r="D180" s="130"/>
    </row>
    <row r="181" spans="2:4">
      <c r="B181" s="129"/>
      <c r="C181" s="24"/>
      <c r="D181" s="130"/>
    </row>
    <row r="182" spans="2:4">
      <c r="B182" s="129"/>
      <c r="C182" s="24"/>
      <c r="D182" s="130"/>
    </row>
    <row r="183" spans="2:4">
      <c r="B183" s="129"/>
      <c r="C183" s="24"/>
      <c r="D183" s="130"/>
    </row>
    <row r="184" spans="2:4">
      <c r="B184" s="129"/>
      <c r="C184" s="24"/>
      <c r="D184" s="130"/>
    </row>
    <row r="185" spans="2:4">
      <c r="B185" s="129"/>
      <c r="C185" s="24"/>
      <c r="D185" s="130"/>
    </row>
    <row r="186" spans="2:4">
      <c r="B186" s="129"/>
      <c r="C186" s="24"/>
      <c r="D186" s="130"/>
    </row>
    <row r="187" spans="2:4">
      <c r="B187" s="129"/>
      <c r="C187" s="24"/>
      <c r="D187" s="130"/>
    </row>
    <row r="188" spans="2:4">
      <c r="B188" s="129"/>
      <c r="C188" s="24"/>
      <c r="D188" s="130"/>
    </row>
    <row r="189" spans="2:4">
      <c r="B189" s="129"/>
      <c r="C189" s="24"/>
      <c r="D189" s="130"/>
    </row>
    <row r="190" spans="2:4">
      <c r="B190" s="129"/>
      <c r="C190" s="24"/>
      <c r="D190" s="130"/>
    </row>
    <row r="191" spans="2:4">
      <c r="B191" s="129"/>
      <c r="C191" s="24"/>
      <c r="D191" s="130"/>
    </row>
    <row r="192" spans="2:4">
      <c r="B192" s="129"/>
      <c r="C192" s="24"/>
      <c r="D192" s="130"/>
    </row>
    <row r="193" spans="2:4">
      <c r="B193" s="129"/>
      <c r="C193" s="24"/>
      <c r="D193" s="130"/>
    </row>
    <row r="194" spans="2:4">
      <c r="B194" s="129"/>
      <c r="C194" s="24"/>
      <c r="D194" s="130"/>
    </row>
    <row r="195" spans="2:4">
      <c r="B195" s="129"/>
      <c r="C195" s="24"/>
      <c r="D195" s="130"/>
    </row>
    <row r="196" spans="2:4">
      <c r="B196" s="129"/>
      <c r="C196" s="24"/>
      <c r="D196" s="130"/>
    </row>
    <row r="197" spans="2:4">
      <c r="B197" s="129"/>
      <c r="C197" s="24"/>
      <c r="D197" s="130"/>
    </row>
    <row r="198" spans="2:4">
      <c r="B198" s="129"/>
      <c r="C198" s="24"/>
      <c r="D198" s="130"/>
    </row>
    <row r="199" spans="2:4">
      <c r="B199" s="129"/>
      <c r="C199" s="24"/>
      <c r="D199" s="130"/>
    </row>
    <row r="200" spans="2:4">
      <c r="B200" s="129"/>
      <c r="C200" s="24"/>
      <c r="D200" s="130"/>
    </row>
    <row r="201" spans="2:4">
      <c r="B201" s="129"/>
      <c r="C201" s="24"/>
      <c r="D201" s="130"/>
    </row>
    <row r="202" spans="2:4">
      <c r="B202" s="129"/>
      <c r="C202" s="24"/>
      <c r="D202" s="130"/>
    </row>
    <row r="203" spans="2:4">
      <c r="B203" s="129"/>
      <c r="C203" s="24"/>
      <c r="D203" s="130"/>
    </row>
    <row r="204" spans="2:4">
      <c r="B204" s="129"/>
      <c r="C204" s="24"/>
      <c r="D204" s="130"/>
    </row>
    <row r="205" spans="2:4">
      <c r="B205" s="129"/>
      <c r="C205" s="24"/>
      <c r="D205" s="130"/>
    </row>
    <row r="206" spans="2:4">
      <c r="B206" s="129"/>
      <c r="C206" s="24"/>
      <c r="D206" s="130"/>
    </row>
    <row r="207" spans="2:4">
      <c r="B207" s="129"/>
      <c r="C207" s="24"/>
      <c r="D207" s="130"/>
    </row>
    <row r="208" spans="2:4">
      <c r="B208" s="129"/>
      <c r="C208" s="24"/>
      <c r="D208" s="130"/>
    </row>
    <row r="209" spans="2:4">
      <c r="B209" s="129"/>
      <c r="C209" s="24"/>
      <c r="D209" s="130"/>
    </row>
    <row r="210" spans="2:4">
      <c r="B210" s="129"/>
      <c r="C210" s="24"/>
      <c r="D210" s="130"/>
    </row>
    <row r="211" spans="2:4">
      <c r="B211" s="129"/>
      <c r="C211" s="24"/>
      <c r="D211" s="130"/>
    </row>
    <row r="212" spans="2:4">
      <c r="B212" s="129"/>
      <c r="C212" s="24"/>
      <c r="D212" s="130"/>
    </row>
    <row r="213" spans="2:4">
      <c r="B213" s="129"/>
      <c r="C213" s="24"/>
      <c r="D213" s="130"/>
    </row>
    <row r="214" spans="2:4">
      <c r="B214" s="129"/>
      <c r="C214" s="24"/>
      <c r="D214" s="130"/>
    </row>
    <row r="215" spans="2:4">
      <c r="B215" s="129"/>
      <c r="C215" s="24"/>
      <c r="D215" s="130"/>
    </row>
    <row r="216" spans="2:4">
      <c r="B216" s="129"/>
      <c r="C216" s="24"/>
      <c r="D216" s="130"/>
    </row>
    <row r="217" spans="2:4">
      <c r="B217" s="129"/>
      <c r="C217" s="24"/>
      <c r="D217" s="130"/>
    </row>
    <row r="218" spans="2:4">
      <c r="B218" s="129"/>
      <c r="C218" s="24"/>
      <c r="D218" s="130"/>
    </row>
    <row r="219" spans="2:4">
      <c r="B219" s="129"/>
      <c r="C219" s="24"/>
      <c r="D219" s="130"/>
    </row>
    <row r="220" spans="2:4">
      <c r="B220" s="129"/>
      <c r="C220" s="24"/>
      <c r="D220" s="130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3451-8179-4874-A75C-0799E3991746}">
  <dimension ref="B1:R223"/>
  <sheetViews>
    <sheetView topLeftCell="A28" workbookViewId="0">
      <selection activeCell="Q25" sqref="Q25"/>
    </sheetView>
  </sheetViews>
  <sheetFormatPr defaultRowHeight="15.6"/>
  <cols>
    <col min="1" max="1" width="7.88671875" customWidth="1"/>
    <col min="2" max="2" width="13.21875" style="52" customWidth="1"/>
    <col min="3" max="3" width="53.77734375" style="52" customWidth="1"/>
    <col min="4" max="4" width="5.77734375" style="53" customWidth="1"/>
    <col min="5" max="5" width="10.77734375" style="53" hidden="1" customWidth="1"/>
    <col min="6" max="6" width="12.21875" style="53" hidden="1" customWidth="1"/>
    <col min="7" max="7" width="17.21875" style="53" hidden="1" customWidth="1"/>
    <col min="8" max="8" width="12.21875" style="53" customWidth="1"/>
    <col min="9" max="9" width="36.88671875" style="52" customWidth="1"/>
    <col min="10" max="16" width="8.77734375" style="52"/>
  </cols>
  <sheetData>
    <row r="1" spans="2:18">
      <c r="B1" s="63"/>
      <c r="C1" s="143"/>
      <c r="F1" s="156"/>
      <c r="G1" s="157"/>
    </row>
    <row r="2" spans="2:18">
      <c r="B2" s="144"/>
      <c r="C2" s="144"/>
      <c r="D2" s="158"/>
      <c r="E2" s="158"/>
      <c r="F2" s="158"/>
      <c r="G2" s="158"/>
      <c r="H2" s="158"/>
      <c r="I2" s="145"/>
      <c r="J2" s="145"/>
      <c r="K2" s="145"/>
      <c r="L2" s="145"/>
      <c r="M2" s="145"/>
      <c r="N2" s="145"/>
      <c r="O2" s="145"/>
      <c r="P2" s="145"/>
      <c r="Q2" s="142"/>
      <c r="R2" s="142"/>
    </row>
    <row r="3" spans="2:18" ht="31.2">
      <c r="B3" s="154" t="s">
        <v>660</v>
      </c>
      <c r="C3" s="154" t="s">
        <v>661</v>
      </c>
      <c r="D3" s="154" t="s">
        <v>7</v>
      </c>
      <c r="E3" s="154" t="s">
        <v>8</v>
      </c>
      <c r="F3" s="154" t="s">
        <v>1067</v>
      </c>
      <c r="G3" s="154" t="s">
        <v>1068</v>
      </c>
      <c r="H3" s="155" t="s">
        <v>8</v>
      </c>
      <c r="I3" s="155" t="s">
        <v>1139</v>
      </c>
      <c r="J3" s="145"/>
      <c r="K3" s="145"/>
      <c r="L3" s="145"/>
      <c r="M3" s="145"/>
      <c r="N3" s="145"/>
      <c r="O3" s="145"/>
      <c r="P3" s="145"/>
      <c r="Q3" s="142"/>
      <c r="R3" s="142"/>
    </row>
    <row r="4" spans="2:18">
      <c r="B4" s="148"/>
      <c r="C4" s="148"/>
      <c r="D4" s="74"/>
      <c r="E4" s="74"/>
      <c r="F4" s="74"/>
      <c r="G4" s="162">
        <f>BH4</f>
        <v>0</v>
      </c>
      <c r="H4" s="74"/>
      <c r="I4" s="147"/>
      <c r="J4" s="145"/>
      <c r="K4" s="145"/>
      <c r="L4" s="145"/>
      <c r="M4" s="145"/>
      <c r="N4" s="145"/>
      <c r="O4" s="145"/>
      <c r="P4" s="145"/>
      <c r="Q4" s="142"/>
      <c r="R4" s="142"/>
    </row>
    <row r="5" spans="2:18">
      <c r="B5" s="164" t="s">
        <v>1069</v>
      </c>
      <c r="C5" s="252" t="s">
        <v>1070</v>
      </c>
      <c r="D5" s="253"/>
      <c r="E5" s="253"/>
      <c r="F5" s="253"/>
      <c r="G5" s="253"/>
      <c r="H5" s="253"/>
      <c r="I5" s="254"/>
      <c r="J5" s="145"/>
      <c r="K5" s="145"/>
      <c r="L5" s="145"/>
      <c r="M5" s="145"/>
      <c r="N5" s="145"/>
      <c r="O5" s="145"/>
      <c r="P5" s="145"/>
      <c r="Q5" s="142"/>
      <c r="R5" s="142"/>
    </row>
    <row r="6" spans="2:18">
      <c r="B6" s="164" t="s">
        <v>1071</v>
      </c>
      <c r="C6" s="252" t="s">
        <v>1072</v>
      </c>
      <c r="D6" s="253"/>
      <c r="E6" s="253"/>
      <c r="F6" s="253"/>
      <c r="G6" s="253"/>
      <c r="H6" s="253"/>
      <c r="I6" s="254"/>
      <c r="J6" s="145"/>
      <c r="K6" s="145"/>
      <c r="L6" s="145"/>
      <c r="M6" s="145"/>
      <c r="N6" s="145"/>
      <c r="O6" s="145"/>
      <c r="P6" s="145"/>
      <c r="Q6" s="142"/>
      <c r="R6" s="142"/>
    </row>
    <row r="7" spans="2:18" ht="31.2">
      <c r="B7" s="149" t="s">
        <v>1073</v>
      </c>
      <c r="C7" s="150" t="s">
        <v>1074</v>
      </c>
      <c r="D7" s="146" t="s">
        <v>68</v>
      </c>
      <c r="E7" s="159">
        <v>700</v>
      </c>
      <c r="F7" s="160">
        <v>45</v>
      </c>
      <c r="G7" s="161">
        <f t="shared" ref="G7:G28" si="0">ROUND(F7*E7,2)</f>
        <v>31500</v>
      </c>
      <c r="H7" s="74">
        <v>120</v>
      </c>
      <c r="I7" s="147"/>
      <c r="J7" s="145"/>
      <c r="K7" s="145"/>
      <c r="L7" s="145"/>
      <c r="M7" s="145"/>
      <c r="N7" s="145"/>
      <c r="O7" s="145"/>
      <c r="P7" s="145"/>
      <c r="Q7" s="142"/>
      <c r="R7" s="142"/>
    </row>
    <row r="8" spans="2:18">
      <c r="B8" s="149" t="s">
        <v>1075</v>
      </c>
      <c r="C8" s="150" t="s">
        <v>1076</v>
      </c>
      <c r="D8" s="146" t="s">
        <v>980</v>
      </c>
      <c r="E8" s="159">
        <v>700</v>
      </c>
      <c r="F8" s="160">
        <v>30</v>
      </c>
      <c r="G8" s="161">
        <f t="shared" si="0"/>
        <v>21000</v>
      </c>
      <c r="H8" s="74">
        <v>150</v>
      </c>
      <c r="I8" s="147"/>
      <c r="J8" s="145"/>
      <c r="K8" s="145"/>
      <c r="L8" s="145"/>
      <c r="M8" s="145"/>
      <c r="N8" s="145"/>
      <c r="O8" s="145"/>
      <c r="P8" s="145"/>
      <c r="Q8" s="142"/>
      <c r="R8" s="142"/>
    </row>
    <row r="9" spans="2:18">
      <c r="B9" s="149" t="s">
        <v>1077</v>
      </c>
      <c r="C9" s="150" t="s">
        <v>1078</v>
      </c>
      <c r="D9" s="146" t="s">
        <v>77</v>
      </c>
      <c r="E9" s="159">
        <v>200</v>
      </c>
      <c r="F9" s="160">
        <v>20</v>
      </c>
      <c r="G9" s="161">
        <f t="shared" si="0"/>
        <v>4000</v>
      </c>
      <c r="H9" s="74">
        <v>40</v>
      </c>
      <c r="I9" s="147"/>
      <c r="J9" s="145"/>
      <c r="K9" s="145"/>
      <c r="L9" s="145"/>
      <c r="M9" s="145"/>
      <c r="N9" s="145"/>
      <c r="O9" s="145"/>
      <c r="P9" s="145"/>
      <c r="Q9" s="142"/>
      <c r="R9" s="142"/>
    </row>
    <row r="10" spans="2:18" ht="31.2">
      <c r="B10" s="149" t="s">
        <v>1079</v>
      </c>
      <c r="C10" s="150" t="s">
        <v>1080</v>
      </c>
      <c r="D10" s="146" t="s">
        <v>68</v>
      </c>
      <c r="E10" s="159">
        <v>850</v>
      </c>
      <c r="F10" s="160">
        <v>150</v>
      </c>
      <c r="G10" s="161">
        <f t="shared" si="0"/>
        <v>127500</v>
      </c>
      <c r="H10" s="74"/>
      <c r="I10" s="147"/>
      <c r="J10" s="145"/>
      <c r="K10" s="145"/>
      <c r="L10" s="145"/>
      <c r="M10" s="145"/>
      <c r="N10" s="145"/>
      <c r="O10" s="145"/>
      <c r="P10" s="145"/>
      <c r="Q10" s="142"/>
      <c r="R10" s="142"/>
    </row>
    <row r="11" spans="2:18">
      <c r="B11" s="149" t="s">
        <v>1081</v>
      </c>
      <c r="C11" s="163" t="s">
        <v>1082</v>
      </c>
      <c r="D11" s="146" t="s">
        <v>980</v>
      </c>
      <c r="E11" s="159">
        <v>850</v>
      </c>
      <c r="F11" s="160">
        <v>100</v>
      </c>
      <c r="G11" s="161">
        <f t="shared" si="0"/>
        <v>85000</v>
      </c>
      <c r="H11" s="74"/>
      <c r="I11" s="147" t="s">
        <v>1153</v>
      </c>
      <c r="J11" s="145"/>
      <c r="K11" s="145"/>
      <c r="L11" s="145"/>
      <c r="N11" s="145"/>
      <c r="O11" s="145"/>
      <c r="P11" s="145"/>
      <c r="Q11" s="142"/>
      <c r="R11" s="142"/>
    </row>
    <row r="12" spans="2:18">
      <c r="B12" s="149" t="s">
        <v>1083</v>
      </c>
      <c r="C12" s="150" t="s">
        <v>1084</v>
      </c>
      <c r="D12" s="146" t="s">
        <v>77</v>
      </c>
      <c r="E12" s="159">
        <v>850</v>
      </c>
      <c r="F12" s="160">
        <v>30</v>
      </c>
      <c r="G12" s="161">
        <f t="shared" si="0"/>
        <v>25500</v>
      </c>
      <c r="H12" s="74">
        <v>120</v>
      </c>
      <c r="I12" s="147"/>
      <c r="J12" s="145"/>
      <c r="K12" s="145"/>
      <c r="L12" s="145"/>
      <c r="M12" s="145"/>
      <c r="N12" s="145"/>
      <c r="O12" s="145"/>
      <c r="P12" s="145"/>
      <c r="Q12" s="142"/>
      <c r="R12" s="142"/>
    </row>
    <row r="13" spans="2:18" ht="31.2">
      <c r="B13" s="149" t="s">
        <v>1085</v>
      </c>
      <c r="C13" s="150" t="s">
        <v>1086</v>
      </c>
      <c r="D13" s="146" t="s">
        <v>77</v>
      </c>
      <c r="E13" s="159">
        <v>200</v>
      </c>
      <c r="F13" s="160">
        <v>20</v>
      </c>
      <c r="G13" s="161">
        <f t="shared" si="0"/>
        <v>4000</v>
      </c>
      <c r="H13" s="74">
        <v>40</v>
      </c>
      <c r="I13" s="147"/>
      <c r="J13" s="145"/>
      <c r="K13" s="145"/>
      <c r="L13" s="145"/>
      <c r="M13" s="145"/>
      <c r="N13" s="145"/>
      <c r="O13" s="145"/>
      <c r="P13" s="145"/>
      <c r="Q13" s="142"/>
      <c r="R13" s="142"/>
    </row>
    <row r="14" spans="2:18">
      <c r="B14" s="149" t="s">
        <v>1087</v>
      </c>
      <c r="C14" s="150" t="s">
        <v>1088</v>
      </c>
      <c r="D14" s="146" t="s">
        <v>77</v>
      </c>
      <c r="E14" s="159">
        <v>12</v>
      </c>
      <c r="F14" s="160">
        <v>25</v>
      </c>
      <c r="G14" s="161">
        <f t="shared" si="0"/>
        <v>300</v>
      </c>
      <c r="H14" s="74">
        <v>6</v>
      </c>
      <c r="I14" s="147"/>
      <c r="J14" s="145"/>
      <c r="K14" s="145"/>
      <c r="L14" s="145"/>
      <c r="M14" s="145"/>
      <c r="N14" s="145"/>
      <c r="O14" s="145"/>
      <c r="P14" s="145"/>
      <c r="Q14" s="142"/>
      <c r="R14" s="142"/>
    </row>
    <row r="15" spans="2:18">
      <c r="B15" s="149" t="s">
        <v>1089</v>
      </c>
      <c r="C15" s="150" t="s">
        <v>1090</v>
      </c>
      <c r="D15" s="146" t="s">
        <v>77</v>
      </c>
      <c r="E15" s="159">
        <v>67</v>
      </c>
      <c r="F15" s="160">
        <v>20</v>
      </c>
      <c r="G15" s="161">
        <f t="shared" si="0"/>
        <v>1340</v>
      </c>
      <c r="H15" s="74">
        <v>14</v>
      </c>
      <c r="I15" s="147"/>
      <c r="J15" s="145"/>
      <c r="K15" s="145"/>
      <c r="L15" s="145"/>
      <c r="M15" s="145"/>
      <c r="N15" s="145"/>
      <c r="O15" s="145"/>
      <c r="P15" s="145"/>
      <c r="Q15" s="142"/>
      <c r="R15" s="142"/>
    </row>
    <row r="16" spans="2:18" ht="31.2">
      <c r="B16" s="149" t="s">
        <v>1091</v>
      </c>
      <c r="C16" s="150" t="s">
        <v>1092</v>
      </c>
      <c r="D16" s="146" t="s">
        <v>77</v>
      </c>
      <c r="E16" s="159">
        <v>72</v>
      </c>
      <c r="F16" s="160">
        <v>25</v>
      </c>
      <c r="G16" s="161">
        <f t="shared" si="0"/>
        <v>1800</v>
      </c>
      <c r="H16" s="74">
        <v>6</v>
      </c>
      <c r="I16" s="147"/>
      <c r="J16" s="145"/>
      <c r="K16" s="145"/>
      <c r="L16" s="145"/>
      <c r="M16" s="145"/>
      <c r="N16" s="145"/>
      <c r="O16" s="145"/>
      <c r="P16" s="145"/>
      <c r="Q16" s="142"/>
      <c r="R16" s="142"/>
    </row>
    <row r="17" spans="2:18">
      <c r="B17" s="149" t="s">
        <v>1093</v>
      </c>
      <c r="C17" s="150" t="s">
        <v>1094</v>
      </c>
      <c r="D17" s="146" t="s">
        <v>77</v>
      </c>
      <c r="E17" s="159">
        <v>24</v>
      </c>
      <c r="F17" s="160">
        <v>20</v>
      </c>
      <c r="G17" s="161">
        <f t="shared" si="0"/>
        <v>480</v>
      </c>
      <c r="H17" s="74">
        <v>6</v>
      </c>
      <c r="I17" s="147"/>
      <c r="J17" s="145"/>
      <c r="K17" s="145"/>
      <c r="L17" s="145"/>
      <c r="M17" s="145"/>
      <c r="N17" s="145"/>
      <c r="O17" s="145"/>
      <c r="P17" s="145"/>
      <c r="Q17" s="142"/>
      <c r="R17" s="142"/>
    </row>
    <row r="18" spans="2:18" ht="31.2">
      <c r="B18" s="149" t="s">
        <v>1079</v>
      </c>
      <c r="C18" s="150" t="s">
        <v>1080</v>
      </c>
      <c r="D18" s="146" t="s">
        <v>68</v>
      </c>
      <c r="E18" s="159">
        <v>250</v>
      </c>
      <c r="F18" s="160">
        <v>150</v>
      </c>
      <c r="G18" s="161">
        <f t="shared" si="0"/>
        <v>37500</v>
      </c>
      <c r="H18" s="74">
        <v>60</v>
      </c>
      <c r="I18" s="147"/>
      <c r="J18" s="145"/>
      <c r="K18" s="145"/>
      <c r="L18" s="145"/>
      <c r="M18" s="145"/>
      <c r="N18" s="145"/>
      <c r="O18" s="145"/>
      <c r="P18" s="145"/>
      <c r="Q18" s="142"/>
      <c r="R18" s="142"/>
    </row>
    <row r="19" spans="2:18">
      <c r="B19" s="149" t="s">
        <v>1095</v>
      </c>
      <c r="C19" s="150" t="s">
        <v>1096</v>
      </c>
      <c r="D19" s="146" t="s">
        <v>980</v>
      </c>
      <c r="E19" s="159">
        <v>250</v>
      </c>
      <c r="F19" s="160">
        <v>200</v>
      </c>
      <c r="G19" s="161">
        <f t="shared" si="0"/>
        <v>50000</v>
      </c>
      <c r="H19" s="74">
        <v>20</v>
      </c>
      <c r="I19" s="147"/>
      <c r="J19" s="145"/>
      <c r="K19" s="145"/>
      <c r="L19" s="145"/>
      <c r="M19" s="145"/>
      <c r="N19" s="145"/>
      <c r="O19" s="145"/>
      <c r="P19" s="145"/>
      <c r="Q19" s="142"/>
      <c r="R19" s="142"/>
    </row>
    <row r="20" spans="2:18">
      <c r="B20" s="149" t="s">
        <v>1097</v>
      </c>
      <c r="C20" s="150" t="s">
        <v>1098</v>
      </c>
      <c r="D20" s="146" t="s">
        <v>77</v>
      </c>
      <c r="E20" s="159">
        <v>59</v>
      </c>
      <c r="F20" s="160">
        <v>120</v>
      </c>
      <c r="G20" s="161">
        <f t="shared" si="0"/>
        <v>7080</v>
      </c>
      <c r="H20" s="74">
        <v>20</v>
      </c>
      <c r="I20" s="147"/>
      <c r="J20" s="145"/>
      <c r="K20" s="145"/>
      <c r="L20" s="145"/>
      <c r="M20" s="145"/>
      <c r="N20" s="145"/>
      <c r="O20" s="145"/>
      <c r="P20" s="145"/>
      <c r="Q20" s="142"/>
      <c r="R20" s="142"/>
    </row>
    <row r="21" spans="2:18">
      <c r="B21" s="149" t="s">
        <v>1099</v>
      </c>
      <c r="C21" s="150" t="s">
        <v>1100</v>
      </c>
      <c r="D21" s="146" t="s">
        <v>77</v>
      </c>
      <c r="E21" s="159">
        <v>59</v>
      </c>
      <c r="F21" s="160">
        <v>70</v>
      </c>
      <c r="G21" s="161">
        <f t="shared" si="0"/>
        <v>4130</v>
      </c>
      <c r="H21" s="74">
        <v>6</v>
      </c>
      <c r="I21" s="147"/>
      <c r="J21" s="145"/>
      <c r="K21" s="145"/>
      <c r="L21" s="145"/>
      <c r="M21" s="145"/>
      <c r="N21" s="145"/>
      <c r="O21" s="145"/>
      <c r="P21" s="145"/>
      <c r="Q21" s="142"/>
      <c r="R21" s="142"/>
    </row>
    <row r="22" spans="2:18">
      <c r="B22" s="149" t="s">
        <v>1097</v>
      </c>
      <c r="C22" s="150" t="s">
        <v>1098</v>
      </c>
      <c r="D22" s="146" t="s">
        <v>77</v>
      </c>
      <c r="E22" s="159">
        <v>24</v>
      </c>
      <c r="F22" s="160">
        <v>120</v>
      </c>
      <c r="G22" s="161">
        <f t="shared" si="0"/>
        <v>2880</v>
      </c>
      <c r="H22" s="74">
        <v>6</v>
      </c>
      <c r="I22" s="147"/>
      <c r="J22" s="145"/>
      <c r="K22" s="145"/>
      <c r="L22" s="145"/>
      <c r="M22" s="145"/>
      <c r="N22" s="145"/>
      <c r="O22" s="145"/>
      <c r="P22" s="145"/>
      <c r="Q22" s="142"/>
      <c r="R22" s="142"/>
    </row>
    <row r="23" spans="2:18">
      <c r="B23" s="149" t="s">
        <v>1101</v>
      </c>
      <c r="C23" s="150" t="s">
        <v>1102</v>
      </c>
      <c r="D23" s="146" t="s">
        <v>77</v>
      </c>
      <c r="E23" s="159">
        <v>24</v>
      </c>
      <c r="F23" s="160">
        <v>1000</v>
      </c>
      <c r="G23" s="161">
        <f t="shared" si="0"/>
        <v>24000</v>
      </c>
      <c r="H23" s="74">
        <v>6</v>
      </c>
      <c r="I23" s="147"/>
      <c r="J23" s="145"/>
      <c r="K23" s="145"/>
      <c r="L23" s="145"/>
      <c r="M23" s="145"/>
      <c r="N23" s="145"/>
      <c r="O23" s="145"/>
      <c r="P23" s="145"/>
      <c r="Q23" s="142"/>
      <c r="R23" s="142"/>
    </row>
    <row r="24" spans="2:18">
      <c r="B24" s="149" t="s">
        <v>1103</v>
      </c>
      <c r="C24" s="150" t="s">
        <v>1104</v>
      </c>
      <c r="D24" s="146" t="s">
        <v>77</v>
      </c>
      <c r="E24" s="159">
        <v>24</v>
      </c>
      <c r="F24" s="160">
        <v>60</v>
      </c>
      <c r="G24" s="161">
        <f t="shared" si="0"/>
        <v>1440</v>
      </c>
      <c r="H24" s="74">
        <v>6</v>
      </c>
      <c r="I24" s="147"/>
      <c r="J24" s="145"/>
      <c r="K24" s="145"/>
      <c r="L24" s="145"/>
      <c r="M24" s="145"/>
      <c r="N24" s="145"/>
      <c r="O24" s="145"/>
      <c r="P24" s="145"/>
      <c r="Q24" s="142"/>
      <c r="R24" s="142"/>
    </row>
    <row r="25" spans="2:18">
      <c r="B25" s="149" t="s">
        <v>1105</v>
      </c>
      <c r="C25" s="150" t="s">
        <v>1106</v>
      </c>
      <c r="D25" s="146" t="s">
        <v>77</v>
      </c>
      <c r="E25" s="159">
        <v>24</v>
      </c>
      <c r="F25" s="160">
        <v>10</v>
      </c>
      <c r="G25" s="161">
        <f t="shared" si="0"/>
        <v>240</v>
      </c>
      <c r="H25" s="74">
        <v>6</v>
      </c>
      <c r="I25" s="147"/>
      <c r="J25" s="145"/>
      <c r="K25" s="145"/>
      <c r="L25" s="145"/>
      <c r="M25" s="145"/>
      <c r="N25" s="145"/>
      <c r="O25" s="145"/>
      <c r="P25" s="145"/>
      <c r="Q25" s="142"/>
      <c r="R25" s="142"/>
    </row>
    <row r="26" spans="2:18">
      <c r="B26" s="149" t="s">
        <v>1107</v>
      </c>
      <c r="C26" s="150" t="s">
        <v>1108</v>
      </c>
      <c r="D26" s="146" t="s">
        <v>77</v>
      </c>
      <c r="E26" s="159">
        <v>12</v>
      </c>
      <c r="F26" s="160">
        <v>600</v>
      </c>
      <c r="G26" s="161">
        <f t="shared" si="0"/>
        <v>7200</v>
      </c>
      <c r="H26" s="74">
        <v>5</v>
      </c>
      <c r="I26" s="147"/>
      <c r="J26" s="145"/>
      <c r="K26" s="145"/>
      <c r="L26" s="145"/>
      <c r="M26" s="145"/>
      <c r="N26" s="145"/>
      <c r="O26" s="145"/>
      <c r="P26" s="145"/>
      <c r="Q26" s="142"/>
      <c r="R26" s="142"/>
    </row>
    <row r="27" spans="2:18">
      <c r="B27" s="149" t="s">
        <v>1109</v>
      </c>
      <c r="C27" s="150" t="s">
        <v>1110</v>
      </c>
      <c r="D27" s="146" t="s">
        <v>16</v>
      </c>
      <c r="E27" s="159">
        <v>12</v>
      </c>
      <c r="F27" s="160">
        <v>500</v>
      </c>
      <c r="G27" s="161">
        <f t="shared" si="0"/>
        <v>6000</v>
      </c>
      <c r="H27" s="74">
        <v>1</v>
      </c>
      <c r="I27" s="147"/>
      <c r="J27" s="145"/>
      <c r="K27" s="145"/>
      <c r="L27" s="145"/>
      <c r="M27" s="145"/>
      <c r="N27" s="145"/>
      <c r="O27" s="145"/>
      <c r="P27" s="145"/>
      <c r="Q27" s="142"/>
      <c r="R27" s="142"/>
    </row>
    <row r="28" spans="2:18" ht="31.2">
      <c r="B28" s="149" t="s">
        <v>1111</v>
      </c>
      <c r="C28" s="150" t="s">
        <v>1112</v>
      </c>
      <c r="D28" s="146" t="s">
        <v>77</v>
      </c>
      <c r="E28" s="159">
        <v>6</v>
      </c>
      <c r="F28" s="160">
        <v>5000</v>
      </c>
      <c r="G28" s="161">
        <f t="shared" si="0"/>
        <v>30000</v>
      </c>
      <c r="H28" s="74">
        <v>1</v>
      </c>
      <c r="I28" s="147"/>
      <c r="J28" s="145"/>
      <c r="K28" s="145"/>
      <c r="L28" s="145"/>
      <c r="M28" s="145"/>
      <c r="N28" s="145"/>
      <c r="O28" s="145"/>
      <c r="P28" s="145"/>
      <c r="Q28" s="142"/>
      <c r="R28" s="142"/>
    </row>
    <row r="29" spans="2:18">
      <c r="B29" s="148"/>
      <c r="C29" s="148"/>
      <c r="D29" s="74"/>
      <c r="E29" s="74"/>
      <c r="F29" s="74"/>
      <c r="G29" s="74"/>
      <c r="H29" s="74"/>
      <c r="I29" s="147"/>
      <c r="J29" s="145"/>
      <c r="K29" s="145"/>
      <c r="L29" s="145"/>
      <c r="M29" s="145"/>
      <c r="N29" s="145"/>
      <c r="O29" s="145"/>
      <c r="P29" s="145"/>
      <c r="Q29" s="142"/>
      <c r="R29" s="142"/>
    </row>
    <row r="30" spans="2:18">
      <c r="B30" s="148"/>
      <c r="C30" s="153" t="s">
        <v>1113</v>
      </c>
      <c r="D30" s="74"/>
      <c r="E30" s="74"/>
      <c r="F30" s="74"/>
      <c r="G30" s="74"/>
      <c r="H30" s="74"/>
      <c r="I30" s="147"/>
      <c r="J30" s="145"/>
      <c r="K30" s="145"/>
      <c r="L30" s="145"/>
      <c r="M30" s="145"/>
      <c r="N30" s="145"/>
      <c r="O30" s="145"/>
      <c r="P30" s="145"/>
      <c r="Q30" s="142"/>
      <c r="R30" s="142"/>
    </row>
    <row r="31" spans="2:18">
      <c r="B31" s="147"/>
      <c r="C31" s="75" t="s">
        <v>1114</v>
      </c>
      <c r="D31" s="70" t="s">
        <v>77</v>
      </c>
      <c r="E31" s="70"/>
      <c r="F31" s="70"/>
      <c r="G31" s="70"/>
      <c r="H31" s="70">
        <v>16</v>
      </c>
      <c r="I31" s="147"/>
      <c r="J31" s="145"/>
      <c r="K31" s="145"/>
      <c r="L31" s="145"/>
      <c r="M31" s="145"/>
      <c r="N31" s="145"/>
      <c r="O31" s="145"/>
      <c r="P31" s="145"/>
      <c r="Q31" s="142"/>
      <c r="R31" s="142"/>
    </row>
    <row r="32" spans="2:18">
      <c r="B32" s="147"/>
      <c r="C32" s="75" t="s">
        <v>1115</v>
      </c>
      <c r="D32" s="70" t="s">
        <v>77</v>
      </c>
      <c r="E32" s="70"/>
      <c r="F32" s="70"/>
      <c r="G32" s="70"/>
      <c r="H32" s="70">
        <v>1</v>
      </c>
      <c r="I32" s="147"/>
      <c r="J32" s="145"/>
      <c r="K32" s="145"/>
      <c r="L32" s="145"/>
      <c r="M32" s="145"/>
      <c r="N32" s="145"/>
      <c r="O32" s="145"/>
      <c r="P32" s="145"/>
      <c r="Q32" s="142"/>
      <c r="R32" s="142"/>
    </row>
    <row r="33" spans="2:18">
      <c r="B33" s="147"/>
      <c r="C33" s="75" t="s">
        <v>1116</v>
      </c>
      <c r="D33" s="70" t="s">
        <v>68</v>
      </c>
      <c r="E33" s="70"/>
      <c r="F33" s="70"/>
      <c r="G33" s="70"/>
      <c r="H33" s="70">
        <v>25</v>
      </c>
      <c r="I33" s="147"/>
      <c r="J33" s="145"/>
      <c r="K33" s="145"/>
      <c r="L33" s="145"/>
      <c r="M33" s="145"/>
      <c r="N33" s="145"/>
      <c r="O33" s="145"/>
      <c r="P33" s="145"/>
      <c r="Q33" s="142"/>
      <c r="R33" s="142"/>
    </row>
    <row r="34" spans="2:18">
      <c r="B34" s="147"/>
      <c r="C34" s="75" t="s">
        <v>1117</v>
      </c>
      <c r="D34" s="70" t="s">
        <v>68</v>
      </c>
      <c r="E34" s="70"/>
      <c r="F34" s="70"/>
      <c r="G34" s="70"/>
      <c r="H34" s="70">
        <v>40</v>
      </c>
      <c r="I34" s="147"/>
      <c r="J34" s="145"/>
      <c r="K34" s="145"/>
      <c r="L34" s="145"/>
      <c r="M34" s="145"/>
      <c r="N34" s="145"/>
      <c r="O34" s="145"/>
      <c r="P34" s="145"/>
      <c r="Q34" s="142"/>
      <c r="R34" s="142"/>
    </row>
    <row r="35" spans="2:18">
      <c r="B35" s="147"/>
      <c r="C35" s="75" t="s">
        <v>1118</v>
      </c>
      <c r="D35" s="70" t="s">
        <v>68</v>
      </c>
      <c r="E35" s="70"/>
      <c r="F35" s="70"/>
      <c r="G35" s="70"/>
      <c r="H35" s="70">
        <v>60</v>
      </c>
      <c r="I35" s="147"/>
      <c r="J35" s="145"/>
      <c r="K35" s="145"/>
      <c r="L35" s="145"/>
      <c r="M35" s="145"/>
      <c r="N35" s="145"/>
      <c r="O35" s="145"/>
      <c r="P35" s="145"/>
      <c r="Q35" s="142"/>
      <c r="R35" s="142"/>
    </row>
    <row r="36" spans="2:18">
      <c r="B36" s="147"/>
      <c r="C36" s="75" t="s">
        <v>1119</v>
      </c>
      <c r="D36" s="70" t="s">
        <v>77</v>
      </c>
      <c r="E36" s="70"/>
      <c r="F36" s="70"/>
      <c r="G36" s="70"/>
      <c r="H36" s="70">
        <v>10</v>
      </c>
      <c r="I36" s="147"/>
      <c r="J36" s="145"/>
      <c r="K36" s="145"/>
      <c r="L36" s="145"/>
      <c r="M36" s="145"/>
      <c r="N36" s="145"/>
      <c r="O36" s="145"/>
      <c r="P36" s="145"/>
      <c r="Q36" s="142"/>
      <c r="R36" s="142"/>
    </row>
    <row r="37" spans="2:18">
      <c r="B37" s="147"/>
      <c r="C37" s="75" t="s">
        <v>1120</v>
      </c>
      <c r="D37" s="70" t="s">
        <v>77</v>
      </c>
      <c r="E37" s="70"/>
      <c r="F37" s="70"/>
      <c r="G37" s="70"/>
      <c r="H37" s="70">
        <v>6</v>
      </c>
      <c r="I37" s="147"/>
      <c r="J37" s="145"/>
      <c r="K37" s="145"/>
      <c r="L37" s="145"/>
      <c r="M37" s="145"/>
      <c r="N37" s="145"/>
      <c r="O37" s="145"/>
      <c r="P37" s="145"/>
      <c r="Q37" s="142"/>
      <c r="R37" s="142"/>
    </row>
    <row r="38" spans="2:18">
      <c r="B38" s="147"/>
      <c r="C38" s="75" t="s">
        <v>1121</v>
      </c>
      <c r="D38" s="70" t="s">
        <v>77</v>
      </c>
      <c r="E38" s="70"/>
      <c r="F38" s="70"/>
      <c r="G38" s="70"/>
      <c r="H38" s="70">
        <v>6</v>
      </c>
      <c r="I38" s="147"/>
      <c r="J38" s="145"/>
      <c r="K38" s="145"/>
      <c r="L38" s="145"/>
      <c r="M38" s="145"/>
      <c r="N38" s="145"/>
      <c r="O38" s="145"/>
      <c r="P38" s="145"/>
      <c r="Q38" s="142"/>
      <c r="R38" s="142"/>
    </row>
    <row r="39" spans="2:18">
      <c r="B39" s="147"/>
      <c r="C39" s="147"/>
      <c r="D39" s="74"/>
      <c r="E39" s="74"/>
      <c r="F39" s="74"/>
      <c r="G39" s="74"/>
      <c r="H39" s="74"/>
      <c r="I39" s="147"/>
      <c r="J39" s="145"/>
      <c r="K39" s="145"/>
      <c r="L39" s="145"/>
      <c r="M39" s="145"/>
      <c r="N39" s="145"/>
      <c r="O39" s="145"/>
      <c r="P39" s="145"/>
      <c r="Q39" s="142"/>
      <c r="R39" s="142"/>
    </row>
    <row r="40" spans="2:18">
      <c r="B40" s="147"/>
      <c r="C40" s="75" t="s">
        <v>1122</v>
      </c>
      <c r="D40" s="70"/>
      <c r="E40" s="70"/>
      <c r="F40" s="70"/>
      <c r="G40" s="70"/>
      <c r="H40" s="70"/>
      <c r="I40" s="147"/>
      <c r="J40" s="145"/>
      <c r="K40" s="145"/>
      <c r="L40" s="145"/>
      <c r="M40" s="145"/>
      <c r="N40" s="145"/>
      <c r="O40" s="145"/>
      <c r="P40" s="145"/>
      <c r="Q40" s="142"/>
      <c r="R40" s="142"/>
    </row>
    <row r="41" spans="2:18">
      <c r="B41" s="147"/>
      <c r="C41" s="75" t="s">
        <v>1123</v>
      </c>
      <c r="D41" s="70" t="s">
        <v>77</v>
      </c>
      <c r="E41" s="70"/>
      <c r="F41" s="70"/>
      <c r="G41" s="70"/>
      <c r="H41" s="70">
        <v>1</v>
      </c>
      <c r="I41" s="147"/>
      <c r="J41" s="145"/>
      <c r="K41" s="145"/>
      <c r="L41" s="145"/>
      <c r="M41" s="145"/>
      <c r="N41" s="145"/>
      <c r="O41" s="145"/>
      <c r="P41" s="145"/>
      <c r="Q41" s="142"/>
      <c r="R41" s="142"/>
    </row>
    <row r="42" spans="2:18">
      <c r="B42" s="147"/>
      <c r="C42" s="75" t="s">
        <v>1124</v>
      </c>
      <c r="D42" s="70" t="s">
        <v>77</v>
      </c>
      <c r="E42" s="70"/>
      <c r="F42" s="70"/>
      <c r="G42" s="70"/>
      <c r="H42" s="70">
        <v>4</v>
      </c>
      <c r="I42" s="147"/>
      <c r="J42" s="145"/>
      <c r="K42" s="145"/>
      <c r="L42" s="145"/>
      <c r="M42" s="145"/>
      <c r="N42" s="145"/>
      <c r="O42" s="145"/>
      <c r="P42" s="145"/>
      <c r="Q42" s="142"/>
      <c r="R42" s="142"/>
    </row>
    <row r="43" spans="2:18">
      <c r="B43" s="147"/>
      <c r="C43" s="75" t="s">
        <v>1125</v>
      </c>
      <c r="D43" s="70" t="s">
        <v>77</v>
      </c>
      <c r="E43" s="70"/>
      <c r="F43" s="70"/>
      <c r="G43" s="70"/>
      <c r="H43" s="70">
        <v>10</v>
      </c>
      <c r="I43" s="147"/>
      <c r="J43" s="145"/>
      <c r="K43" s="145"/>
      <c r="L43" s="145"/>
      <c r="M43" s="145"/>
      <c r="N43" s="145"/>
      <c r="O43" s="145"/>
      <c r="P43" s="145"/>
      <c r="Q43" s="142"/>
      <c r="R43" s="142"/>
    </row>
    <row r="44" spans="2:18">
      <c r="B44" s="147"/>
      <c r="C44" s="75" t="s">
        <v>1126</v>
      </c>
      <c r="D44" s="70" t="s">
        <v>77</v>
      </c>
      <c r="E44" s="70"/>
      <c r="F44" s="70"/>
      <c r="G44" s="70"/>
      <c r="H44" s="70">
        <v>15</v>
      </c>
      <c r="I44" s="147"/>
      <c r="J44" s="145"/>
      <c r="K44" s="145"/>
      <c r="L44" s="145"/>
      <c r="M44" s="145"/>
      <c r="N44" s="145"/>
      <c r="O44" s="145"/>
      <c r="P44" s="145"/>
      <c r="Q44" s="142"/>
      <c r="R44" s="142"/>
    </row>
    <row r="45" spans="2:18">
      <c r="B45" s="147"/>
      <c r="C45" s="147"/>
      <c r="D45" s="74"/>
      <c r="E45" s="74"/>
      <c r="F45" s="74"/>
      <c r="G45" s="74"/>
      <c r="H45" s="74"/>
      <c r="I45" s="147"/>
      <c r="J45" s="145"/>
      <c r="K45" s="145"/>
      <c r="L45" s="145"/>
      <c r="M45" s="145"/>
      <c r="N45" s="145"/>
      <c r="O45" s="145"/>
      <c r="P45" s="145"/>
      <c r="Q45" s="142"/>
      <c r="R45" s="142"/>
    </row>
    <row r="46" spans="2:18" ht="15.45" customHeight="1">
      <c r="B46" s="147"/>
      <c r="C46" s="151" t="s">
        <v>1127</v>
      </c>
      <c r="D46" s="70" t="s">
        <v>77</v>
      </c>
      <c r="E46" s="70"/>
      <c r="F46" s="70"/>
      <c r="G46" s="70"/>
      <c r="H46" s="70">
        <v>2</v>
      </c>
      <c r="I46" s="147"/>
      <c r="J46" s="145"/>
      <c r="K46" s="145"/>
      <c r="L46" s="145"/>
      <c r="M46" s="145"/>
      <c r="N46" s="145"/>
      <c r="O46" s="145"/>
      <c r="P46" s="145"/>
      <c r="Q46" s="142"/>
      <c r="R46" s="142"/>
    </row>
    <row r="47" spans="2:18">
      <c r="B47" s="147"/>
      <c r="C47" s="151" t="s">
        <v>1128</v>
      </c>
      <c r="D47" s="70" t="s">
        <v>77</v>
      </c>
      <c r="E47" s="70"/>
      <c r="F47" s="70"/>
      <c r="G47" s="70"/>
      <c r="H47" s="70">
        <v>2</v>
      </c>
      <c r="I47" s="147"/>
      <c r="J47" s="145"/>
      <c r="K47" s="145"/>
      <c r="L47" s="145"/>
      <c r="M47" s="145"/>
      <c r="N47" s="145"/>
      <c r="O47" s="145"/>
      <c r="P47" s="145"/>
      <c r="Q47" s="142"/>
      <c r="R47" s="142"/>
    </row>
    <row r="48" spans="2:18">
      <c r="B48" s="147"/>
      <c r="C48" s="152" t="s">
        <v>1129</v>
      </c>
      <c r="D48" s="70" t="s">
        <v>77</v>
      </c>
      <c r="E48" s="70"/>
      <c r="F48" s="70"/>
      <c r="G48" s="70"/>
      <c r="H48" s="70">
        <v>2</v>
      </c>
      <c r="I48" s="147"/>
      <c r="J48" s="145"/>
      <c r="K48" s="145"/>
      <c r="L48" s="145"/>
      <c r="M48" s="145"/>
      <c r="N48" s="145"/>
      <c r="O48" s="145"/>
      <c r="P48" s="145"/>
      <c r="Q48" s="142"/>
      <c r="R48" s="142"/>
    </row>
    <row r="49" spans="2:18">
      <c r="B49" s="147"/>
      <c r="C49" s="152" t="s">
        <v>1130</v>
      </c>
      <c r="D49" s="70" t="s">
        <v>77</v>
      </c>
      <c r="E49" s="70"/>
      <c r="F49" s="70"/>
      <c r="G49" s="70"/>
      <c r="H49" s="70">
        <v>2</v>
      </c>
      <c r="I49" s="147"/>
      <c r="J49" s="145"/>
      <c r="K49" s="145"/>
      <c r="L49" s="145"/>
      <c r="M49" s="145"/>
      <c r="N49" s="145"/>
      <c r="O49" s="145"/>
      <c r="P49" s="145"/>
      <c r="Q49" s="142"/>
      <c r="R49" s="142"/>
    </row>
    <row r="50" spans="2:18">
      <c r="B50" s="147"/>
      <c r="C50" s="152" t="s">
        <v>1131</v>
      </c>
      <c r="D50" s="70" t="s">
        <v>77</v>
      </c>
      <c r="E50" s="70"/>
      <c r="F50" s="70"/>
      <c r="G50" s="70"/>
      <c r="H50" s="70"/>
      <c r="I50" s="147"/>
      <c r="J50" s="145"/>
      <c r="K50" s="145"/>
      <c r="L50" s="145"/>
      <c r="M50" s="145"/>
      <c r="N50" s="145"/>
      <c r="O50" s="145"/>
      <c r="P50" s="145"/>
      <c r="Q50" s="142"/>
      <c r="R50" s="142"/>
    </row>
    <row r="51" spans="2:18" ht="46.8">
      <c r="B51" s="147"/>
      <c r="C51" s="152" t="s">
        <v>1132</v>
      </c>
      <c r="D51" s="70" t="s">
        <v>77</v>
      </c>
      <c r="E51" s="70"/>
      <c r="F51" s="70"/>
      <c r="G51" s="70"/>
      <c r="H51" s="70">
        <v>2</v>
      </c>
      <c r="I51" s="147"/>
      <c r="J51" s="145"/>
      <c r="K51" s="145"/>
      <c r="L51" s="145"/>
      <c r="M51" s="145"/>
      <c r="N51" s="145"/>
      <c r="O51" s="145"/>
      <c r="P51" s="145"/>
      <c r="Q51" s="142"/>
      <c r="R51" s="142"/>
    </row>
    <row r="52" spans="2:18">
      <c r="B52" s="145"/>
      <c r="C52" s="145"/>
      <c r="D52" s="158"/>
      <c r="E52" s="158"/>
      <c r="F52" s="158"/>
      <c r="G52" s="158"/>
      <c r="H52" s="158"/>
      <c r="I52" s="145"/>
      <c r="J52" s="145"/>
      <c r="K52" s="145"/>
      <c r="L52" s="145"/>
      <c r="M52" s="145"/>
      <c r="N52" s="145"/>
      <c r="O52" s="145"/>
      <c r="P52" s="145"/>
      <c r="Q52" s="142"/>
      <c r="R52" s="142"/>
    </row>
    <row r="53" spans="2:18">
      <c r="B53" s="145"/>
      <c r="C53" s="145"/>
      <c r="D53" s="158"/>
      <c r="E53" s="158"/>
      <c r="F53" s="158"/>
      <c r="G53" s="158"/>
      <c r="H53" s="158"/>
      <c r="I53" s="145"/>
      <c r="J53" s="145"/>
      <c r="K53" s="145"/>
      <c r="L53" s="145"/>
      <c r="M53" s="145"/>
      <c r="N53" s="145"/>
      <c r="O53" s="145"/>
      <c r="P53" s="145"/>
      <c r="Q53" s="142"/>
      <c r="R53" s="142"/>
    </row>
    <row r="54" spans="2:18">
      <c r="B54" s="145"/>
      <c r="C54" s="145"/>
      <c r="D54" s="158"/>
      <c r="E54" s="158"/>
      <c r="F54" s="158"/>
      <c r="G54" s="158"/>
      <c r="H54" s="158"/>
      <c r="I54" s="145"/>
      <c r="J54" s="145"/>
      <c r="K54" s="145"/>
      <c r="L54" s="145"/>
      <c r="M54" s="145"/>
      <c r="N54" s="145"/>
      <c r="O54" s="145"/>
      <c r="P54" s="145"/>
      <c r="Q54" s="142"/>
      <c r="R54" s="142"/>
    </row>
    <row r="55" spans="2:18">
      <c r="B55" s="145"/>
      <c r="C55" s="145"/>
      <c r="D55" s="158"/>
      <c r="E55" s="158"/>
      <c r="F55" s="158"/>
      <c r="G55" s="158"/>
      <c r="H55" s="158"/>
      <c r="I55" s="145"/>
      <c r="J55" s="145"/>
      <c r="K55" s="145"/>
      <c r="L55" s="145"/>
      <c r="M55" s="145"/>
      <c r="N55" s="145"/>
      <c r="O55" s="145"/>
      <c r="P55" s="145"/>
      <c r="Q55" s="142"/>
      <c r="R55" s="142"/>
    </row>
    <row r="56" spans="2:18">
      <c r="B56" s="145"/>
      <c r="C56" s="145"/>
      <c r="D56" s="158"/>
      <c r="E56" s="158"/>
      <c r="F56" s="158"/>
      <c r="G56" s="158"/>
      <c r="H56" s="158"/>
      <c r="I56" s="145"/>
      <c r="J56" s="145"/>
      <c r="K56" s="145"/>
      <c r="L56" s="145"/>
      <c r="M56" s="145"/>
      <c r="N56" s="145"/>
      <c r="O56" s="145"/>
      <c r="P56" s="145"/>
      <c r="Q56" s="142"/>
      <c r="R56" s="142"/>
    </row>
    <row r="57" spans="2:18">
      <c r="B57" s="145"/>
      <c r="C57" s="145"/>
      <c r="D57" s="158"/>
      <c r="E57" s="158"/>
      <c r="F57" s="158"/>
      <c r="G57" s="158"/>
      <c r="H57" s="158"/>
      <c r="I57" s="145"/>
      <c r="J57" s="145"/>
      <c r="K57" s="145"/>
      <c r="L57" s="145"/>
      <c r="M57" s="145"/>
      <c r="N57" s="145"/>
      <c r="O57" s="145"/>
      <c r="P57" s="145"/>
      <c r="Q57" s="142"/>
      <c r="R57" s="142"/>
    </row>
    <row r="58" spans="2:18">
      <c r="B58" s="145"/>
      <c r="C58" s="145"/>
      <c r="D58" s="158"/>
      <c r="E58" s="158"/>
      <c r="F58" s="158"/>
      <c r="G58" s="158"/>
      <c r="H58" s="158"/>
      <c r="I58" s="145"/>
      <c r="J58" s="145"/>
      <c r="K58" s="145"/>
      <c r="L58" s="145"/>
      <c r="M58" s="145"/>
      <c r="N58" s="145"/>
      <c r="O58" s="145"/>
      <c r="P58" s="145"/>
      <c r="Q58" s="142"/>
      <c r="R58" s="142"/>
    </row>
    <row r="59" spans="2:18">
      <c r="B59" s="145"/>
      <c r="C59" s="145"/>
      <c r="D59" s="158"/>
      <c r="E59" s="158"/>
      <c r="F59" s="158"/>
      <c r="G59" s="158"/>
      <c r="H59" s="158"/>
      <c r="I59" s="145"/>
      <c r="J59" s="145"/>
      <c r="K59" s="145"/>
      <c r="L59" s="145"/>
      <c r="M59" s="145"/>
      <c r="N59" s="145"/>
      <c r="O59" s="145"/>
      <c r="P59" s="145"/>
      <c r="Q59" s="142"/>
      <c r="R59" s="142"/>
    </row>
    <row r="60" spans="2:18">
      <c r="B60" s="145"/>
      <c r="C60" s="145"/>
      <c r="D60" s="158"/>
      <c r="E60" s="158"/>
      <c r="F60" s="158"/>
      <c r="G60" s="158"/>
      <c r="H60" s="158"/>
      <c r="I60" s="145"/>
      <c r="J60" s="145"/>
      <c r="K60" s="145"/>
      <c r="L60" s="145"/>
      <c r="M60" s="145"/>
      <c r="N60" s="145"/>
      <c r="O60" s="145"/>
      <c r="P60" s="145"/>
      <c r="Q60" s="142"/>
      <c r="R60" s="142"/>
    </row>
    <row r="61" spans="2:18">
      <c r="B61" s="145"/>
      <c r="C61" s="145"/>
      <c r="D61" s="158"/>
      <c r="E61" s="158"/>
      <c r="F61" s="158"/>
      <c r="G61" s="158"/>
      <c r="H61" s="158"/>
      <c r="I61" s="145"/>
      <c r="J61" s="145"/>
      <c r="K61" s="145"/>
      <c r="L61" s="145"/>
      <c r="M61" s="145"/>
      <c r="N61" s="145"/>
      <c r="O61" s="145"/>
      <c r="P61" s="145"/>
      <c r="Q61" s="142"/>
      <c r="R61" s="142"/>
    </row>
    <row r="62" spans="2:18">
      <c r="B62" s="145"/>
      <c r="C62" s="145"/>
      <c r="D62" s="158"/>
      <c r="E62" s="158"/>
      <c r="F62" s="158"/>
      <c r="G62" s="158"/>
      <c r="H62" s="158"/>
      <c r="I62" s="145"/>
      <c r="J62" s="145"/>
      <c r="K62" s="145"/>
      <c r="L62" s="145"/>
      <c r="M62" s="145"/>
      <c r="N62" s="145"/>
      <c r="O62" s="145"/>
      <c r="P62" s="145"/>
      <c r="Q62" s="142"/>
      <c r="R62" s="142"/>
    </row>
    <row r="63" spans="2:18">
      <c r="B63" s="145"/>
      <c r="C63" s="145"/>
      <c r="D63" s="158"/>
      <c r="E63" s="158"/>
      <c r="F63" s="158"/>
      <c r="G63" s="158"/>
      <c r="H63" s="158"/>
      <c r="I63" s="145"/>
      <c r="J63" s="145"/>
      <c r="K63" s="145"/>
      <c r="L63" s="145"/>
      <c r="M63" s="145"/>
      <c r="N63" s="145"/>
      <c r="O63" s="145"/>
      <c r="P63" s="145"/>
      <c r="Q63" s="142"/>
      <c r="R63" s="142"/>
    </row>
    <row r="64" spans="2:18">
      <c r="B64" s="145"/>
      <c r="C64" s="145"/>
      <c r="D64" s="158"/>
      <c r="E64" s="158"/>
      <c r="F64" s="158"/>
      <c r="G64" s="158"/>
      <c r="H64" s="158"/>
      <c r="I64" s="145"/>
      <c r="J64" s="145"/>
      <c r="K64" s="145"/>
      <c r="L64" s="145"/>
      <c r="M64" s="145"/>
      <c r="N64" s="145"/>
      <c r="O64" s="145"/>
      <c r="P64" s="145"/>
      <c r="Q64" s="142"/>
      <c r="R64" s="142"/>
    </row>
    <row r="65" spans="2:18">
      <c r="B65" s="145"/>
      <c r="C65" s="145"/>
      <c r="D65" s="158"/>
      <c r="E65" s="158"/>
      <c r="F65" s="158"/>
      <c r="G65" s="158"/>
      <c r="H65" s="158"/>
      <c r="I65" s="145"/>
      <c r="J65" s="145"/>
      <c r="K65" s="145"/>
      <c r="L65" s="145"/>
      <c r="M65" s="145"/>
      <c r="N65" s="145"/>
      <c r="O65" s="145"/>
      <c r="P65" s="145"/>
      <c r="Q65" s="142"/>
      <c r="R65" s="142"/>
    </row>
    <row r="66" spans="2:18">
      <c r="B66" s="145"/>
      <c r="C66" s="145"/>
      <c r="D66" s="158"/>
      <c r="E66" s="158"/>
      <c r="F66" s="158"/>
      <c r="G66" s="158"/>
      <c r="H66" s="158"/>
      <c r="I66" s="145"/>
      <c r="J66" s="145"/>
      <c r="K66" s="145"/>
      <c r="L66" s="145"/>
      <c r="M66" s="145"/>
      <c r="N66" s="145"/>
      <c r="O66" s="145"/>
      <c r="P66" s="145"/>
      <c r="Q66" s="142"/>
      <c r="R66" s="142"/>
    </row>
    <row r="67" spans="2:18">
      <c r="B67" s="145"/>
      <c r="C67" s="145"/>
      <c r="D67" s="158"/>
      <c r="E67" s="158"/>
      <c r="F67" s="158"/>
      <c r="G67" s="158"/>
      <c r="H67" s="158"/>
      <c r="I67" s="145"/>
      <c r="J67" s="145"/>
      <c r="K67" s="145"/>
      <c r="L67" s="145"/>
      <c r="M67" s="145"/>
      <c r="N67" s="145"/>
      <c r="O67" s="145"/>
      <c r="P67" s="145"/>
      <c r="Q67" s="142"/>
      <c r="R67" s="142"/>
    </row>
    <row r="68" spans="2:18">
      <c r="B68" s="145"/>
      <c r="C68" s="145"/>
      <c r="D68" s="158"/>
      <c r="E68" s="158"/>
      <c r="F68" s="158"/>
      <c r="G68" s="158"/>
      <c r="H68" s="158"/>
      <c r="I68" s="145"/>
      <c r="J68" s="145"/>
      <c r="K68" s="145"/>
      <c r="L68" s="145"/>
      <c r="M68" s="145"/>
      <c r="N68" s="145"/>
      <c r="O68" s="145"/>
      <c r="P68" s="145"/>
      <c r="Q68" s="142"/>
      <c r="R68" s="142"/>
    </row>
    <row r="69" spans="2:18">
      <c r="B69" s="145"/>
      <c r="C69" s="145"/>
      <c r="D69" s="158"/>
      <c r="E69" s="158"/>
      <c r="F69" s="158"/>
      <c r="G69" s="158"/>
      <c r="H69" s="158"/>
      <c r="I69" s="145"/>
      <c r="J69" s="145"/>
      <c r="K69" s="145"/>
      <c r="L69" s="145"/>
      <c r="M69" s="145"/>
      <c r="N69" s="145"/>
      <c r="O69" s="145"/>
      <c r="P69" s="145"/>
      <c r="Q69" s="142"/>
      <c r="R69" s="142"/>
    </row>
    <row r="70" spans="2:18">
      <c r="B70" s="145"/>
      <c r="C70" s="145"/>
      <c r="D70" s="158"/>
      <c r="E70" s="158"/>
      <c r="F70" s="158"/>
      <c r="G70" s="158"/>
      <c r="H70" s="158"/>
      <c r="I70" s="145"/>
      <c r="J70" s="145"/>
      <c r="K70" s="145"/>
      <c r="L70" s="145"/>
      <c r="M70" s="145"/>
      <c r="N70" s="145"/>
      <c r="O70" s="145"/>
      <c r="P70" s="145"/>
      <c r="Q70" s="142"/>
      <c r="R70" s="142"/>
    </row>
    <row r="71" spans="2:18">
      <c r="B71" s="145"/>
      <c r="C71" s="145"/>
      <c r="D71" s="158"/>
      <c r="E71" s="158"/>
      <c r="F71" s="158"/>
      <c r="G71" s="158"/>
      <c r="H71" s="158"/>
      <c r="I71" s="145"/>
      <c r="J71" s="145"/>
      <c r="K71" s="145"/>
      <c r="L71" s="145"/>
      <c r="M71" s="145"/>
      <c r="N71" s="145"/>
      <c r="O71" s="145"/>
      <c r="P71" s="145"/>
      <c r="Q71" s="142"/>
      <c r="R71" s="142"/>
    </row>
    <row r="72" spans="2:18">
      <c r="B72" s="145"/>
      <c r="C72" s="145"/>
      <c r="D72" s="158"/>
      <c r="E72" s="158"/>
      <c r="F72" s="158"/>
      <c r="G72" s="158"/>
      <c r="H72" s="158"/>
      <c r="I72" s="145"/>
      <c r="J72" s="145"/>
      <c r="K72" s="145"/>
      <c r="L72" s="145"/>
      <c r="M72" s="145"/>
      <c r="N72" s="145"/>
      <c r="O72" s="145"/>
      <c r="P72" s="145"/>
      <c r="Q72" s="142"/>
      <c r="R72" s="142"/>
    </row>
    <row r="73" spans="2:18">
      <c r="B73" s="145"/>
      <c r="C73" s="145"/>
      <c r="D73" s="158"/>
      <c r="E73" s="158"/>
      <c r="F73" s="158"/>
      <c r="G73" s="158"/>
      <c r="H73" s="158"/>
      <c r="I73" s="145"/>
      <c r="J73" s="145"/>
      <c r="K73" s="145"/>
      <c r="L73" s="145"/>
      <c r="M73" s="145"/>
      <c r="N73" s="145"/>
      <c r="O73" s="145"/>
      <c r="P73" s="145"/>
      <c r="Q73" s="142"/>
      <c r="R73" s="142"/>
    </row>
    <row r="74" spans="2:18">
      <c r="B74" s="145"/>
      <c r="C74" s="145"/>
      <c r="D74" s="158"/>
      <c r="E74" s="158"/>
      <c r="F74" s="158"/>
      <c r="G74" s="158"/>
      <c r="H74" s="158"/>
      <c r="I74" s="145"/>
      <c r="J74" s="145"/>
      <c r="K74" s="145"/>
      <c r="L74" s="145"/>
      <c r="M74" s="145"/>
      <c r="N74" s="145"/>
      <c r="O74" s="145"/>
      <c r="P74" s="145"/>
      <c r="Q74" s="142"/>
      <c r="R74" s="142"/>
    </row>
    <row r="75" spans="2:18">
      <c r="B75" s="145"/>
      <c r="C75" s="145"/>
      <c r="D75" s="158"/>
      <c r="E75" s="158"/>
      <c r="F75" s="158"/>
      <c r="G75" s="158"/>
      <c r="H75" s="158"/>
      <c r="I75" s="145"/>
      <c r="J75" s="145"/>
      <c r="K75" s="145"/>
      <c r="L75" s="145"/>
      <c r="M75" s="145"/>
      <c r="N75" s="145"/>
      <c r="O75" s="145"/>
      <c r="P75" s="145"/>
      <c r="Q75" s="142"/>
      <c r="R75" s="142"/>
    </row>
    <row r="76" spans="2:18">
      <c r="B76" s="145"/>
      <c r="C76" s="145"/>
      <c r="D76" s="158"/>
      <c r="E76" s="158"/>
      <c r="F76" s="158"/>
      <c r="G76" s="158"/>
      <c r="H76" s="158"/>
      <c r="I76" s="145"/>
      <c r="J76" s="145"/>
      <c r="K76" s="145"/>
      <c r="L76" s="145"/>
      <c r="M76" s="145"/>
      <c r="N76" s="145"/>
      <c r="O76" s="145"/>
      <c r="P76" s="145"/>
      <c r="Q76" s="142"/>
      <c r="R76" s="142"/>
    </row>
    <row r="77" spans="2:18">
      <c r="B77" s="145"/>
      <c r="C77" s="145"/>
      <c r="D77" s="158"/>
      <c r="E77" s="158"/>
      <c r="F77" s="158"/>
      <c r="G77" s="158"/>
      <c r="H77" s="158"/>
      <c r="I77" s="145"/>
      <c r="J77" s="145"/>
      <c r="K77" s="145"/>
      <c r="L77" s="145"/>
      <c r="M77" s="145"/>
      <c r="N77" s="145"/>
      <c r="O77" s="145"/>
      <c r="P77" s="145"/>
      <c r="Q77" s="142"/>
      <c r="R77" s="142"/>
    </row>
    <row r="78" spans="2:18">
      <c r="B78" s="145"/>
      <c r="C78" s="145"/>
      <c r="D78" s="158"/>
      <c r="E78" s="158"/>
      <c r="F78" s="158"/>
      <c r="G78" s="158"/>
      <c r="H78" s="158"/>
      <c r="I78" s="145"/>
      <c r="J78" s="145"/>
      <c r="K78" s="145"/>
      <c r="L78" s="145"/>
      <c r="M78" s="145"/>
      <c r="N78" s="145"/>
      <c r="O78" s="145"/>
      <c r="P78" s="145"/>
      <c r="Q78" s="142"/>
      <c r="R78" s="142"/>
    </row>
    <row r="79" spans="2:18">
      <c r="B79" s="145"/>
      <c r="C79" s="145"/>
      <c r="D79" s="158"/>
      <c r="E79" s="158"/>
      <c r="F79" s="158"/>
      <c r="G79" s="158"/>
      <c r="H79" s="158"/>
      <c r="I79" s="145"/>
      <c r="J79" s="145"/>
      <c r="K79" s="145"/>
      <c r="L79" s="145"/>
      <c r="M79" s="145"/>
      <c r="N79" s="145"/>
      <c r="O79" s="145"/>
      <c r="P79" s="145"/>
      <c r="Q79" s="142"/>
      <c r="R79" s="142"/>
    </row>
    <row r="80" spans="2:18">
      <c r="B80" s="145"/>
      <c r="C80" s="145"/>
      <c r="D80" s="158"/>
      <c r="E80" s="158"/>
      <c r="F80" s="158"/>
      <c r="G80" s="158"/>
      <c r="H80" s="158"/>
      <c r="I80" s="145"/>
      <c r="J80" s="145"/>
      <c r="K80" s="145"/>
      <c r="L80" s="145"/>
      <c r="M80" s="145"/>
      <c r="N80" s="145"/>
      <c r="O80" s="145"/>
      <c r="P80" s="145"/>
      <c r="Q80" s="142"/>
      <c r="R80" s="142"/>
    </row>
    <row r="81" spans="2:18">
      <c r="B81" s="145"/>
      <c r="C81" s="145"/>
      <c r="D81" s="158"/>
      <c r="E81" s="158"/>
      <c r="F81" s="158"/>
      <c r="G81" s="158"/>
      <c r="H81" s="158"/>
      <c r="I81" s="145"/>
      <c r="J81" s="145"/>
      <c r="K81" s="145"/>
      <c r="L81" s="145"/>
      <c r="M81" s="145"/>
      <c r="N81" s="145"/>
      <c r="O81" s="145"/>
      <c r="P81" s="145"/>
      <c r="Q81" s="142"/>
      <c r="R81" s="142"/>
    </row>
    <row r="82" spans="2:18">
      <c r="B82" s="145"/>
      <c r="C82" s="145"/>
      <c r="D82" s="158"/>
      <c r="E82" s="158"/>
      <c r="F82" s="158"/>
      <c r="G82" s="158"/>
      <c r="H82" s="158"/>
      <c r="I82" s="145"/>
      <c r="J82" s="145"/>
      <c r="K82" s="145"/>
      <c r="L82" s="145"/>
      <c r="M82" s="145"/>
      <c r="N82" s="145"/>
      <c r="O82" s="145"/>
      <c r="P82" s="145"/>
      <c r="Q82" s="142"/>
      <c r="R82" s="142"/>
    </row>
    <row r="83" spans="2:18">
      <c r="B83" s="145"/>
      <c r="C83" s="145"/>
      <c r="D83" s="158"/>
      <c r="E83" s="158"/>
      <c r="F83" s="158"/>
      <c r="G83" s="158"/>
      <c r="H83" s="158"/>
      <c r="I83" s="145"/>
      <c r="J83" s="145"/>
      <c r="K83" s="145"/>
      <c r="L83" s="145"/>
      <c r="M83" s="145"/>
      <c r="N83" s="145"/>
      <c r="O83" s="145"/>
      <c r="P83" s="145"/>
      <c r="Q83" s="142"/>
      <c r="R83" s="142"/>
    </row>
    <row r="84" spans="2:18">
      <c r="B84" s="145"/>
      <c r="C84" s="145"/>
      <c r="D84" s="158"/>
      <c r="E84" s="158"/>
      <c r="F84" s="158"/>
      <c r="G84" s="158"/>
      <c r="H84" s="158"/>
      <c r="I84" s="145"/>
      <c r="J84" s="145"/>
      <c r="K84" s="145"/>
      <c r="L84" s="145"/>
      <c r="M84" s="145"/>
      <c r="N84" s="145"/>
      <c r="O84" s="145"/>
      <c r="P84" s="145"/>
      <c r="Q84" s="142"/>
      <c r="R84" s="142"/>
    </row>
    <row r="85" spans="2:18">
      <c r="B85" s="145"/>
      <c r="C85" s="145"/>
      <c r="D85" s="158"/>
      <c r="E85" s="158"/>
      <c r="F85" s="158"/>
      <c r="G85" s="158"/>
      <c r="H85" s="158"/>
      <c r="I85" s="145"/>
      <c r="J85" s="145"/>
      <c r="K85" s="145"/>
      <c r="L85" s="145"/>
      <c r="M85" s="145"/>
      <c r="N85" s="145"/>
      <c r="O85" s="145"/>
      <c r="P85" s="145"/>
      <c r="Q85" s="142"/>
      <c r="R85" s="142"/>
    </row>
    <row r="86" spans="2:18">
      <c r="B86" s="145"/>
      <c r="C86" s="145"/>
      <c r="D86" s="158"/>
      <c r="E86" s="158"/>
      <c r="F86" s="158"/>
      <c r="G86" s="158"/>
      <c r="H86" s="158"/>
      <c r="I86" s="145"/>
      <c r="J86" s="145"/>
      <c r="K86" s="145"/>
      <c r="L86" s="145"/>
      <c r="M86" s="145"/>
      <c r="N86" s="145"/>
      <c r="O86" s="145"/>
      <c r="P86" s="145"/>
      <c r="Q86" s="142"/>
      <c r="R86" s="142"/>
    </row>
    <row r="87" spans="2:18">
      <c r="B87" s="145"/>
      <c r="C87" s="145"/>
      <c r="D87" s="158"/>
      <c r="E87" s="158"/>
      <c r="F87" s="158"/>
      <c r="G87" s="158"/>
      <c r="H87" s="158"/>
      <c r="I87" s="145"/>
      <c r="J87" s="145"/>
      <c r="K87" s="145"/>
      <c r="L87" s="145"/>
      <c r="M87" s="145"/>
      <c r="N87" s="145"/>
      <c r="O87" s="145"/>
      <c r="P87" s="145"/>
      <c r="Q87" s="142"/>
      <c r="R87" s="142"/>
    </row>
    <row r="88" spans="2:18">
      <c r="B88" s="145"/>
      <c r="C88" s="145"/>
      <c r="D88" s="158"/>
      <c r="E88" s="158"/>
      <c r="F88" s="158"/>
      <c r="G88" s="158"/>
      <c r="H88" s="158"/>
      <c r="I88" s="145"/>
      <c r="J88" s="145"/>
      <c r="K88" s="145"/>
      <c r="L88" s="145"/>
      <c r="M88" s="145"/>
      <c r="N88" s="145"/>
      <c r="O88" s="145"/>
      <c r="P88" s="145"/>
      <c r="Q88" s="142"/>
      <c r="R88" s="142"/>
    </row>
    <row r="89" spans="2:18">
      <c r="B89" s="145"/>
      <c r="C89" s="145"/>
      <c r="D89" s="158"/>
      <c r="E89" s="158"/>
      <c r="F89" s="158"/>
      <c r="G89" s="158"/>
      <c r="H89" s="158"/>
      <c r="I89" s="145"/>
      <c r="J89" s="145"/>
      <c r="K89" s="145"/>
      <c r="L89" s="145"/>
      <c r="M89" s="145"/>
      <c r="N89" s="145"/>
      <c r="O89" s="145"/>
      <c r="P89" s="145"/>
      <c r="Q89" s="142"/>
      <c r="R89" s="142"/>
    </row>
    <row r="90" spans="2:18">
      <c r="B90" s="145"/>
      <c r="C90" s="145"/>
      <c r="D90" s="158"/>
      <c r="E90" s="158"/>
      <c r="F90" s="158"/>
      <c r="G90" s="158"/>
      <c r="H90" s="158"/>
      <c r="I90" s="145"/>
      <c r="J90" s="145"/>
      <c r="K90" s="145"/>
      <c r="L90" s="145"/>
      <c r="M90" s="145"/>
      <c r="N90" s="145"/>
      <c r="O90" s="145"/>
      <c r="P90" s="145"/>
      <c r="Q90" s="142"/>
      <c r="R90" s="142"/>
    </row>
    <row r="91" spans="2:18">
      <c r="B91" s="145"/>
      <c r="C91" s="145"/>
      <c r="D91" s="158"/>
      <c r="E91" s="158"/>
      <c r="F91" s="158"/>
      <c r="G91" s="158"/>
      <c r="H91" s="158"/>
      <c r="I91" s="145"/>
      <c r="J91" s="145"/>
      <c r="K91" s="145"/>
      <c r="L91" s="145"/>
      <c r="M91" s="145"/>
      <c r="N91" s="145"/>
      <c r="O91" s="145"/>
      <c r="P91" s="145"/>
      <c r="Q91" s="142"/>
      <c r="R91" s="142"/>
    </row>
    <row r="92" spans="2:18">
      <c r="B92" s="145"/>
      <c r="C92" s="145"/>
      <c r="D92" s="158"/>
      <c r="E92" s="158"/>
      <c r="F92" s="158"/>
      <c r="G92" s="158"/>
      <c r="H92" s="158"/>
      <c r="I92" s="145"/>
      <c r="J92" s="145"/>
      <c r="K92" s="145"/>
      <c r="L92" s="145"/>
      <c r="M92" s="145"/>
      <c r="N92" s="145"/>
      <c r="O92" s="145"/>
      <c r="P92" s="145"/>
      <c r="Q92" s="142"/>
      <c r="R92" s="142"/>
    </row>
    <row r="93" spans="2:18">
      <c r="B93" s="145"/>
      <c r="C93" s="145"/>
      <c r="D93" s="158"/>
      <c r="E93" s="158"/>
      <c r="F93" s="158"/>
      <c r="G93" s="158"/>
      <c r="H93" s="158"/>
      <c r="I93" s="145"/>
      <c r="J93" s="145"/>
      <c r="K93" s="145"/>
      <c r="L93" s="145"/>
      <c r="M93" s="145"/>
      <c r="N93" s="145"/>
      <c r="O93" s="145"/>
      <c r="P93" s="145"/>
      <c r="Q93" s="142"/>
      <c r="R93" s="142"/>
    </row>
    <row r="94" spans="2:18">
      <c r="B94" s="145"/>
      <c r="C94" s="145"/>
      <c r="D94" s="158"/>
      <c r="E94" s="158"/>
      <c r="F94" s="158"/>
      <c r="G94" s="158"/>
      <c r="H94" s="158"/>
      <c r="I94" s="145"/>
      <c r="J94" s="145"/>
      <c r="K94" s="145"/>
      <c r="L94" s="145"/>
      <c r="M94" s="145"/>
      <c r="N94" s="145"/>
      <c r="O94" s="145"/>
      <c r="P94" s="145"/>
      <c r="Q94" s="142"/>
      <c r="R94" s="142"/>
    </row>
    <row r="95" spans="2:18">
      <c r="B95" s="145"/>
      <c r="C95" s="145"/>
      <c r="D95" s="158"/>
      <c r="E95" s="158"/>
      <c r="F95" s="158"/>
      <c r="G95" s="158"/>
      <c r="H95" s="158"/>
      <c r="I95" s="145"/>
      <c r="J95" s="145"/>
      <c r="K95" s="145"/>
      <c r="L95" s="145"/>
      <c r="M95" s="145"/>
      <c r="N95" s="145"/>
      <c r="O95" s="145"/>
      <c r="P95" s="145"/>
      <c r="Q95" s="142"/>
      <c r="R95" s="142"/>
    </row>
    <row r="96" spans="2:18">
      <c r="B96" s="145"/>
      <c r="C96" s="145"/>
      <c r="D96" s="158"/>
      <c r="E96" s="158"/>
      <c r="F96" s="158"/>
      <c r="G96" s="158"/>
      <c r="H96" s="158"/>
      <c r="I96" s="145"/>
      <c r="J96" s="145"/>
      <c r="K96" s="145"/>
      <c r="L96" s="145"/>
      <c r="M96" s="145"/>
      <c r="N96" s="145"/>
      <c r="O96" s="145"/>
      <c r="P96" s="145"/>
      <c r="Q96" s="142"/>
      <c r="R96" s="142"/>
    </row>
    <row r="97" spans="2:18">
      <c r="B97" s="145"/>
      <c r="C97" s="145"/>
      <c r="D97" s="158"/>
      <c r="E97" s="158"/>
      <c r="F97" s="158"/>
      <c r="G97" s="158"/>
      <c r="H97" s="158"/>
      <c r="I97" s="145"/>
      <c r="J97" s="145"/>
      <c r="K97" s="145"/>
      <c r="L97" s="145"/>
      <c r="M97" s="145"/>
      <c r="N97" s="145"/>
      <c r="O97" s="145"/>
      <c r="P97" s="145"/>
      <c r="Q97" s="142"/>
      <c r="R97" s="142"/>
    </row>
    <row r="98" spans="2:18">
      <c r="B98" s="145"/>
      <c r="C98" s="145"/>
      <c r="D98" s="158"/>
      <c r="E98" s="158"/>
      <c r="F98" s="158"/>
      <c r="G98" s="158"/>
      <c r="H98" s="158"/>
      <c r="I98" s="145"/>
      <c r="J98" s="145"/>
      <c r="K98" s="145"/>
      <c r="L98" s="145"/>
      <c r="M98" s="145"/>
      <c r="N98" s="145"/>
      <c r="O98" s="145"/>
      <c r="P98" s="145"/>
      <c r="Q98" s="142"/>
      <c r="R98" s="142"/>
    </row>
    <row r="99" spans="2:18">
      <c r="B99" s="145"/>
      <c r="C99" s="145"/>
      <c r="D99" s="158"/>
      <c r="E99" s="158"/>
      <c r="F99" s="158"/>
      <c r="G99" s="158"/>
      <c r="H99" s="158"/>
      <c r="I99" s="145"/>
      <c r="J99" s="145"/>
      <c r="K99" s="145"/>
      <c r="L99" s="145"/>
      <c r="M99" s="145"/>
      <c r="N99" s="145"/>
      <c r="O99" s="145"/>
      <c r="P99" s="145"/>
      <c r="Q99" s="142"/>
      <c r="R99" s="142"/>
    </row>
    <row r="100" spans="2:18">
      <c r="B100" s="145"/>
      <c r="C100" s="145"/>
      <c r="D100" s="158"/>
      <c r="E100" s="158"/>
      <c r="F100" s="158"/>
      <c r="G100" s="158"/>
      <c r="H100" s="158"/>
      <c r="I100" s="145"/>
      <c r="J100" s="145"/>
      <c r="K100" s="145"/>
      <c r="L100" s="145"/>
      <c r="M100" s="145"/>
      <c r="N100" s="145"/>
      <c r="O100" s="145"/>
      <c r="P100" s="145"/>
      <c r="Q100" s="142"/>
      <c r="R100" s="142"/>
    </row>
    <row r="101" spans="2:18">
      <c r="B101" s="145"/>
      <c r="C101" s="145"/>
      <c r="D101" s="158"/>
      <c r="E101" s="158"/>
      <c r="F101" s="158"/>
      <c r="G101" s="158"/>
      <c r="H101" s="158"/>
      <c r="I101" s="145"/>
      <c r="J101" s="145"/>
      <c r="K101" s="145"/>
      <c r="L101" s="145"/>
      <c r="M101" s="145"/>
      <c r="N101" s="145"/>
      <c r="O101" s="145"/>
      <c r="P101" s="145"/>
      <c r="Q101" s="142"/>
      <c r="R101" s="142"/>
    </row>
    <row r="102" spans="2:18">
      <c r="B102" s="145"/>
      <c r="C102" s="145"/>
      <c r="D102" s="158"/>
      <c r="E102" s="158"/>
      <c r="F102" s="158"/>
      <c r="G102" s="158"/>
      <c r="H102" s="158"/>
      <c r="I102" s="145"/>
      <c r="J102" s="145"/>
      <c r="K102" s="145"/>
      <c r="L102" s="145"/>
      <c r="M102" s="145"/>
      <c r="N102" s="145"/>
      <c r="O102" s="145"/>
      <c r="P102" s="145"/>
      <c r="Q102" s="142"/>
      <c r="R102" s="142"/>
    </row>
    <row r="103" spans="2:18">
      <c r="B103" s="145"/>
      <c r="C103" s="145"/>
      <c r="D103" s="158"/>
      <c r="E103" s="158"/>
      <c r="F103" s="158"/>
      <c r="G103" s="158"/>
      <c r="H103" s="158"/>
      <c r="I103" s="145"/>
      <c r="J103" s="145"/>
      <c r="K103" s="145"/>
      <c r="L103" s="145"/>
      <c r="M103" s="145"/>
      <c r="N103" s="145"/>
      <c r="O103" s="145"/>
      <c r="P103" s="145"/>
      <c r="Q103" s="142"/>
      <c r="R103" s="142"/>
    </row>
    <row r="104" spans="2:18">
      <c r="B104" s="145"/>
      <c r="C104" s="145"/>
      <c r="D104" s="158"/>
      <c r="E104" s="158"/>
      <c r="F104" s="158"/>
      <c r="G104" s="158"/>
      <c r="H104" s="158"/>
      <c r="I104" s="145"/>
      <c r="J104" s="145"/>
      <c r="K104" s="145"/>
      <c r="L104" s="145"/>
      <c r="M104" s="145"/>
      <c r="N104" s="145"/>
      <c r="O104" s="145"/>
      <c r="P104" s="145"/>
      <c r="Q104" s="142"/>
      <c r="R104" s="142"/>
    </row>
    <row r="105" spans="2:18">
      <c r="B105" s="145"/>
      <c r="C105" s="145"/>
      <c r="D105" s="158"/>
      <c r="E105" s="158"/>
      <c r="F105" s="158"/>
      <c r="G105" s="158"/>
      <c r="H105" s="158"/>
      <c r="I105" s="145"/>
      <c r="J105" s="145"/>
      <c r="K105" s="145"/>
      <c r="L105" s="145"/>
      <c r="M105" s="145"/>
      <c r="N105" s="145"/>
      <c r="O105" s="145"/>
      <c r="P105" s="145"/>
      <c r="Q105" s="142"/>
      <c r="R105" s="142"/>
    </row>
    <row r="106" spans="2:18">
      <c r="B106" s="145"/>
      <c r="C106" s="145"/>
      <c r="D106" s="158"/>
      <c r="E106" s="158"/>
      <c r="F106" s="158"/>
      <c r="G106" s="158"/>
      <c r="H106" s="158"/>
      <c r="I106" s="145"/>
      <c r="J106" s="145"/>
      <c r="K106" s="145"/>
      <c r="L106" s="145"/>
      <c r="M106" s="145"/>
      <c r="N106" s="145"/>
      <c r="O106" s="145"/>
      <c r="P106" s="145"/>
      <c r="Q106" s="142"/>
      <c r="R106" s="142"/>
    </row>
    <row r="107" spans="2:18">
      <c r="B107" s="145"/>
      <c r="C107" s="145"/>
      <c r="D107" s="158"/>
      <c r="E107" s="158"/>
      <c r="F107" s="158"/>
      <c r="G107" s="158"/>
      <c r="H107" s="158"/>
      <c r="I107" s="145"/>
      <c r="J107" s="145"/>
      <c r="K107" s="145"/>
      <c r="L107" s="145"/>
      <c r="M107" s="145"/>
      <c r="N107" s="145"/>
      <c r="O107" s="145"/>
      <c r="P107" s="145"/>
      <c r="Q107" s="142"/>
      <c r="R107" s="142"/>
    </row>
    <row r="108" spans="2:18">
      <c r="B108" s="145"/>
      <c r="C108" s="145"/>
      <c r="D108" s="158"/>
      <c r="E108" s="158"/>
      <c r="F108" s="158"/>
      <c r="G108" s="158"/>
      <c r="H108" s="158"/>
      <c r="I108" s="145"/>
      <c r="J108" s="145"/>
      <c r="K108" s="145"/>
      <c r="L108" s="145"/>
      <c r="M108" s="145"/>
      <c r="N108" s="145"/>
      <c r="O108" s="145"/>
      <c r="P108" s="145"/>
      <c r="Q108" s="142"/>
      <c r="R108" s="142"/>
    </row>
    <row r="109" spans="2:18">
      <c r="B109" s="145"/>
      <c r="C109" s="145"/>
      <c r="D109" s="158"/>
      <c r="E109" s="158"/>
      <c r="F109" s="158"/>
      <c r="G109" s="158"/>
      <c r="H109" s="158"/>
      <c r="I109" s="145"/>
      <c r="J109" s="145"/>
      <c r="K109" s="145"/>
      <c r="L109" s="145"/>
      <c r="M109" s="145"/>
      <c r="N109" s="145"/>
      <c r="O109" s="145"/>
      <c r="P109" s="145"/>
      <c r="Q109" s="142"/>
      <c r="R109" s="142"/>
    </row>
    <row r="110" spans="2:18">
      <c r="B110" s="145"/>
      <c r="C110" s="145"/>
      <c r="D110" s="158"/>
      <c r="E110" s="158"/>
      <c r="F110" s="158"/>
      <c r="G110" s="158"/>
      <c r="H110" s="158"/>
      <c r="I110" s="145"/>
      <c r="J110" s="145"/>
      <c r="K110" s="145"/>
      <c r="L110" s="145"/>
      <c r="M110" s="145"/>
      <c r="N110" s="145"/>
      <c r="O110" s="145"/>
      <c r="P110" s="145"/>
      <c r="Q110" s="142"/>
      <c r="R110" s="142"/>
    </row>
    <row r="111" spans="2:18">
      <c r="B111" s="145"/>
      <c r="C111" s="145"/>
      <c r="D111" s="158"/>
      <c r="E111" s="158"/>
      <c r="F111" s="158"/>
      <c r="G111" s="158"/>
      <c r="H111" s="158"/>
      <c r="I111" s="145"/>
      <c r="J111" s="145"/>
      <c r="K111" s="145"/>
      <c r="L111" s="145"/>
      <c r="M111" s="145"/>
      <c r="N111" s="145"/>
      <c r="O111" s="145"/>
      <c r="P111" s="145"/>
      <c r="Q111" s="142"/>
      <c r="R111" s="142"/>
    </row>
    <row r="112" spans="2:18">
      <c r="B112" s="145"/>
      <c r="C112" s="145"/>
      <c r="D112" s="158"/>
      <c r="E112" s="158"/>
      <c r="F112" s="158"/>
      <c r="G112" s="158"/>
      <c r="H112" s="158"/>
      <c r="I112" s="145"/>
      <c r="J112" s="145"/>
      <c r="K112" s="145"/>
      <c r="L112" s="145"/>
      <c r="M112" s="145"/>
      <c r="N112" s="145"/>
      <c r="O112" s="145"/>
      <c r="P112" s="145"/>
      <c r="Q112" s="142"/>
      <c r="R112" s="142"/>
    </row>
    <row r="113" spans="2:18">
      <c r="B113" s="145"/>
      <c r="C113" s="145"/>
      <c r="D113" s="158"/>
      <c r="E113" s="158"/>
      <c r="F113" s="158"/>
      <c r="G113" s="158"/>
      <c r="H113" s="158"/>
      <c r="I113" s="145"/>
      <c r="J113" s="145"/>
      <c r="K113" s="145"/>
      <c r="L113" s="145"/>
      <c r="M113" s="145"/>
      <c r="N113" s="145"/>
      <c r="O113" s="145"/>
      <c r="P113" s="145"/>
      <c r="Q113" s="142"/>
      <c r="R113" s="142"/>
    </row>
    <row r="114" spans="2:18">
      <c r="B114" s="145"/>
      <c r="C114" s="145"/>
      <c r="D114" s="158"/>
      <c r="E114" s="158"/>
      <c r="F114" s="158"/>
      <c r="G114" s="158"/>
      <c r="H114" s="158"/>
      <c r="I114" s="145"/>
      <c r="J114" s="145"/>
      <c r="K114" s="145"/>
      <c r="L114" s="145"/>
      <c r="M114" s="145"/>
      <c r="N114" s="145"/>
      <c r="O114" s="145"/>
      <c r="P114" s="145"/>
      <c r="Q114" s="142"/>
      <c r="R114" s="142"/>
    </row>
    <row r="115" spans="2:18">
      <c r="B115" s="145"/>
      <c r="C115" s="145"/>
      <c r="D115" s="158"/>
      <c r="E115" s="158"/>
      <c r="F115" s="158"/>
      <c r="G115" s="158"/>
      <c r="H115" s="158"/>
      <c r="I115" s="145"/>
      <c r="J115" s="145"/>
      <c r="K115" s="145"/>
      <c r="L115" s="145"/>
      <c r="M115" s="145"/>
      <c r="N115" s="145"/>
      <c r="O115" s="145"/>
      <c r="P115" s="145"/>
      <c r="Q115" s="142"/>
      <c r="R115" s="142"/>
    </row>
    <row r="116" spans="2:18">
      <c r="B116" s="145"/>
      <c r="C116" s="145"/>
      <c r="D116" s="158"/>
      <c r="E116" s="158"/>
      <c r="F116" s="158"/>
      <c r="G116" s="158"/>
      <c r="H116" s="158"/>
      <c r="I116" s="145"/>
      <c r="J116" s="145"/>
      <c r="K116" s="145"/>
      <c r="L116" s="145"/>
      <c r="M116" s="145"/>
      <c r="N116" s="145"/>
      <c r="O116" s="145"/>
      <c r="P116" s="145"/>
      <c r="Q116" s="142"/>
      <c r="R116" s="142"/>
    </row>
    <row r="117" spans="2:18">
      <c r="B117" s="145"/>
      <c r="C117" s="145"/>
      <c r="D117" s="158"/>
      <c r="E117" s="158"/>
      <c r="F117" s="158"/>
      <c r="G117" s="158"/>
      <c r="H117" s="158"/>
      <c r="I117" s="145"/>
      <c r="J117" s="145"/>
      <c r="K117" s="145"/>
      <c r="L117" s="145"/>
      <c r="M117" s="145"/>
      <c r="N117" s="145"/>
      <c r="O117" s="145"/>
      <c r="P117" s="145"/>
      <c r="Q117" s="142"/>
      <c r="R117" s="142"/>
    </row>
    <row r="118" spans="2:18">
      <c r="B118" s="145"/>
      <c r="C118" s="145"/>
      <c r="D118" s="158"/>
      <c r="E118" s="158"/>
      <c r="F118" s="158"/>
      <c r="G118" s="158"/>
      <c r="H118" s="158"/>
      <c r="I118" s="145"/>
      <c r="J118" s="145"/>
      <c r="K118" s="145"/>
      <c r="L118" s="145"/>
      <c r="M118" s="145"/>
      <c r="N118" s="145"/>
      <c r="O118" s="145"/>
      <c r="P118" s="145"/>
      <c r="Q118" s="142"/>
      <c r="R118" s="142"/>
    </row>
    <row r="119" spans="2:18">
      <c r="B119" s="145"/>
      <c r="C119" s="145"/>
      <c r="D119" s="158"/>
      <c r="E119" s="158"/>
      <c r="F119" s="158"/>
      <c r="G119" s="158"/>
      <c r="H119" s="158"/>
      <c r="I119" s="145"/>
      <c r="J119" s="145"/>
      <c r="K119" s="145"/>
      <c r="L119" s="145"/>
      <c r="M119" s="145"/>
      <c r="N119" s="145"/>
      <c r="O119" s="145"/>
      <c r="P119" s="145"/>
      <c r="Q119" s="142"/>
      <c r="R119" s="142"/>
    </row>
    <row r="120" spans="2:18">
      <c r="B120" s="145"/>
      <c r="C120" s="145"/>
      <c r="D120" s="158"/>
      <c r="E120" s="158"/>
      <c r="F120" s="158"/>
      <c r="G120" s="158"/>
      <c r="H120" s="158"/>
      <c r="I120" s="145"/>
      <c r="J120" s="145"/>
      <c r="K120" s="145"/>
      <c r="L120" s="145"/>
      <c r="M120" s="145"/>
      <c r="N120" s="145"/>
      <c r="O120" s="145"/>
      <c r="P120" s="145"/>
      <c r="Q120" s="142"/>
      <c r="R120" s="142"/>
    </row>
    <row r="121" spans="2:18">
      <c r="B121" s="145"/>
      <c r="C121" s="145"/>
      <c r="D121" s="158"/>
      <c r="E121" s="158"/>
      <c r="F121" s="158"/>
      <c r="G121" s="158"/>
      <c r="H121" s="158"/>
      <c r="I121" s="145"/>
      <c r="J121" s="145"/>
      <c r="K121" s="145"/>
      <c r="L121" s="145"/>
      <c r="M121" s="145"/>
      <c r="N121" s="145"/>
      <c r="O121" s="145"/>
      <c r="P121" s="145"/>
      <c r="Q121" s="142"/>
      <c r="R121" s="142"/>
    </row>
    <row r="122" spans="2:18">
      <c r="B122" s="145"/>
      <c r="C122" s="145"/>
      <c r="D122" s="158"/>
      <c r="E122" s="158"/>
      <c r="F122" s="158"/>
      <c r="G122" s="158"/>
      <c r="H122" s="158"/>
      <c r="I122" s="145"/>
      <c r="J122" s="145"/>
      <c r="K122" s="145"/>
      <c r="L122" s="145"/>
      <c r="M122" s="145"/>
      <c r="N122" s="145"/>
      <c r="O122" s="145"/>
      <c r="P122" s="145"/>
      <c r="Q122" s="142"/>
      <c r="R122" s="142"/>
    </row>
    <row r="123" spans="2:18">
      <c r="B123" s="145"/>
      <c r="C123" s="145"/>
      <c r="D123" s="158"/>
      <c r="E123" s="158"/>
      <c r="F123" s="158"/>
      <c r="G123" s="158"/>
      <c r="H123" s="158"/>
      <c r="I123" s="145"/>
      <c r="J123" s="145"/>
      <c r="K123" s="145"/>
      <c r="L123" s="145"/>
      <c r="M123" s="145"/>
      <c r="N123" s="145"/>
      <c r="O123" s="145"/>
      <c r="P123" s="145"/>
      <c r="Q123" s="142"/>
      <c r="R123" s="142"/>
    </row>
    <row r="124" spans="2:18">
      <c r="B124" s="145"/>
      <c r="C124" s="145"/>
      <c r="D124" s="158"/>
      <c r="E124" s="158"/>
      <c r="F124" s="158"/>
      <c r="G124" s="158"/>
      <c r="H124" s="158"/>
      <c r="I124" s="145"/>
      <c r="J124" s="145"/>
      <c r="K124" s="145"/>
      <c r="L124" s="145"/>
      <c r="M124" s="145"/>
      <c r="N124" s="145"/>
      <c r="O124" s="145"/>
      <c r="P124" s="145"/>
      <c r="Q124" s="142"/>
      <c r="R124" s="142"/>
    </row>
    <row r="125" spans="2:18">
      <c r="B125" s="145"/>
      <c r="C125" s="145"/>
      <c r="D125" s="158"/>
      <c r="E125" s="158"/>
      <c r="F125" s="158"/>
      <c r="G125" s="158"/>
      <c r="H125" s="158"/>
      <c r="I125" s="145"/>
      <c r="J125" s="145"/>
      <c r="K125" s="145"/>
      <c r="L125" s="145"/>
      <c r="M125" s="145"/>
      <c r="N125" s="145"/>
      <c r="O125" s="145"/>
      <c r="P125" s="145"/>
      <c r="Q125" s="142"/>
      <c r="R125" s="142"/>
    </row>
    <row r="126" spans="2:18">
      <c r="B126" s="145"/>
      <c r="C126" s="145"/>
      <c r="D126" s="158"/>
      <c r="E126" s="158"/>
      <c r="F126" s="158"/>
      <c r="G126" s="158"/>
      <c r="H126" s="158"/>
      <c r="I126" s="145"/>
      <c r="J126" s="145"/>
      <c r="K126" s="145"/>
      <c r="L126" s="145"/>
      <c r="M126" s="145"/>
      <c r="N126" s="145"/>
      <c r="O126" s="145"/>
      <c r="P126" s="145"/>
      <c r="Q126" s="142"/>
      <c r="R126" s="142"/>
    </row>
    <row r="127" spans="2:18">
      <c r="B127" s="145"/>
      <c r="C127" s="145"/>
      <c r="D127" s="158"/>
      <c r="E127" s="158"/>
      <c r="F127" s="158"/>
      <c r="G127" s="158"/>
      <c r="H127" s="158"/>
      <c r="I127" s="145"/>
      <c r="J127" s="145"/>
      <c r="K127" s="145"/>
      <c r="L127" s="145"/>
      <c r="M127" s="145"/>
      <c r="N127" s="145"/>
      <c r="O127" s="145"/>
      <c r="P127" s="145"/>
      <c r="Q127" s="142"/>
      <c r="R127" s="142"/>
    </row>
    <row r="128" spans="2:18">
      <c r="B128" s="145"/>
      <c r="C128" s="145"/>
      <c r="D128" s="158"/>
      <c r="E128" s="158"/>
      <c r="F128" s="158"/>
      <c r="G128" s="158"/>
      <c r="H128" s="158"/>
      <c r="I128" s="145"/>
      <c r="J128" s="145"/>
      <c r="K128" s="145"/>
      <c r="L128" s="145"/>
      <c r="M128" s="145"/>
      <c r="N128" s="145"/>
      <c r="O128" s="145"/>
      <c r="P128" s="145"/>
      <c r="Q128" s="142"/>
      <c r="R128" s="142"/>
    </row>
    <row r="129" spans="2:18">
      <c r="B129" s="145"/>
      <c r="C129" s="145"/>
      <c r="D129" s="158"/>
      <c r="E129" s="158"/>
      <c r="F129" s="158"/>
      <c r="G129" s="158"/>
      <c r="H129" s="158"/>
      <c r="I129" s="145"/>
      <c r="J129" s="145"/>
      <c r="K129" s="145"/>
      <c r="L129" s="145"/>
      <c r="M129" s="145"/>
      <c r="N129" s="145"/>
      <c r="O129" s="145"/>
      <c r="P129" s="145"/>
      <c r="Q129" s="142"/>
      <c r="R129" s="142"/>
    </row>
    <row r="130" spans="2:18">
      <c r="B130" s="145"/>
      <c r="C130" s="145"/>
      <c r="D130" s="158"/>
      <c r="E130" s="158"/>
      <c r="F130" s="158"/>
      <c r="G130" s="158"/>
      <c r="H130" s="158"/>
      <c r="I130" s="145"/>
      <c r="J130" s="145"/>
      <c r="K130" s="145"/>
      <c r="L130" s="145"/>
      <c r="M130" s="145"/>
      <c r="N130" s="145"/>
      <c r="O130" s="145"/>
      <c r="P130" s="145"/>
      <c r="Q130" s="142"/>
      <c r="R130" s="142"/>
    </row>
    <row r="131" spans="2:18">
      <c r="B131" s="145"/>
      <c r="C131" s="145"/>
      <c r="D131" s="158"/>
      <c r="E131" s="158"/>
      <c r="F131" s="158"/>
      <c r="G131" s="158"/>
      <c r="H131" s="158"/>
      <c r="I131" s="145"/>
      <c r="J131" s="145"/>
      <c r="K131" s="145"/>
      <c r="L131" s="145"/>
      <c r="M131" s="145"/>
      <c r="N131" s="145"/>
      <c r="O131" s="145"/>
      <c r="P131" s="145"/>
      <c r="Q131" s="142"/>
      <c r="R131" s="142"/>
    </row>
    <row r="132" spans="2:18">
      <c r="B132" s="145"/>
      <c r="C132" s="145"/>
      <c r="D132" s="158"/>
      <c r="E132" s="158"/>
      <c r="F132" s="158"/>
      <c r="G132" s="158"/>
      <c r="H132" s="158"/>
      <c r="I132" s="145"/>
      <c r="J132" s="145"/>
      <c r="K132" s="145"/>
      <c r="L132" s="145"/>
      <c r="M132" s="145"/>
      <c r="N132" s="145"/>
      <c r="O132" s="145"/>
      <c r="P132" s="145"/>
      <c r="Q132" s="142"/>
      <c r="R132" s="142"/>
    </row>
    <row r="133" spans="2:18">
      <c r="B133" s="145"/>
      <c r="C133" s="145"/>
      <c r="D133" s="158"/>
      <c r="E133" s="158"/>
      <c r="F133" s="158"/>
      <c r="G133" s="158"/>
      <c r="H133" s="158"/>
      <c r="I133" s="145"/>
      <c r="J133" s="145"/>
      <c r="K133" s="145"/>
      <c r="L133" s="145"/>
      <c r="M133" s="145"/>
      <c r="N133" s="145"/>
      <c r="O133" s="145"/>
      <c r="P133" s="145"/>
      <c r="Q133" s="142"/>
      <c r="R133" s="142"/>
    </row>
    <row r="134" spans="2:18">
      <c r="B134" s="145"/>
      <c r="C134" s="145"/>
      <c r="D134" s="158"/>
      <c r="E134" s="158"/>
      <c r="F134" s="158"/>
      <c r="G134" s="158"/>
      <c r="H134" s="158"/>
      <c r="I134" s="145"/>
      <c r="J134" s="145"/>
      <c r="K134" s="145"/>
      <c r="L134" s="145"/>
      <c r="M134" s="145"/>
      <c r="N134" s="145"/>
      <c r="O134" s="145"/>
      <c r="P134" s="145"/>
      <c r="Q134" s="142"/>
      <c r="R134" s="142"/>
    </row>
    <row r="135" spans="2:18">
      <c r="B135" s="145"/>
      <c r="C135" s="145"/>
      <c r="D135" s="158"/>
      <c r="E135" s="158"/>
      <c r="F135" s="158"/>
      <c r="G135" s="158"/>
      <c r="H135" s="158"/>
      <c r="I135" s="145"/>
      <c r="J135" s="145"/>
      <c r="K135" s="145"/>
      <c r="L135" s="145"/>
      <c r="M135" s="145"/>
      <c r="N135" s="145"/>
      <c r="O135" s="145"/>
      <c r="P135" s="145"/>
      <c r="Q135" s="142"/>
      <c r="R135" s="142"/>
    </row>
    <row r="136" spans="2:18">
      <c r="B136" s="145"/>
      <c r="C136" s="145"/>
      <c r="D136" s="158"/>
      <c r="E136" s="158"/>
      <c r="F136" s="158"/>
      <c r="G136" s="158"/>
      <c r="H136" s="158"/>
      <c r="I136" s="145"/>
      <c r="J136" s="145"/>
      <c r="K136" s="145"/>
      <c r="L136" s="145"/>
      <c r="M136" s="145"/>
      <c r="N136" s="145"/>
      <c r="O136" s="145"/>
      <c r="P136" s="145"/>
      <c r="Q136" s="142"/>
      <c r="R136" s="142"/>
    </row>
    <row r="137" spans="2:18">
      <c r="B137" s="145"/>
      <c r="C137" s="145"/>
      <c r="D137" s="158"/>
      <c r="E137" s="158"/>
      <c r="F137" s="158"/>
      <c r="G137" s="158"/>
      <c r="H137" s="158"/>
      <c r="I137" s="145"/>
      <c r="J137" s="145"/>
      <c r="K137" s="145"/>
      <c r="L137" s="145"/>
      <c r="M137" s="145"/>
      <c r="N137" s="145"/>
      <c r="O137" s="145"/>
      <c r="P137" s="145"/>
      <c r="Q137" s="142"/>
      <c r="R137" s="142"/>
    </row>
    <row r="138" spans="2:18">
      <c r="B138" s="145"/>
      <c r="C138" s="145"/>
      <c r="D138" s="158"/>
      <c r="E138" s="158"/>
      <c r="F138" s="158"/>
      <c r="G138" s="158"/>
      <c r="H138" s="158"/>
      <c r="I138" s="145"/>
      <c r="J138" s="145"/>
      <c r="K138" s="145"/>
      <c r="L138" s="145"/>
      <c r="M138" s="145"/>
      <c r="N138" s="145"/>
      <c r="O138" s="145"/>
      <c r="P138" s="145"/>
      <c r="Q138" s="142"/>
      <c r="R138" s="142"/>
    </row>
    <row r="139" spans="2:18">
      <c r="B139" s="145"/>
      <c r="C139" s="145"/>
      <c r="D139" s="158"/>
      <c r="E139" s="158"/>
      <c r="F139" s="158"/>
      <c r="G139" s="158"/>
      <c r="H139" s="158"/>
      <c r="I139" s="145"/>
      <c r="J139" s="145"/>
      <c r="K139" s="145"/>
      <c r="L139" s="145"/>
      <c r="M139" s="145"/>
      <c r="N139" s="145"/>
      <c r="O139" s="145"/>
      <c r="P139" s="145"/>
      <c r="Q139" s="142"/>
      <c r="R139" s="142"/>
    </row>
    <row r="140" spans="2:18">
      <c r="B140" s="145"/>
      <c r="C140" s="145"/>
      <c r="D140" s="158"/>
      <c r="E140" s="158"/>
      <c r="F140" s="158"/>
      <c r="G140" s="158"/>
      <c r="H140" s="158"/>
      <c r="I140" s="145"/>
      <c r="J140" s="145"/>
      <c r="K140" s="145"/>
      <c r="L140" s="145"/>
      <c r="M140" s="145"/>
      <c r="N140" s="145"/>
      <c r="O140" s="145"/>
      <c r="P140" s="145"/>
      <c r="Q140" s="142"/>
      <c r="R140" s="142"/>
    </row>
    <row r="141" spans="2:18">
      <c r="B141" s="145"/>
      <c r="C141" s="145"/>
      <c r="D141" s="158"/>
      <c r="E141" s="158"/>
      <c r="F141" s="158"/>
      <c r="G141" s="158"/>
      <c r="H141" s="158"/>
      <c r="I141" s="145"/>
      <c r="J141" s="145"/>
      <c r="K141" s="145"/>
      <c r="L141" s="145"/>
      <c r="M141" s="145"/>
      <c r="N141" s="145"/>
      <c r="O141" s="145"/>
      <c r="P141" s="145"/>
      <c r="Q141" s="142"/>
      <c r="R141" s="142"/>
    </row>
    <row r="142" spans="2:18">
      <c r="B142" s="145"/>
      <c r="C142" s="145"/>
      <c r="D142" s="158"/>
      <c r="E142" s="158"/>
      <c r="F142" s="158"/>
      <c r="G142" s="158"/>
      <c r="H142" s="158"/>
      <c r="I142" s="145"/>
      <c r="J142" s="145"/>
      <c r="K142" s="145"/>
      <c r="L142" s="145"/>
      <c r="M142" s="145"/>
      <c r="N142" s="145"/>
      <c r="O142" s="145"/>
      <c r="P142" s="145"/>
      <c r="Q142" s="142"/>
      <c r="R142" s="142"/>
    </row>
    <row r="143" spans="2:18">
      <c r="B143" s="145"/>
      <c r="C143" s="145"/>
      <c r="D143" s="158"/>
      <c r="E143" s="158"/>
      <c r="F143" s="158"/>
      <c r="G143" s="158"/>
      <c r="H143" s="158"/>
      <c r="I143" s="145"/>
      <c r="J143" s="145"/>
      <c r="K143" s="145"/>
      <c r="L143" s="145"/>
      <c r="M143" s="145"/>
      <c r="N143" s="145"/>
      <c r="O143" s="145"/>
      <c r="P143" s="145"/>
      <c r="Q143" s="142"/>
      <c r="R143" s="142"/>
    </row>
    <row r="144" spans="2:18">
      <c r="B144" s="145"/>
      <c r="C144" s="145"/>
      <c r="D144" s="158"/>
      <c r="E144" s="158"/>
      <c r="F144" s="158"/>
      <c r="G144" s="158"/>
      <c r="H144" s="158"/>
      <c r="I144" s="145"/>
      <c r="J144" s="145"/>
      <c r="K144" s="145"/>
      <c r="L144" s="145"/>
      <c r="M144" s="145"/>
      <c r="N144" s="145"/>
      <c r="O144" s="145"/>
      <c r="P144" s="145"/>
      <c r="Q144" s="142"/>
      <c r="R144" s="142"/>
    </row>
    <row r="145" spans="2:18">
      <c r="B145" s="145"/>
      <c r="C145" s="145"/>
      <c r="D145" s="158"/>
      <c r="E145" s="158"/>
      <c r="F145" s="158"/>
      <c r="G145" s="158"/>
      <c r="H145" s="158"/>
      <c r="I145" s="145"/>
      <c r="J145" s="145"/>
      <c r="K145" s="145"/>
      <c r="L145" s="145"/>
      <c r="M145" s="145"/>
      <c r="N145" s="145"/>
      <c r="O145" s="145"/>
      <c r="P145" s="145"/>
      <c r="Q145" s="142"/>
      <c r="R145" s="142"/>
    </row>
    <row r="146" spans="2:18">
      <c r="B146" s="145"/>
      <c r="C146" s="145"/>
      <c r="D146" s="158"/>
      <c r="E146" s="158"/>
      <c r="F146" s="158"/>
      <c r="G146" s="158"/>
      <c r="H146" s="158"/>
      <c r="I146" s="145"/>
      <c r="J146" s="145"/>
      <c r="K146" s="145"/>
      <c r="L146" s="145"/>
      <c r="M146" s="145"/>
      <c r="N146" s="145"/>
      <c r="O146" s="145"/>
      <c r="P146" s="145"/>
      <c r="Q146" s="142"/>
      <c r="R146" s="142"/>
    </row>
    <row r="147" spans="2:18">
      <c r="B147" s="145"/>
      <c r="C147" s="145"/>
      <c r="D147" s="158"/>
      <c r="E147" s="158"/>
      <c r="F147" s="158"/>
      <c r="G147" s="158"/>
      <c r="H147" s="158"/>
      <c r="I147" s="145"/>
      <c r="J147" s="145"/>
      <c r="K147" s="145"/>
      <c r="L147" s="145"/>
      <c r="M147" s="145"/>
      <c r="N147" s="145"/>
      <c r="O147" s="145"/>
      <c r="P147" s="145"/>
      <c r="Q147" s="142"/>
      <c r="R147" s="142"/>
    </row>
    <row r="148" spans="2:18">
      <c r="B148" s="145"/>
      <c r="C148" s="145"/>
      <c r="D148" s="158"/>
      <c r="E148" s="158"/>
      <c r="F148" s="158"/>
      <c r="G148" s="158"/>
      <c r="H148" s="158"/>
      <c r="I148" s="145"/>
      <c r="J148" s="145"/>
      <c r="K148" s="145"/>
      <c r="L148" s="145"/>
      <c r="M148" s="145"/>
      <c r="N148" s="145"/>
      <c r="O148" s="145"/>
      <c r="P148" s="145"/>
      <c r="Q148" s="142"/>
      <c r="R148" s="142"/>
    </row>
    <row r="149" spans="2:18">
      <c r="B149" s="145"/>
      <c r="C149" s="145"/>
      <c r="D149" s="158"/>
      <c r="E149" s="158"/>
      <c r="F149" s="158"/>
      <c r="G149" s="158"/>
      <c r="H149" s="158"/>
      <c r="I149" s="145"/>
      <c r="J149" s="145"/>
      <c r="K149" s="145"/>
      <c r="L149" s="145"/>
      <c r="M149" s="145"/>
      <c r="N149" s="145"/>
      <c r="O149" s="145"/>
      <c r="P149" s="145"/>
      <c r="Q149" s="142"/>
      <c r="R149" s="142"/>
    </row>
    <row r="150" spans="2:18">
      <c r="B150" s="145"/>
      <c r="C150" s="145"/>
      <c r="D150" s="158"/>
      <c r="E150" s="158"/>
      <c r="F150" s="158"/>
      <c r="G150" s="158"/>
      <c r="H150" s="158"/>
      <c r="I150" s="145"/>
      <c r="J150" s="145"/>
      <c r="K150" s="145"/>
      <c r="L150" s="145"/>
      <c r="M150" s="145"/>
      <c r="N150" s="145"/>
      <c r="O150" s="145"/>
      <c r="P150" s="145"/>
      <c r="Q150" s="142"/>
      <c r="R150" s="142"/>
    </row>
    <row r="151" spans="2:18">
      <c r="B151" s="145"/>
      <c r="C151" s="145"/>
      <c r="D151" s="158"/>
      <c r="E151" s="158"/>
      <c r="F151" s="158"/>
      <c r="G151" s="158"/>
      <c r="H151" s="158"/>
      <c r="I151" s="145"/>
      <c r="J151" s="145"/>
      <c r="K151" s="145"/>
      <c r="L151" s="145"/>
      <c r="M151" s="145"/>
      <c r="N151" s="145"/>
      <c r="O151" s="145"/>
      <c r="P151" s="145"/>
      <c r="Q151" s="142"/>
      <c r="R151" s="142"/>
    </row>
    <row r="152" spans="2:18">
      <c r="B152" s="145"/>
      <c r="C152" s="145"/>
      <c r="D152" s="158"/>
      <c r="E152" s="158"/>
      <c r="F152" s="158"/>
      <c r="G152" s="158"/>
      <c r="H152" s="158"/>
      <c r="I152" s="145"/>
      <c r="J152" s="145"/>
      <c r="K152" s="145"/>
      <c r="L152" s="145"/>
      <c r="M152" s="145"/>
      <c r="N152" s="145"/>
      <c r="O152" s="145"/>
      <c r="P152" s="145"/>
      <c r="Q152" s="142"/>
      <c r="R152" s="142"/>
    </row>
    <row r="153" spans="2:18">
      <c r="B153" s="145"/>
      <c r="C153" s="145"/>
      <c r="D153" s="158"/>
      <c r="E153" s="158"/>
      <c r="F153" s="158"/>
      <c r="G153" s="158"/>
      <c r="H153" s="158"/>
      <c r="I153" s="145"/>
      <c r="J153" s="145"/>
      <c r="K153" s="145"/>
      <c r="L153" s="145"/>
      <c r="M153" s="145"/>
      <c r="N153" s="145"/>
      <c r="O153" s="145"/>
      <c r="P153" s="145"/>
      <c r="Q153" s="142"/>
      <c r="R153" s="142"/>
    </row>
    <row r="154" spans="2:18">
      <c r="B154" s="145"/>
      <c r="C154" s="145"/>
      <c r="D154" s="158"/>
      <c r="E154" s="158"/>
      <c r="F154" s="158"/>
      <c r="G154" s="158"/>
      <c r="H154" s="158"/>
      <c r="I154" s="145"/>
      <c r="J154" s="145"/>
      <c r="K154" s="145"/>
      <c r="L154" s="145"/>
      <c r="M154" s="145"/>
      <c r="N154" s="145"/>
      <c r="O154" s="145"/>
      <c r="P154" s="145"/>
      <c r="Q154" s="142"/>
      <c r="R154" s="142"/>
    </row>
    <row r="155" spans="2:18">
      <c r="B155" s="145"/>
      <c r="C155" s="145"/>
      <c r="D155" s="158"/>
      <c r="E155" s="158"/>
      <c r="F155" s="158"/>
      <c r="G155" s="158"/>
      <c r="H155" s="158"/>
      <c r="I155" s="145"/>
      <c r="J155" s="145"/>
      <c r="K155" s="145"/>
      <c r="L155" s="145"/>
      <c r="M155" s="145"/>
      <c r="N155" s="145"/>
      <c r="O155" s="145"/>
      <c r="P155" s="145"/>
      <c r="Q155" s="142"/>
      <c r="R155" s="142"/>
    </row>
    <row r="156" spans="2:18">
      <c r="B156" s="145"/>
      <c r="C156" s="145"/>
      <c r="D156" s="158"/>
      <c r="E156" s="158"/>
      <c r="F156" s="158"/>
      <c r="G156" s="158"/>
      <c r="H156" s="158"/>
      <c r="I156" s="145"/>
      <c r="J156" s="145"/>
      <c r="K156" s="145"/>
      <c r="L156" s="145"/>
      <c r="M156" s="145"/>
      <c r="N156" s="145"/>
      <c r="O156" s="145"/>
      <c r="P156" s="145"/>
      <c r="Q156" s="142"/>
      <c r="R156" s="142"/>
    </row>
    <row r="157" spans="2:18">
      <c r="B157" s="145"/>
      <c r="C157" s="145"/>
      <c r="D157" s="158"/>
      <c r="E157" s="158"/>
      <c r="F157" s="158"/>
      <c r="G157" s="158"/>
      <c r="H157" s="158"/>
      <c r="I157" s="145"/>
      <c r="J157" s="145"/>
      <c r="K157" s="145"/>
      <c r="L157" s="145"/>
      <c r="M157" s="145"/>
      <c r="N157" s="145"/>
      <c r="O157" s="145"/>
      <c r="P157" s="145"/>
      <c r="Q157" s="142"/>
      <c r="R157" s="142"/>
    </row>
    <row r="158" spans="2:18">
      <c r="B158" s="145"/>
      <c r="C158" s="145"/>
      <c r="D158" s="158"/>
      <c r="E158" s="158"/>
      <c r="F158" s="158"/>
      <c r="G158" s="158"/>
      <c r="H158" s="158"/>
      <c r="I158" s="145"/>
      <c r="J158" s="145"/>
      <c r="K158" s="145"/>
      <c r="L158" s="145"/>
      <c r="M158" s="145"/>
      <c r="N158" s="145"/>
      <c r="O158" s="145"/>
      <c r="P158" s="145"/>
      <c r="Q158" s="142"/>
      <c r="R158" s="142"/>
    </row>
    <row r="159" spans="2:18">
      <c r="B159" s="145"/>
      <c r="C159" s="145"/>
      <c r="D159" s="158"/>
      <c r="E159" s="158"/>
      <c r="F159" s="158"/>
      <c r="G159" s="158"/>
      <c r="H159" s="158"/>
      <c r="I159" s="145"/>
      <c r="J159" s="145"/>
      <c r="K159" s="145"/>
      <c r="L159" s="145"/>
      <c r="M159" s="145"/>
      <c r="N159" s="145"/>
      <c r="O159" s="145"/>
      <c r="P159" s="145"/>
      <c r="Q159" s="142"/>
      <c r="R159" s="142"/>
    </row>
    <row r="160" spans="2:18">
      <c r="B160" s="145"/>
      <c r="C160" s="145"/>
      <c r="D160" s="158"/>
      <c r="E160" s="158"/>
      <c r="F160" s="158"/>
      <c r="G160" s="158"/>
      <c r="H160" s="158"/>
      <c r="I160" s="145"/>
      <c r="J160" s="145"/>
      <c r="K160" s="145"/>
      <c r="L160" s="145"/>
      <c r="M160" s="145"/>
      <c r="N160" s="145"/>
      <c r="O160" s="145"/>
      <c r="P160" s="145"/>
      <c r="Q160" s="142"/>
      <c r="R160" s="142"/>
    </row>
    <row r="161" spans="2:18">
      <c r="B161" s="145"/>
      <c r="C161" s="145"/>
      <c r="D161" s="158"/>
      <c r="E161" s="158"/>
      <c r="F161" s="158"/>
      <c r="G161" s="158"/>
      <c r="H161" s="158"/>
      <c r="I161" s="145"/>
      <c r="J161" s="145"/>
      <c r="K161" s="145"/>
      <c r="L161" s="145"/>
      <c r="M161" s="145"/>
      <c r="N161" s="145"/>
      <c r="O161" s="145"/>
      <c r="P161" s="145"/>
      <c r="Q161" s="142"/>
      <c r="R161" s="142"/>
    </row>
    <row r="162" spans="2:18">
      <c r="B162" s="145"/>
      <c r="C162" s="145"/>
      <c r="D162" s="158"/>
      <c r="E162" s="158"/>
      <c r="F162" s="158"/>
      <c r="G162" s="158"/>
      <c r="H162" s="158"/>
      <c r="I162" s="145"/>
      <c r="J162" s="145"/>
      <c r="K162" s="145"/>
      <c r="L162" s="145"/>
      <c r="M162" s="145"/>
      <c r="N162" s="145"/>
      <c r="O162" s="145"/>
      <c r="P162" s="145"/>
      <c r="Q162" s="142"/>
      <c r="R162" s="142"/>
    </row>
    <row r="163" spans="2:18">
      <c r="B163" s="145"/>
      <c r="C163" s="145"/>
      <c r="D163" s="158"/>
      <c r="E163" s="158"/>
      <c r="F163" s="158"/>
      <c r="G163" s="158"/>
      <c r="H163" s="158"/>
      <c r="I163" s="145"/>
      <c r="J163" s="145"/>
      <c r="K163" s="145"/>
      <c r="L163" s="145"/>
      <c r="M163" s="145"/>
      <c r="N163" s="145"/>
      <c r="O163" s="145"/>
      <c r="P163" s="145"/>
      <c r="Q163" s="142"/>
      <c r="R163" s="142"/>
    </row>
    <row r="164" spans="2:18">
      <c r="B164" s="145"/>
      <c r="C164" s="145"/>
      <c r="D164" s="158"/>
      <c r="E164" s="158"/>
      <c r="F164" s="158"/>
      <c r="G164" s="158"/>
      <c r="H164" s="158"/>
      <c r="I164" s="145"/>
      <c r="J164" s="145"/>
      <c r="K164" s="145"/>
      <c r="L164" s="145"/>
      <c r="M164" s="145"/>
      <c r="N164" s="145"/>
      <c r="O164" s="145"/>
      <c r="P164" s="145"/>
      <c r="Q164" s="142"/>
      <c r="R164" s="142"/>
    </row>
    <row r="165" spans="2:18">
      <c r="B165" s="145"/>
      <c r="C165" s="145"/>
      <c r="D165" s="158"/>
      <c r="E165" s="158"/>
      <c r="F165" s="158"/>
      <c r="G165" s="158"/>
      <c r="H165" s="158"/>
      <c r="I165" s="145"/>
      <c r="J165" s="145"/>
      <c r="K165" s="145"/>
      <c r="L165" s="145"/>
      <c r="M165" s="145"/>
      <c r="N165" s="145"/>
      <c r="O165" s="145"/>
      <c r="P165" s="145"/>
      <c r="Q165" s="142"/>
      <c r="R165" s="142"/>
    </row>
    <row r="166" spans="2:18">
      <c r="B166" s="145"/>
      <c r="C166" s="145"/>
      <c r="D166" s="158"/>
      <c r="E166" s="158"/>
      <c r="F166" s="158"/>
      <c r="G166" s="158"/>
      <c r="H166" s="158"/>
      <c r="I166" s="145"/>
      <c r="J166" s="145"/>
      <c r="K166" s="145"/>
      <c r="L166" s="145"/>
      <c r="M166" s="145"/>
      <c r="N166" s="145"/>
      <c r="O166" s="145"/>
      <c r="P166" s="145"/>
      <c r="Q166" s="142"/>
      <c r="R166" s="142"/>
    </row>
    <row r="167" spans="2:18">
      <c r="B167" s="145"/>
      <c r="C167" s="145"/>
      <c r="D167" s="158"/>
      <c r="E167" s="158"/>
      <c r="F167" s="158"/>
      <c r="G167" s="158"/>
      <c r="H167" s="158"/>
      <c r="I167" s="145"/>
      <c r="J167" s="145"/>
      <c r="K167" s="145"/>
      <c r="L167" s="145"/>
      <c r="M167" s="145"/>
      <c r="N167" s="145"/>
      <c r="O167" s="145"/>
      <c r="P167" s="145"/>
      <c r="Q167" s="142"/>
      <c r="R167" s="142"/>
    </row>
    <row r="168" spans="2:18">
      <c r="B168" s="145"/>
      <c r="C168" s="145"/>
      <c r="D168" s="158"/>
      <c r="E168" s="158"/>
      <c r="F168" s="158"/>
      <c r="G168" s="158"/>
      <c r="H168" s="158"/>
      <c r="I168" s="145"/>
      <c r="J168" s="145"/>
      <c r="K168" s="145"/>
      <c r="L168" s="145"/>
      <c r="M168" s="145"/>
      <c r="N168" s="145"/>
      <c r="O168" s="145"/>
      <c r="P168" s="145"/>
      <c r="Q168" s="142"/>
      <c r="R168" s="142"/>
    </row>
    <row r="169" spans="2:18">
      <c r="B169" s="145"/>
      <c r="C169" s="145"/>
      <c r="D169" s="158"/>
      <c r="E169" s="158"/>
      <c r="F169" s="158"/>
      <c r="G169" s="158"/>
      <c r="H169" s="158"/>
      <c r="I169" s="145"/>
      <c r="J169" s="145"/>
      <c r="K169" s="145"/>
      <c r="L169" s="145"/>
      <c r="M169" s="145"/>
      <c r="N169" s="145"/>
      <c r="O169" s="145"/>
      <c r="P169" s="145"/>
      <c r="Q169" s="142"/>
      <c r="R169" s="142"/>
    </row>
    <row r="170" spans="2:18">
      <c r="B170" s="145"/>
      <c r="C170" s="145"/>
      <c r="D170" s="158"/>
      <c r="E170" s="158"/>
      <c r="F170" s="158"/>
      <c r="G170" s="158"/>
      <c r="H170" s="158"/>
      <c r="I170" s="145"/>
      <c r="J170" s="145"/>
      <c r="K170" s="145"/>
      <c r="L170" s="145"/>
      <c r="M170" s="145"/>
      <c r="N170" s="145"/>
      <c r="O170" s="145"/>
      <c r="P170" s="145"/>
      <c r="Q170" s="142"/>
      <c r="R170" s="142"/>
    </row>
    <row r="171" spans="2:18">
      <c r="B171" s="145"/>
      <c r="C171" s="145"/>
      <c r="D171" s="158"/>
      <c r="E171" s="158"/>
      <c r="F171" s="158"/>
      <c r="G171" s="158"/>
      <c r="H171" s="158"/>
      <c r="I171" s="145"/>
      <c r="J171" s="145"/>
      <c r="K171" s="145"/>
      <c r="L171" s="145"/>
      <c r="M171" s="145"/>
      <c r="N171" s="145"/>
      <c r="O171" s="145"/>
      <c r="P171" s="145"/>
      <c r="Q171" s="142"/>
      <c r="R171" s="142"/>
    </row>
    <row r="172" spans="2:18">
      <c r="B172" s="145"/>
      <c r="C172" s="145"/>
      <c r="D172" s="158"/>
      <c r="E172" s="158"/>
      <c r="F172" s="158"/>
      <c r="G172" s="158"/>
      <c r="H172" s="158"/>
      <c r="I172" s="145"/>
      <c r="J172" s="145"/>
      <c r="K172" s="145"/>
      <c r="L172" s="145"/>
      <c r="M172" s="145"/>
      <c r="N172" s="145"/>
      <c r="O172" s="145"/>
      <c r="P172" s="145"/>
      <c r="Q172" s="142"/>
      <c r="R172" s="142"/>
    </row>
    <row r="173" spans="2:18">
      <c r="B173" s="145"/>
      <c r="C173" s="145"/>
      <c r="D173" s="158"/>
      <c r="E173" s="158"/>
      <c r="F173" s="158"/>
      <c r="G173" s="158"/>
      <c r="H173" s="158"/>
      <c r="I173" s="145"/>
      <c r="J173" s="145"/>
      <c r="K173" s="145"/>
      <c r="L173" s="145"/>
      <c r="M173" s="145"/>
      <c r="N173" s="145"/>
      <c r="O173" s="145"/>
      <c r="P173" s="145"/>
      <c r="Q173" s="142"/>
      <c r="R173" s="142"/>
    </row>
    <row r="174" spans="2:18">
      <c r="B174" s="145"/>
      <c r="C174" s="145"/>
      <c r="D174" s="158"/>
      <c r="E174" s="158"/>
      <c r="F174" s="158"/>
      <c r="G174" s="158"/>
      <c r="H174" s="158"/>
      <c r="I174" s="145"/>
      <c r="J174" s="145"/>
      <c r="K174" s="145"/>
      <c r="L174" s="145"/>
      <c r="M174" s="145"/>
      <c r="N174" s="145"/>
      <c r="O174" s="145"/>
      <c r="P174" s="145"/>
      <c r="Q174" s="142"/>
      <c r="R174" s="142"/>
    </row>
    <row r="175" spans="2:18">
      <c r="B175" s="145"/>
      <c r="C175" s="145"/>
      <c r="D175" s="158"/>
      <c r="E175" s="158"/>
      <c r="F175" s="158"/>
      <c r="G175" s="158"/>
      <c r="H175" s="158"/>
      <c r="I175" s="145"/>
      <c r="J175" s="145"/>
      <c r="K175" s="145"/>
      <c r="L175" s="145"/>
      <c r="M175" s="145"/>
      <c r="N175" s="145"/>
      <c r="O175" s="145"/>
      <c r="P175" s="145"/>
      <c r="Q175" s="142"/>
      <c r="R175" s="142"/>
    </row>
    <row r="176" spans="2:18">
      <c r="B176" s="145"/>
      <c r="C176" s="145"/>
      <c r="D176" s="158"/>
      <c r="E176" s="158"/>
      <c r="F176" s="158"/>
      <c r="G176" s="158"/>
      <c r="H176" s="158"/>
      <c r="I176" s="145"/>
      <c r="J176" s="145"/>
      <c r="K176" s="145"/>
      <c r="L176" s="145"/>
      <c r="M176" s="145"/>
      <c r="N176" s="145"/>
      <c r="O176" s="145"/>
      <c r="P176" s="145"/>
      <c r="Q176" s="142"/>
      <c r="R176" s="142"/>
    </row>
    <row r="177" spans="2:18">
      <c r="B177" s="145"/>
      <c r="C177" s="145"/>
      <c r="D177" s="158"/>
      <c r="E177" s="158"/>
      <c r="F177" s="158"/>
      <c r="G177" s="158"/>
      <c r="H177" s="158"/>
      <c r="I177" s="145"/>
      <c r="J177" s="145"/>
      <c r="K177" s="145"/>
      <c r="L177" s="145"/>
      <c r="M177" s="145"/>
      <c r="N177" s="145"/>
      <c r="O177" s="145"/>
      <c r="P177" s="145"/>
      <c r="Q177" s="142"/>
      <c r="R177" s="142"/>
    </row>
    <row r="178" spans="2:18">
      <c r="B178" s="145"/>
      <c r="C178" s="145"/>
      <c r="D178" s="158"/>
      <c r="E178" s="158"/>
      <c r="F178" s="158"/>
      <c r="G178" s="158"/>
      <c r="H178" s="158"/>
      <c r="I178" s="145"/>
      <c r="J178" s="145"/>
      <c r="K178" s="145"/>
      <c r="L178" s="145"/>
      <c r="M178" s="145"/>
      <c r="N178" s="145"/>
      <c r="O178" s="145"/>
      <c r="P178" s="145"/>
      <c r="Q178" s="142"/>
      <c r="R178" s="142"/>
    </row>
    <row r="179" spans="2:18">
      <c r="B179" s="145"/>
      <c r="C179" s="145"/>
      <c r="D179" s="158"/>
      <c r="E179" s="158"/>
      <c r="F179" s="158"/>
      <c r="G179" s="158"/>
      <c r="H179" s="158"/>
      <c r="I179" s="145"/>
      <c r="J179" s="145"/>
      <c r="K179" s="145"/>
      <c r="L179" s="145"/>
      <c r="M179" s="145"/>
      <c r="N179" s="145"/>
      <c r="O179" s="145"/>
      <c r="P179" s="145"/>
      <c r="Q179" s="142"/>
      <c r="R179" s="142"/>
    </row>
    <row r="180" spans="2:18">
      <c r="B180" s="145"/>
      <c r="C180" s="145"/>
      <c r="D180" s="158"/>
      <c r="E180" s="158"/>
      <c r="F180" s="158"/>
      <c r="G180" s="158"/>
      <c r="H180" s="158"/>
      <c r="I180" s="145"/>
      <c r="J180" s="145"/>
      <c r="K180" s="145"/>
      <c r="L180" s="145"/>
      <c r="M180" s="145"/>
      <c r="N180" s="145"/>
      <c r="O180" s="145"/>
      <c r="P180" s="145"/>
      <c r="Q180" s="142"/>
      <c r="R180" s="142"/>
    </row>
    <row r="181" spans="2:18">
      <c r="B181" s="145"/>
      <c r="C181" s="145"/>
      <c r="D181" s="158"/>
      <c r="E181" s="158"/>
      <c r="F181" s="158"/>
      <c r="G181" s="158"/>
      <c r="H181" s="158"/>
      <c r="I181" s="145"/>
      <c r="J181" s="145"/>
      <c r="K181" s="145"/>
      <c r="L181" s="145"/>
      <c r="M181" s="145"/>
      <c r="N181" s="145"/>
      <c r="O181" s="145"/>
      <c r="P181" s="145"/>
      <c r="Q181" s="142"/>
      <c r="R181" s="142"/>
    </row>
    <row r="182" spans="2:18">
      <c r="B182" s="145"/>
      <c r="C182" s="145"/>
      <c r="D182" s="158"/>
      <c r="E182" s="158"/>
      <c r="F182" s="158"/>
      <c r="G182" s="158"/>
      <c r="H182" s="158"/>
      <c r="I182" s="145"/>
      <c r="J182" s="145"/>
      <c r="K182" s="145"/>
      <c r="L182" s="145"/>
      <c r="M182" s="145"/>
      <c r="N182" s="145"/>
      <c r="O182" s="145"/>
      <c r="P182" s="145"/>
      <c r="Q182" s="142"/>
      <c r="R182" s="142"/>
    </row>
    <row r="183" spans="2:18">
      <c r="B183" s="145"/>
      <c r="C183" s="145"/>
      <c r="D183" s="158"/>
      <c r="E183" s="158"/>
      <c r="F183" s="158"/>
      <c r="G183" s="158"/>
      <c r="H183" s="158"/>
      <c r="I183" s="145"/>
      <c r="J183" s="145"/>
      <c r="K183" s="145"/>
      <c r="L183" s="145"/>
      <c r="M183" s="145"/>
      <c r="N183" s="145"/>
      <c r="O183" s="145"/>
      <c r="P183" s="145"/>
      <c r="Q183" s="142"/>
      <c r="R183" s="142"/>
    </row>
    <row r="184" spans="2:18">
      <c r="B184" s="145"/>
      <c r="C184" s="145"/>
      <c r="D184" s="158"/>
      <c r="E184" s="158"/>
      <c r="F184" s="158"/>
      <c r="G184" s="158"/>
      <c r="H184" s="158"/>
      <c r="I184" s="145"/>
      <c r="J184" s="145"/>
      <c r="K184" s="145"/>
      <c r="L184" s="145"/>
      <c r="M184" s="145"/>
      <c r="N184" s="145"/>
      <c r="O184" s="145"/>
      <c r="P184" s="145"/>
      <c r="Q184" s="142"/>
      <c r="R184" s="142"/>
    </row>
    <row r="185" spans="2:18">
      <c r="B185" s="145"/>
      <c r="C185" s="145"/>
      <c r="D185" s="158"/>
      <c r="E185" s="158"/>
      <c r="F185" s="158"/>
      <c r="G185" s="158"/>
      <c r="H185" s="158"/>
      <c r="I185" s="145"/>
      <c r="J185" s="145"/>
      <c r="K185" s="145"/>
      <c r="L185" s="145"/>
      <c r="M185" s="145"/>
      <c r="N185" s="145"/>
      <c r="O185" s="145"/>
      <c r="P185" s="145"/>
      <c r="Q185" s="142"/>
      <c r="R185" s="142"/>
    </row>
    <row r="186" spans="2:18">
      <c r="B186" s="145"/>
      <c r="C186" s="145"/>
      <c r="D186" s="158"/>
      <c r="E186" s="158"/>
      <c r="F186" s="158"/>
      <c r="G186" s="158"/>
      <c r="H186" s="158"/>
      <c r="I186" s="145"/>
      <c r="J186" s="145"/>
      <c r="K186" s="145"/>
      <c r="L186" s="145"/>
      <c r="M186" s="145"/>
      <c r="N186" s="145"/>
      <c r="O186" s="145"/>
      <c r="P186" s="145"/>
      <c r="Q186" s="142"/>
      <c r="R186" s="142"/>
    </row>
    <row r="187" spans="2:18">
      <c r="B187" s="145"/>
      <c r="C187" s="145"/>
      <c r="D187" s="158"/>
      <c r="E187" s="158"/>
      <c r="F187" s="158"/>
      <c r="G187" s="158"/>
      <c r="H187" s="158"/>
      <c r="I187" s="145"/>
      <c r="J187" s="145"/>
      <c r="K187" s="145"/>
      <c r="L187" s="145"/>
      <c r="M187" s="145"/>
      <c r="N187" s="145"/>
      <c r="O187" s="145"/>
      <c r="P187" s="145"/>
      <c r="Q187" s="142"/>
      <c r="R187" s="142"/>
    </row>
    <row r="188" spans="2:18">
      <c r="B188" s="145"/>
      <c r="C188" s="145"/>
      <c r="D188" s="158"/>
      <c r="E188" s="158"/>
      <c r="F188" s="158"/>
      <c r="G188" s="158"/>
      <c r="H188" s="158"/>
      <c r="I188" s="145"/>
      <c r="J188" s="145"/>
      <c r="K188" s="145"/>
      <c r="L188" s="145"/>
      <c r="M188" s="145"/>
      <c r="N188" s="145"/>
      <c r="O188" s="145"/>
      <c r="P188" s="145"/>
      <c r="Q188" s="142"/>
      <c r="R188" s="142"/>
    </row>
    <row r="189" spans="2:18">
      <c r="B189" s="145"/>
      <c r="C189" s="145"/>
      <c r="D189" s="158"/>
      <c r="E189" s="158"/>
      <c r="F189" s="158"/>
      <c r="G189" s="158"/>
      <c r="H189" s="158"/>
      <c r="I189" s="145"/>
      <c r="J189" s="145"/>
      <c r="K189" s="145"/>
      <c r="L189" s="145"/>
      <c r="M189" s="145"/>
      <c r="N189" s="145"/>
      <c r="O189" s="145"/>
      <c r="P189" s="145"/>
      <c r="Q189" s="142"/>
      <c r="R189" s="142"/>
    </row>
    <row r="190" spans="2:18">
      <c r="B190" s="145"/>
      <c r="C190" s="145"/>
      <c r="D190" s="158"/>
      <c r="E190" s="158"/>
      <c r="F190" s="158"/>
      <c r="G190" s="158"/>
      <c r="H190" s="158"/>
      <c r="I190" s="145"/>
      <c r="J190" s="145"/>
      <c r="K190" s="145"/>
      <c r="L190" s="145"/>
      <c r="M190" s="145"/>
      <c r="N190" s="145"/>
      <c r="O190" s="145"/>
      <c r="P190" s="145"/>
      <c r="Q190" s="142"/>
      <c r="R190" s="142"/>
    </row>
    <row r="191" spans="2:18">
      <c r="B191" s="145"/>
      <c r="C191" s="145"/>
      <c r="D191" s="158"/>
      <c r="E191" s="158"/>
      <c r="F191" s="158"/>
      <c r="G191" s="158"/>
      <c r="H191" s="158"/>
      <c r="I191" s="145"/>
      <c r="J191" s="145"/>
      <c r="K191" s="145"/>
      <c r="L191" s="145"/>
      <c r="M191" s="145"/>
      <c r="N191" s="145"/>
      <c r="O191" s="145"/>
      <c r="P191" s="145"/>
      <c r="Q191" s="142"/>
      <c r="R191" s="142"/>
    </row>
    <row r="192" spans="2:18">
      <c r="B192" s="145"/>
      <c r="C192" s="145"/>
      <c r="D192" s="158"/>
      <c r="E192" s="158"/>
      <c r="F192" s="158"/>
      <c r="G192" s="158"/>
      <c r="H192" s="158"/>
      <c r="I192" s="145"/>
      <c r="J192" s="145"/>
      <c r="K192" s="145"/>
      <c r="L192" s="145"/>
      <c r="M192" s="145"/>
      <c r="N192" s="145"/>
      <c r="O192" s="145"/>
      <c r="P192" s="145"/>
      <c r="Q192" s="142"/>
      <c r="R192" s="142"/>
    </row>
    <row r="193" spans="2:18">
      <c r="B193" s="145"/>
      <c r="C193" s="145"/>
      <c r="D193" s="158"/>
      <c r="E193" s="158"/>
      <c r="F193" s="158"/>
      <c r="G193" s="158"/>
      <c r="H193" s="158"/>
      <c r="I193" s="145"/>
      <c r="J193" s="145"/>
      <c r="K193" s="145"/>
      <c r="L193" s="145"/>
      <c r="M193" s="145"/>
      <c r="N193" s="145"/>
      <c r="O193" s="145"/>
      <c r="P193" s="145"/>
      <c r="Q193" s="142"/>
      <c r="R193" s="142"/>
    </row>
    <row r="194" spans="2:18">
      <c r="B194" s="145"/>
      <c r="C194" s="145"/>
      <c r="D194" s="158"/>
      <c r="E194" s="158"/>
      <c r="F194" s="158"/>
      <c r="G194" s="158"/>
      <c r="H194" s="158"/>
      <c r="I194" s="145"/>
      <c r="J194" s="145"/>
      <c r="K194" s="145"/>
      <c r="L194" s="145"/>
      <c r="M194" s="145"/>
      <c r="N194" s="145"/>
      <c r="O194" s="145"/>
      <c r="P194" s="145"/>
      <c r="Q194" s="142"/>
      <c r="R194" s="142"/>
    </row>
    <row r="195" spans="2:18">
      <c r="B195" s="145"/>
      <c r="C195" s="145"/>
      <c r="D195" s="158"/>
      <c r="E195" s="158"/>
      <c r="F195" s="158"/>
      <c r="G195" s="158"/>
      <c r="H195" s="158"/>
      <c r="I195" s="145"/>
      <c r="J195" s="145"/>
      <c r="K195" s="145"/>
      <c r="L195" s="145"/>
      <c r="M195" s="145"/>
      <c r="N195" s="145"/>
      <c r="O195" s="145"/>
      <c r="P195" s="145"/>
      <c r="Q195" s="142"/>
      <c r="R195" s="142"/>
    </row>
    <row r="196" spans="2:18">
      <c r="B196" s="145"/>
      <c r="C196" s="145"/>
      <c r="D196" s="158"/>
      <c r="E196" s="158"/>
      <c r="F196" s="158"/>
      <c r="G196" s="158"/>
      <c r="H196" s="158"/>
      <c r="I196" s="145"/>
      <c r="J196" s="145"/>
      <c r="K196" s="145"/>
      <c r="L196" s="145"/>
      <c r="M196" s="145"/>
      <c r="N196" s="145"/>
      <c r="O196" s="145"/>
      <c r="P196" s="145"/>
      <c r="Q196" s="142"/>
      <c r="R196" s="142"/>
    </row>
    <row r="197" spans="2:18">
      <c r="B197" s="145"/>
      <c r="C197" s="145"/>
      <c r="D197" s="158"/>
      <c r="E197" s="158"/>
      <c r="F197" s="158"/>
      <c r="G197" s="158"/>
      <c r="H197" s="158"/>
      <c r="I197" s="145"/>
      <c r="J197" s="145"/>
      <c r="K197" s="145"/>
      <c r="L197" s="145"/>
      <c r="M197" s="145"/>
      <c r="N197" s="145"/>
      <c r="O197" s="145"/>
      <c r="P197" s="145"/>
      <c r="Q197" s="142"/>
      <c r="R197" s="142"/>
    </row>
    <row r="198" spans="2:18">
      <c r="B198" s="145"/>
      <c r="C198" s="145"/>
      <c r="D198" s="158"/>
      <c r="E198" s="158"/>
      <c r="F198" s="158"/>
      <c r="G198" s="158"/>
      <c r="H198" s="158"/>
      <c r="I198" s="145"/>
      <c r="J198" s="145"/>
      <c r="K198" s="145"/>
      <c r="L198" s="145"/>
      <c r="M198" s="145"/>
      <c r="N198" s="145"/>
      <c r="O198" s="145"/>
      <c r="P198" s="145"/>
      <c r="Q198" s="142"/>
      <c r="R198" s="142"/>
    </row>
    <row r="199" spans="2:18">
      <c r="B199" s="145"/>
      <c r="C199" s="145"/>
      <c r="D199" s="158"/>
      <c r="E199" s="158"/>
      <c r="F199" s="158"/>
      <c r="G199" s="158"/>
      <c r="H199" s="158"/>
      <c r="I199" s="145"/>
      <c r="J199" s="145"/>
      <c r="K199" s="145"/>
      <c r="L199" s="145"/>
      <c r="M199" s="145"/>
      <c r="N199" s="145"/>
      <c r="O199" s="145"/>
      <c r="P199" s="145"/>
      <c r="Q199" s="142"/>
      <c r="R199" s="142"/>
    </row>
    <row r="200" spans="2:18">
      <c r="B200" s="145"/>
      <c r="C200" s="145"/>
      <c r="D200" s="158"/>
      <c r="E200" s="158"/>
      <c r="F200" s="158"/>
      <c r="G200" s="158"/>
      <c r="H200" s="158"/>
      <c r="I200" s="145"/>
      <c r="J200" s="145"/>
      <c r="K200" s="145"/>
      <c r="L200" s="145"/>
      <c r="M200" s="145"/>
      <c r="N200" s="145"/>
      <c r="O200" s="145"/>
      <c r="P200" s="145"/>
      <c r="Q200" s="142"/>
      <c r="R200" s="142"/>
    </row>
    <row r="201" spans="2:18">
      <c r="B201" s="145"/>
      <c r="C201" s="145"/>
      <c r="D201" s="158"/>
      <c r="E201" s="158"/>
      <c r="F201" s="158"/>
      <c r="G201" s="158"/>
      <c r="H201" s="158"/>
      <c r="I201" s="145"/>
      <c r="J201" s="145"/>
      <c r="K201" s="145"/>
      <c r="L201" s="145"/>
      <c r="M201" s="145"/>
      <c r="N201" s="145"/>
      <c r="O201" s="145"/>
      <c r="P201" s="145"/>
      <c r="Q201" s="142"/>
      <c r="R201" s="142"/>
    </row>
    <row r="202" spans="2:18">
      <c r="B202" s="145"/>
      <c r="C202" s="145"/>
      <c r="D202" s="158"/>
      <c r="E202" s="158"/>
      <c r="F202" s="158"/>
      <c r="G202" s="158"/>
      <c r="H202" s="158"/>
      <c r="I202" s="145"/>
      <c r="J202" s="145"/>
      <c r="K202" s="145"/>
      <c r="L202" s="145"/>
      <c r="M202" s="145"/>
      <c r="N202" s="145"/>
      <c r="O202" s="145"/>
      <c r="P202" s="145"/>
      <c r="Q202" s="142"/>
      <c r="R202" s="142"/>
    </row>
    <row r="203" spans="2:18">
      <c r="B203" s="145"/>
      <c r="C203" s="145"/>
      <c r="D203" s="158"/>
      <c r="E203" s="158"/>
      <c r="F203" s="158"/>
      <c r="G203" s="158"/>
      <c r="H203" s="158"/>
      <c r="I203" s="145"/>
      <c r="J203" s="145"/>
      <c r="K203" s="145"/>
      <c r="L203" s="145"/>
      <c r="M203" s="145"/>
      <c r="N203" s="145"/>
      <c r="O203" s="145"/>
      <c r="P203" s="145"/>
      <c r="Q203" s="142"/>
      <c r="R203" s="142"/>
    </row>
    <row r="204" spans="2:18">
      <c r="B204" s="145"/>
      <c r="C204" s="145"/>
      <c r="D204" s="158"/>
      <c r="E204" s="158"/>
      <c r="F204" s="158"/>
      <c r="G204" s="158"/>
      <c r="H204" s="158"/>
      <c r="I204" s="145"/>
      <c r="J204" s="145"/>
      <c r="K204" s="145"/>
      <c r="L204" s="145"/>
      <c r="M204" s="145"/>
      <c r="N204" s="145"/>
      <c r="O204" s="145"/>
      <c r="P204" s="145"/>
      <c r="Q204" s="142"/>
      <c r="R204" s="142"/>
    </row>
    <row r="205" spans="2:18">
      <c r="B205" s="145"/>
      <c r="C205" s="145"/>
      <c r="D205" s="158"/>
      <c r="E205" s="158"/>
      <c r="F205" s="158"/>
      <c r="G205" s="158"/>
      <c r="H205" s="158"/>
      <c r="I205" s="145"/>
      <c r="J205" s="145"/>
      <c r="K205" s="145"/>
      <c r="L205" s="145"/>
      <c r="M205" s="145"/>
      <c r="N205" s="145"/>
      <c r="O205" s="145"/>
      <c r="P205" s="145"/>
      <c r="Q205" s="142"/>
      <c r="R205" s="142"/>
    </row>
    <row r="206" spans="2:18">
      <c r="B206" s="145"/>
      <c r="C206" s="145"/>
      <c r="D206" s="158"/>
      <c r="E206" s="158"/>
      <c r="F206" s="158"/>
      <c r="G206" s="158"/>
      <c r="H206" s="158"/>
      <c r="I206" s="145"/>
      <c r="J206" s="145"/>
      <c r="K206" s="145"/>
      <c r="L206" s="145"/>
      <c r="M206" s="145"/>
      <c r="N206" s="145"/>
      <c r="O206" s="145"/>
      <c r="P206" s="145"/>
      <c r="Q206" s="142"/>
      <c r="R206" s="142"/>
    </row>
    <row r="207" spans="2:18">
      <c r="B207" s="145"/>
      <c r="C207" s="145"/>
      <c r="D207" s="158"/>
      <c r="E207" s="158"/>
      <c r="F207" s="158"/>
      <c r="G207" s="158"/>
      <c r="H207" s="158"/>
      <c r="I207" s="145"/>
      <c r="J207" s="145"/>
      <c r="K207" s="145"/>
      <c r="L207" s="145"/>
      <c r="M207" s="145"/>
      <c r="N207" s="145"/>
      <c r="O207" s="145"/>
      <c r="P207" s="145"/>
      <c r="Q207" s="142"/>
      <c r="R207" s="142"/>
    </row>
    <row r="208" spans="2:18">
      <c r="B208" s="145"/>
      <c r="C208" s="145"/>
      <c r="D208" s="158"/>
      <c r="E208" s="158"/>
      <c r="F208" s="158"/>
      <c r="G208" s="158"/>
      <c r="H208" s="158"/>
      <c r="I208" s="145"/>
      <c r="J208" s="145"/>
      <c r="K208" s="145"/>
      <c r="L208" s="145"/>
      <c r="M208" s="145"/>
      <c r="N208" s="145"/>
      <c r="O208" s="145"/>
      <c r="P208" s="145"/>
      <c r="Q208" s="142"/>
      <c r="R208" s="142"/>
    </row>
    <row r="209" spans="2:18">
      <c r="B209" s="145"/>
      <c r="C209" s="145"/>
      <c r="D209" s="158"/>
      <c r="E209" s="158"/>
      <c r="F209" s="158"/>
      <c r="G209" s="158"/>
      <c r="H209" s="158"/>
      <c r="I209" s="145"/>
      <c r="J209" s="145"/>
      <c r="K209" s="145"/>
      <c r="L209" s="145"/>
      <c r="M209" s="145"/>
      <c r="N209" s="145"/>
      <c r="O209" s="145"/>
      <c r="P209" s="145"/>
      <c r="Q209" s="142"/>
      <c r="R209" s="142"/>
    </row>
    <row r="210" spans="2:18">
      <c r="B210" s="145"/>
      <c r="C210" s="145"/>
      <c r="D210" s="158"/>
      <c r="E210" s="158"/>
      <c r="F210" s="158"/>
      <c r="G210" s="158"/>
      <c r="H210" s="158"/>
      <c r="I210" s="145"/>
      <c r="J210" s="145"/>
      <c r="K210" s="145"/>
      <c r="L210" s="145"/>
      <c r="M210" s="145"/>
      <c r="N210" s="145"/>
      <c r="O210" s="145"/>
      <c r="P210" s="145"/>
      <c r="Q210" s="142"/>
      <c r="R210" s="142"/>
    </row>
    <row r="211" spans="2:18">
      <c r="B211" s="145"/>
      <c r="C211" s="145"/>
      <c r="D211" s="158"/>
      <c r="E211" s="158"/>
      <c r="F211" s="158"/>
      <c r="G211" s="158"/>
      <c r="H211" s="158"/>
      <c r="I211" s="145"/>
      <c r="J211" s="145"/>
      <c r="K211" s="145"/>
      <c r="L211" s="145"/>
      <c r="M211" s="145"/>
      <c r="N211" s="145"/>
      <c r="O211" s="145"/>
      <c r="P211" s="145"/>
      <c r="Q211" s="142"/>
      <c r="R211" s="142"/>
    </row>
    <row r="212" spans="2:18">
      <c r="B212" s="145"/>
      <c r="C212" s="145"/>
      <c r="D212" s="158"/>
      <c r="E212" s="158"/>
      <c r="F212" s="158"/>
      <c r="G212" s="158"/>
      <c r="H212" s="158"/>
      <c r="I212" s="145"/>
      <c r="J212" s="145"/>
      <c r="K212" s="145"/>
      <c r="L212" s="145"/>
      <c r="M212" s="145"/>
      <c r="N212" s="145"/>
      <c r="O212" s="145"/>
      <c r="P212" s="145"/>
      <c r="Q212" s="142"/>
      <c r="R212" s="142"/>
    </row>
    <row r="213" spans="2:18">
      <c r="B213" s="145"/>
      <c r="C213" s="145"/>
      <c r="D213" s="158"/>
      <c r="E213" s="158"/>
      <c r="F213" s="158"/>
      <c r="G213" s="158"/>
      <c r="H213" s="158"/>
      <c r="I213" s="145"/>
      <c r="J213" s="145"/>
      <c r="K213" s="145"/>
      <c r="L213" s="145"/>
      <c r="M213" s="145"/>
      <c r="N213" s="145"/>
      <c r="O213" s="145"/>
      <c r="P213" s="145"/>
      <c r="Q213" s="142"/>
      <c r="R213" s="142"/>
    </row>
    <row r="214" spans="2:18">
      <c r="B214" s="145"/>
      <c r="C214" s="145"/>
      <c r="D214" s="158"/>
      <c r="E214" s="158"/>
      <c r="F214" s="158"/>
      <c r="G214" s="158"/>
      <c r="H214" s="158"/>
      <c r="I214" s="145"/>
      <c r="J214" s="145"/>
      <c r="K214" s="145"/>
      <c r="L214" s="145"/>
      <c r="M214" s="145"/>
      <c r="N214" s="145"/>
      <c r="O214" s="145"/>
      <c r="P214" s="145"/>
      <c r="Q214" s="142"/>
      <c r="R214" s="142"/>
    </row>
    <row r="215" spans="2:18">
      <c r="B215" s="145"/>
      <c r="C215" s="145"/>
      <c r="D215" s="158"/>
      <c r="E215" s="158"/>
      <c r="F215" s="158"/>
      <c r="G215" s="158"/>
      <c r="H215" s="158"/>
      <c r="I215" s="145"/>
      <c r="J215" s="145"/>
      <c r="K215" s="145"/>
      <c r="L215" s="145"/>
      <c r="M215" s="145"/>
      <c r="N215" s="145"/>
      <c r="O215" s="145"/>
      <c r="P215" s="145"/>
      <c r="Q215" s="142"/>
      <c r="R215" s="142"/>
    </row>
    <row r="216" spans="2:18">
      <c r="B216" s="145"/>
      <c r="C216" s="145"/>
      <c r="D216" s="158"/>
      <c r="E216" s="158"/>
      <c r="F216" s="158"/>
      <c r="G216" s="158"/>
      <c r="H216" s="158"/>
      <c r="I216" s="145"/>
      <c r="J216" s="145"/>
      <c r="K216" s="145"/>
      <c r="L216" s="145"/>
      <c r="M216" s="145"/>
      <c r="N216" s="145"/>
      <c r="O216" s="145"/>
      <c r="P216" s="145"/>
      <c r="Q216" s="142"/>
      <c r="R216" s="142"/>
    </row>
    <row r="217" spans="2:18">
      <c r="B217" s="145"/>
      <c r="C217" s="145"/>
      <c r="D217" s="158"/>
      <c r="E217" s="158"/>
      <c r="F217" s="158"/>
      <c r="G217" s="158"/>
      <c r="H217" s="158"/>
      <c r="I217" s="145"/>
      <c r="J217" s="145"/>
      <c r="K217" s="145"/>
      <c r="L217" s="145"/>
      <c r="M217" s="145"/>
      <c r="N217" s="145"/>
      <c r="O217" s="145"/>
      <c r="P217" s="145"/>
      <c r="Q217" s="142"/>
      <c r="R217" s="142"/>
    </row>
    <row r="218" spans="2:18">
      <c r="B218" s="145"/>
      <c r="C218" s="145"/>
      <c r="D218" s="158"/>
      <c r="E218" s="158"/>
      <c r="F218" s="158"/>
      <c r="G218" s="158"/>
      <c r="H218" s="158"/>
      <c r="I218" s="145"/>
      <c r="J218" s="145"/>
      <c r="K218" s="145"/>
      <c r="L218" s="145"/>
      <c r="M218" s="145"/>
      <c r="N218" s="145"/>
      <c r="O218" s="145"/>
      <c r="P218" s="145"/>
      <c r="Q218" s="142"/>
      <c r="R218" s="142"/>
    </row>
    <row r="219" spans="2:18">
      <c r="B219" s="145"/>
      <c r="C219" s="145"/>
      <c r="D219" s="158"/>
      <c r="E219" s="158"/>
      <c r="F219" s="158"/>
      <c r="G219" s="158"/>
      <c r="H219" s="158"/>
      <c r="I219" s="145"/>
      <c r="J219" s="145"/>
      <c r="K219" s="145"/>
      <c r="L219" s="145"/>
      <c r="M219" s="145"/>
      <c r="N219" s="145"/>
      <c r="O219" s="145"/>
      <c r="P219" s="145"/>
      <c r="Q219" s="142"/>
      <c r="R219" s="142"/>
    </row>
    <row r="220" spans="2:18">
      <c r="B220" s="145"/>
      <c r="C220" s="145"/>
      <c r="D220" s="158"/>
      <c r="E220" s="158"/>
      <c r="F220" s="158"/>
      <c r="G220" s="158"/>
      <c r="H220" s="158"/>
      <c r="I220" s="145"/>
      <c r="J220" s="145"/>
      <c r="K220" s="145"/>
      <c r="L220" s="145"/>
      <c r="M220" s="145"/>
      <c r="N220" s="145"/>
      <c r="O220" s="145"/>
      <c r="P220" s="145"/>
      <c r="Q220" s="142"/>
      <c r="R220" s="142"/>
    </row>
    <row r="221" spans="2:18">
      <c r="B221" s="145"/>
      <c r="C221" s="145"/>
      <c r="D221" s="158"/>
      <c r="E221" s="158"/>
      <c r="F221" s="158"/>
      <c r="G221" s="158"/>
      <c r="H221" s="158"/>
      <c r="I221" s="145"/>
      <c r="J221" s="145"/>
      <c r="K221" s="145"/>
      <c r="L221" s="145"/>
      <c r="M221" s="145"/>
      <c r="N221" s="145"/>
      <c r="O221" s="145"/>
      <c r="P221" s="145"/>
      <c r="Q221" s="142"/>
      <c r="R221" s="142"/>
    </row>
    <row r="222" spans="2:18">
      <c r="B222" s="145"/>
      <c r="C222" s="145"/>
      <c r="D222" s="158"/>
      <c r="E222" s="158"/>
      <c r="F222" s="158"/>
      <c r="G222" s="158"/>
      <c r="H222" s="158"/>
      <c r="I222" s="145"/>
      <c r="J222" s="145"/>
      <c r="K222" s="145"/>
      <c r="L222" s="145"/>
      <c r="M222" s="145"/>
      <c r="N222" s="145"/>
      <c r="O222" s="145"/>
      <c r="P222" s="145"/>
      <c r="Q222" s="142"/>
      <c r="R222" s="142"/>
    </row>
    <row r="223" spans="2:18">
      <c r="B223" s="145"/>
      <c r="C223" s="145"/>
      <c r="D223" s="158"/>
      <c r="E223" s="158"/>
      <c r="F223" s="158"/>
      <c r="G223" s="158"/>
      <c r="H223" s="158"/>
      <c r="I223" s="145"/>
      <c r="J223" s="145"/>
      <c r="K223" s="145"/>
      <c r="L223" s="145"/>
      <c r="M223" s="145"/>
      <c r="N223" s="145"/>
      <c r="O223" s="145"/>
      <c r="P223" s="145"/>
      <c r="Q223" s="142"/>
      <c r="R223" s="142"/>
    </row>
  </sheetData>
  <mergeCells count="2">
    <mergeCell ref="C5:I5"/>
    <mergeCell ref="C6:I6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2DA14-7BC3-482A-99EF-9DB2D16BB910}">
  <dimension ref="A1:BJ744"/>
  <sheetViews>
    <sheetView topLeftCell="A15" zoomScaleNormal="100" workbookViewId="0">
      <pane ySplit="3" topLeftCell="A71" activePane="bottomLeft" state="frozen"/>
      <selection activeCell="A15" sqref="A15"/>
      <selection pane="bottomLeft" activeCell="I56" sqref="I56"/>
    </sheetView>
  </sheetViews>
  <sheetFormatPr defaultColWidth="8.77734375" defaultRowHeight="15.6"/>
  <cols>
    <col min="1" max="1" width="8.77734375" style="168"/>
    <col min="2" max="2" width="6.77734375" style="168" customWidth="1"/>
    <col min="3" max="3" width="43.44140625" style="168" customWidth="1"/>
    <col min="4" max="4" width="5.33203125" style="168" customWidth="1"/>
    <col min="5" max="5" width="9.77734375" style="180" customWidth="1"/>
    <col min="6" max="6" width="9.77734375" style="184" customWidth="1"/>
    <col min="7" max="8" width="9.77734375" style="185" customWidth="1"/>
    <col min="9" max="9" width="9.77734375" style="187" customWidth="1"/>
    <col min="10" max="10" width="22.77734375" style="183" customWidth="1"/>
    <col min="11" max="11" width="25.77734375" style="168" customWidth="1"/>
    <col min="12" max="16384" width="8.77734375" style="168"/>
  </cols>
  <sheetData>
    <row r="1" spans="1:13">
      <c r="A1" s="165"/>
      <c r="B1" s="165"/>
      <c r="C1" s="165"/>
      <c r="D1" s="165"/>
    </row>
    <row r="2" spans="1:13">
      <c r="A2" s="165"/>
      <c r="B2" s="165"/>
      <c r="C2" s="165"/>
      <c r="D2" s="165"/>
    </row>
    <row r="3" spans="1:13">
      <c r="A3" s="165"/>
      <c r="B3" s="165"/>
      <c r="C3" s="165"/>
      <c r="D3" s="165"/>
    </row>
    <row r="4" spans="1:13">
      <c r="A4" s="165"/>
      <c r="B4" s="258" t="e">
        <f>#REF!</f>
        <v>#REF!</v>
      </c>
      <c r="C4" s="259"/>
      <c r="D4" s="259"/>
      <c r="E4" s="259"/>
    </row>
    <row r="6" spans="1:13">
      <c r="A6" s="165"/>
      <c r="B6" s="258" t="s">
        <v>1154</v>
      </c>
      <c r="C6" s="260"/>
      <c r="D6" s="260"/>
      <c r="E6" s="260"/>
    </row>
    <row r="7" spans="1:13">
      <c r="A7" s="165"/>
      <c r="B7" s="165"/>
      <c r="C7" s="165"/>
      <c r="D7" s="165"/>
    </row>
    <row r="8" spans="1:13">
      <c r="A8" s="165"/>
      <c r="B8" s="261" t="s">
        <v>1155</v>
      </c>
      <c r="C8" s="260"/>
      <c r="D8" s="260"/>
      <c r="E8" s="260"/>
    </row>
    <row r="9" spans="1:13">
      <c r="A9" s="165"/>
      <c r="B9" s="165"/>
      <c r="C9" s="165"/>
      <c r="D9" s="165"/>
    </row>
    <row r="10" spans="1:13">
      <c r="A10" s="165"/>
      <c r="B10" s="165"/>
      <c r="C10" s="169" t="e">
        <f>#REF!</f>
        <v>#REF!</v>
      </c>
      <c r="D10" s="165"/>
    </row>
    <row r="11" spans="1:13">
      <c r="A11" s="165"/>
      <c r="B11" s="165"/>
      <c r="C11" s="165"/>
      <c r="D11" s="165"/>
    </row>
    <row r="12" spans="1:13">
      <c r="A12" s="165"/>
      <c r="B12" s="165"/>
      <c r="C12" s="169" t="e">
        <f>#REF!</f>
        <v>#REF!</v>
      </c>
      <c r="D12" s="165"/>
    </row>
    <row r="13" spans="1:13">
      <c r="A13" s="165"/>
      <c r="B13" s="165"/>
      <c r="C13" s="169" t="e">
        <f>IF(#REF!="","",#REF!)</f>
        <v>#REF!</v>
      </c>
      <c r="D13" s="165"/>
    </row>
    <row r="14" spans="1:13">
      <c r="A14" s="165"/>
      <c r="B14" s="165"/>
      <c r="C14" s="165"/>
      <c r="D14" s="165"/>
    </row>
    <row r="15" spans="1:13">
      <c r="A15" s="165"/>
      <c r="B15" s="165"/>
      <c r="C15" s="165"/>
      <c r="D15" s="165"/>
      <c r="F15" s="180"/>
      <c r="G15" s="180"/>
      <c r="H15" s="180"/>
      <c r="I15" s="183"/>
      <c r="K15" s="165"/>
      <c r="L15" s="165"/>
      <c r="M15" s="165"/>
    </row>
    <row r="16" spans="1:13">
      <c r="A16" s="165"/>
      <c r="B16" s="165"/>
      <c r="C16" s="165"/>
      <c r="D16" s="165"/>
      <c r="F16" s="180"/>
      <c r="G16" s="180"/>
      <c r="H16" s="180"/>
      <c r="I16" s="183"/>
      <c r="K16" s="165"/>
      <c r="L16" s="165"/>
      <c r="M16" s="165"/>
    </row>
    <row r="17" spans="1:11" s="171" customFormat="1" ht="46.8">
      <c r="A17" s="181"/>
      <c r="B17" s="56" t="s">
        <v>1141</v>
      </c>
      <c r="C17" s="119" t="s">
        <v>661</v>
      </c>
      <c r="D17" s="57" t="s">
        <v>7</v>
      </c>
      <c r="E17" s="58" t="s">
        <v>1143</v>
      </c>
      <c r="F17" s="58" t="s">
        <v>1144</v>
      </c>
      <c r="G17" s="58" t="s">
        <v>1145</v>
      </c>
      <c r="H17" s="58" t="s">
        <v>1146</v>
      </c>
      <c r="I17" s="58" t="s">
        <v>1147</v>
      </c>
      <c r="J17" s="59" t="s">
        <v>1138</v>
      </c>
      <c r="K17" s="60" t="s">
        <v>1139</v>
      </c>
    </row>
    <row r="18" spans="1:11">
      <c r="A18" s="165"/>
      <c r="B18" s="173"/>
      <c r="C18" s="173"/>
      <c r="D18" s="173"/>
      <c r="E18" s="174"/>
      <c r="F18" s="174"/>
      <c r="G18" s="174"/>
      <c r="H18" s="174"/>
      <c r="I18" s="182"/>
      <c r="J18" s="182"/>
      <c r="K18" s="175"/>
    </row>
    <row r="19" spans="1:11">
      <c r="A19" s="170"/>
      <c r="B19" s="172" t="s">
        <v>510</v>
      </c>
      <c r="C19" s="255" t="s">
        <v>1156</v>
      </c>
      <c r="D19" s="256"/>
      <c r="E19" s="256"/>
      <c r="F19" s="256"/>
      <c r="G19" s="256"/>
      <c r="H19" s="256"/>
      <c r="I19" s="256"/>
      <c r="J19" s="256"/>
      <c r="K19" s="257"/>
    </row>
    <row r="20" spans="1:11">
      <c r="A20" s="170"/>
      <c r="B20" s="172" t="s">
        <v>339</v>
      </c>
      <c r="C20" s="255" t="s">
        <v>1157</v>
      </c>
      <c r="D20" s="256"/>
      <c r="E20" s="256"/>
      <c r="F20" s="256"/>
      <c r="G20" s="256"/>
      <c r="H20" s="256"/>
      <c r="I20" s="256"/>
      <c r="J20" s="256"/>
      <c r="K20" s="257"/>
    </row>
    <row r="21" spans="1:11" ht="62.4">
      <c r="A21" s="165"/>
      <c r="B21" s="176" t="s">
        <v>311</v>
      </c>
      <c r="C21" s="177" t="s">
        <v>1201</v>
      </c>
      <c r="D21" s="178" t="s">
        <v>1016</v>
      </c>
      <c r="E21" s="186">
        <v>0</v>
      </c>
      <c r="F21" s="186"/>
      <c r="G21" s="186"/>
      <c r="H21" s="186"/>
      <c r="I21" s="188"/>
      <c r="J21" s="182">
        <f>E21+F21+G21+H21+I21</f>
        <v>0</v>
      </c>
      <c r="K21" s="175"/>
    </row>
    <row r="22" spans="1:11" ht="62.4">
      <c r="A22" s="165"/>
      <c r="B22" s="176" t="s">
        <v>313</v>
      </c>
      <c r="C22" s="177" t="s">
        <v>1202</v>
      </c>
      <c r="D22" s="178" t="s">
        <v>1016</v>
      </c>
      <c r="E22" s="186">
        <v>0</v>
      </c>
      <c r="F22" s="186"/>
      <c r="G22" s="186"/>
      <c r="H22" s="186"/>
      <c r="I22" s="188"/>
      <c r="J22" s="182">
        <f t="shared" ref="J22:J79" si="0">E22+F22+G22+H22+I22</f>
        <v>0</v>
      </c>
      <c r="K22" s="175"/>
    </row>
    <row r="23" spans="1:11" ht="62.4">
      <c r="A23" s="165"/>
      <c r="B23" s="176" t="s">
        <v>315</v>
      </c>
      <c r="C23" s="177" t="s">
        <v>1203</v>
      </c>
      <c r="D23" s="178" t="s">
        <v>1016</v>
      </c>
      <c r="E23" s="186">
        <v>0</v>
      </c>
      <c r="F23" s="186"/>
      <c r="G23" s="186"/>
      <c r="H23" s="186"/>
      <c r="I23" s="188"/>
      <c r="J23" s="182">
        <f t="shared" si="0"/>
        <v>0</v>
      </c>
      <c r="K23" s="175"/>
    </row>
    <row r="24" spans="1:11" ht="62.4">
      <c r="A24" s="165"/>
      <c r="B24" s="176" t="s">
        <v>317</v>
      </c>
      <c r="C24" s="177" t="s">
        <v>1204</v>
      </c>
      <c r="D24" s="178" t="s">
        <v>1016</v>
      </c>
      <c r="E24" s="186"/>
      <c r="F24" s="186"/>
      <c r="G24" s="186"/>
      <c r="H24" s="186"/>
      <c r="I24" s="188"/>
      <c r="J24" s="182">
        <f t="shared" si="0"/>
        <v>0</v>
      </c>
      <c r="K24" s="175"/>
    </row>
    <row r="25" spans="1:11">
      <c r="A25" s="170"/>
      <c r="B25" s="172" t="s">
        <v>321</v>
      </c>
      <c r="C25" s="255" t="s">
        <v>1158</v>
      </c>
      <c r="D25" s="256"/>
      <c r="E25" s="256"/>
      <c r="F25" s="256"/>
      <c r="G25" s="256"/>
      <c r="H25" s="256"/>
      <c r="I25" s="256"/>
      <c r="J25" s="256"/>
      <c r="K25" s="257"/>
    </row>
    <row r="26" spans="1:11" ht="46.8">
      <c r="A26" s="165"/>
      <c r="B26" s="176" t="s">
        <v>319</v>
      </c>
      <c r="C26" s="177" t="s">
        <v>1205</v>
      </c>
      <c r="D26" s="178" t="s">
        <v>1016</v>
      </c>
      <c r="E26" s="186"/>
      <c r="F26" s="186"/>
      <c r="G26" s="186"/>
      <c r="H26" s="186"/>
      <c r="I26" s="188"/>
      <c r="J26" s="182">
        <f t="shared" si="0"/>
        <v>0</v>
      </c>
      <c r="K26" s="175"/>
    </row>
    <row r="27" spans="1:11" ht="46.8">
      <c r="A27" s="165"/>
      <c r="B27" s="176" t="s">
        <v>322</v>
      </c>
      <c r="C27" s="177" t="s">
        <v>1206</v>
      </c>
      <c r="D27" s="178" t="s">
        <v>1016</v>
      </c>
      <c r="E27" s="186">
        <v>42</v>
      </c>
      <c r="F27" s="186"/>
      <c r="G27" s="186"/>
      <c r="H27" s="186">
        <v>3</v>
      </c>
      <c r="I27" s="188"/>
      <c r="J27" s="182">
        <f t="shared" si="0"/>
        <v>45</v>
      </c>
      <c r="K27" s="175"/>
    </row>
    <row r="28" spans="1:11" ht="46.8">
      <c r="A28" s="165"/>
      <c r="B28" s="176" t="s">
        <v>326</v>
      </c>
      <c r="C28" s="177" t="s">
        <v>1207</v>
      </c>
      <c r="D28" s="178" t="s">
        <v>1016</v>
      </c>
      <c r="E28" s="186">
        <v>15</v>
      </c>
      <c r="F28" s="186">
        <v>22</v>
      </c>
      <c r="G28" s="186">
        <v>10</v>
      </c>
      <c r="H28" s="186">
        <v>24</v>
      </c>
      <c r="I28" s="188"/>
      <c r="J28" s="182">
        <f t="shared" si="0"/>
        <v>71</v>
      </c>
      <c r="K28" s="175"/>
    </row>
    <row r="29" spans="1:11" ht="46.8">
      <c r="A29" s="165"/>
      <c r="B29" s="176" t="s">
        <v>328</v>
      </c>
      <c r="C29" s="177" t="s">
        <v>1208</v>
      </c>
      <c r="D29" s="178" t="s">
        <v>1016</v>
      </c>
      <c r="E29" s="186">
        <v>12</v>
      </c>
      <c r="F29" s="186">
        <v>30</v>
      </c>
      <c r="G29" s="186">
        <v>60</v>
      </c>
      <c r="H29" s="186">
        <v>25</v>
      </c>
      <c r="I29" s="188"/>
      <c r="J29" s="182">
        <f t="shared" si="0"/>
        <v>127</v>
      </c>
      <c r="K29" s="175"/>
    </row>
    <row r="30" spans="1:11" ht="46.8">
      <c r="A30" s="165"/>
      <c r="B30" s="176" t="s">
        <v>330</v>
      </c>
      <c r="C30" s="177" t="s">
        <v>1209</v>
      </c>
      <c r="D30" s="178" t="s">
        <v>1016</v>
      </c>
      <c r="E30" s="186"/>
      <c r="F30" s="186">
        <v>26</v>
      </c>
      <c r="G30" s="186">
        <v>27</v>
      </c>
      <c r="H30" s="186">
        <v>20</v>
      </c>
      <c r="I30" s="188">
        <v>7</v>
      </c>
      <c r="J30" s="182">
        <f t="shared" si="0"/>
        <v>80</v>
      </c>
      <c r="K30" s="175"/>
    </row>
    <row r="31" spans="1:11" ht="46.8">
      <c r="A31" s="165"/>
      <c r="B31" s="176" t="s">
        <v>333</v>
      </c>
      <c r="C31" s="177" t="s">
        <v>1210</v>
      </c>
      <c r="D31" s="178" t="s">
        <v>1016</v>
      </c>
      <c r="E31" s="186"/>
      <c r="F31" s="186"/>
      <c r="G31" s="186"/>
      <c r="H31" s="186"/>
      <c r="I31" s="188"/>
      <c r="J31" s="182">
        <f t="shared" si="0"/>
        <v>0</v>
      </c>
      <c r="K31" s="175"/>
    </row>
    <row r="32" spans="1:11" ht="46.8">
      <c r="A32" s="165"/>
      <c r="B32" s="176" t="s">
        <v>335</v>
      </c>
      <c r="C32" s="177" t="s">
        <v>1211</v>
      </c>
      <c r="D32" s="178" t="s">
        <v>1016</v>
      </c>
      <c r="E32" s="186"/>
      <c r="F32" s="186">
        <v>27</v>
      </c>
      <c r="G32" s="186">
        <v>30</v>
      </c>
      <c r="H32" s="186">
        <v>31</v>
      </c>
      <c r="I32" s="188"/>
      <c r="J32" s="182">
        <f t="shared" si="0"/>
        <v>88</v>
      </c>
      <c r="K32" s="175"/>
    </row>
    <row r="33" spans="1:11" ht="46.8">
      <c r="A33" s="165"/>
      <c r="B33" s="176" t="s">
        <v>341</v>
      </c>
      <c r="C33" s="177" t="s">
        <v>1212</v>
      </c>
      <c r="D33" s="178" t="s">
        <v>1016</v>
      </c>
      <c r="E33" s="186"/>
      <c r="F33" s="186"/>
      <c r="G33" s="186"/>
      <c r="H33" s="186"/>
      <c r="I33" s="188"/>
      <c r="J33" s="182">
        <f t="shared" si="0"/>
        <v>0</v>
      </c>
      <c r="K33" s="175"/>
    </row>
    <row r="34" spans="1:11" ht="31.2">
      <c r="A34" s="165"/>
      <c r="B34" s="176" t="s">
        <v>342</v>
      </c>
      <c r="C34" s="177" t="s">
        <v>1159</v>
      </c>
      <c r="D34" s="178" t="s">
        <v>1016</v>
      </c>
      <c r="E34" s="186"/>
      <c r="F34" s="186"/>
      <c r="G34" s="186"/>
      <c r="H34" s="186"/>
      <c r="I34" s="188"/>
      <c r="J34" s="182">
        <f t="shared" si="0"/>
        <v>0</v>
      </c>
      <c r="K34" s="175"/>
    </row>
    <row r="35" spans="1:11">
      <c r="A35" s="170"/>
      <c r="B35" s="172" t="s">
        <v>324</v>
      </c>
      <c r="C35" s="255" t="s">
        <v>1160</v>
      </c>
      <c r="D35" s="256"/>
      <c r="E35" s="256"/>
      <c r="F35" s="256"/>
      <c r="G35" s="256"/>
      <c r="H35" s="256"/>
      <c r="I35" s="256"/>
      <c r="J35" s="256"/>
      <c r="K35" s="257"/>
    </row>
    <row r="36" spans="1:11" ht="62.4">
      <c r="A36" s="165"/>
      <c r="B36" s="176" t="s">
        <v>343</v>
      </c>
      <c r="C36" s="177" t="s">
        <v>1213</v>
      </c>
      <c r="D36" s="178" t="s">
        <v>1016</v>
      </c>
      <c r="E36" s="186"/>
      <c r="F36" s="186"/>
      <c r="G36" s="186"/>
      <c r="H36" s="186"/>
      <c r="I36" s="188"/>
      <c r="J36" s="182">
        <f t="shared" si="0"/>
        <v>0</v>
      </c>
      <c r="K36" s="175"/>
    </row>
    <row r="37" spans="1:11" ht="62.4">
      <c r="A37" s="165"/>
      <c r="B37" s="176" t="s">
        <v>344</v>
      </c>
      <c r="C37" s="177" t="s">
        <v>1214</v>
      </c>
      <c r="D37" s="178" t="s">
        <v>74</v>
      </c>
      <c r="E37" s="186"/>
      <c r="F37" s="186"/>
      <c r="G37" s="186"/>
      <c r="H37" s="186"/>
      <c r="I37" s="188"/>
      <c r="J37" s="182">
        <f t="shared" si="0"/>
        <v>0</v>
      </c>
      <c r="K37" s="175"/>
    </row>
    <row r="38" spans="1:11" ht="62.4">
      <c r="A38" s="165"/>
      <c r="B38" s="176" t="s">
        <v>345</v>
      </c>
      <c r="C38" s="177" t="s">
        <v>1215</v>
      </c>
      <c r="D38" s="178" t="s">
        <v>74</v>
      </c>
      <c r="E38" s="186">
        <v>11</v>
      </c>
      <c r="F38" s="186"/>
      <c r="G38" s="186"/>
      <c r="H38" s="186"/>
      <c r="I38" s="188"/>
      <c r="J38" s="182">
        <f t="shared" si="0"/>
        <v>11</v>
      </c>
      <c r="K38" s="175"/>
    </row>
    <row r="39" spans="1:11">
      <c r="A39" s="170"/>
      <c r="B39" s="172" t="s">
        <v>332</v>
      </c>
      <c r="C39" s="255" t="s">
        <v>1161</v>
      </c>
      <c r="D39" s="256"/>
      <c r="E39" s="256"/>
      <c r="F39" s="256"/>
      <c r="G39" s="256"/>
      <c r="H39" s="256"/>
      <c r="I39" s="256"/>
      <c r="J39" s="256"/>
      <c r="K39" s="257"/>
    </row>
    <row r="40" spans="1:11">
      <c r="A40" s="165"/>
      <c r="B40" s="176" t="s">
        <v>347</v>
      </c>
      <c r="C40" s="177" t="s">
        <v>1162</v>
      </c>
      <c r="D40" s="178" t="s">
        <v>280</v>
      </c>
      <c r="E40" s="186"/>
      <c r="F40" s="186">
        <v>5</v>
      </c>
      <c r="G40" s="186">
        <v>6</v>
      </c>
      <c r="H40" s="186">
        <v>5</v>
      </c>
      <c r="I40" s="188"/>
      <c r="J40" s="182">
        <f t="shared" si="0"/>
        <v>16</v>
      </c>
      <c r="K40" s="175"/>
    </row>
    <row r="41" spans="1:11" ht="31.2">
      <c r="A41" s="165"/>
      <c r="B41" s="176" t="s">
        <v>349</v>
      </c>
      <c r="C41" s="177" t="s">
        <v>1163</v>
      </c>
      <c r="D41" s="178" t="s">
        <v>280</v>
      </c>
      <c r="E41" s="186"/>
      <c r="F41" s="186">
        <v>8</v>
      </c>
      <c r="G41" s="186">
        <v>8</v>
      </c>
      <c r="H41" s="186">
        <v>6</v>
      </c>
      <c r="I41" s="188"/>
      <c r="J41" s="182">
        <f t="shared" si="0"/>
        <v>22</v>
      </c>
      <c r="K41" s="175"/>
    </row>
    <row r="42" spans="1:11">
      <c r="A42" s="165"/>
      <c r="B42" s="176" t="s">
        <v>353</v>
      </c>
      <c r="C42" s="177" t="s">
        <v>1164</v>
      </c>
      <c r="D42" s="178" t="s">
        <v>280</v>
      </c>
      <c r="E42" s="186"/>
      <c r="F42" s="186">
        <v>6</v>
      </c>
      <c r="G42" s="186"/>
      <c r="H42" s="186"/>
      <c r="I42" s="188"/>
      <c r="J42" s="182">
        <f t="shared" si="0"/>
        <v>6</v>
      </c>
      <c r="K42" s="175"/>
    </row>
    <row r="43" spans="1:11">
      <c r="A43" s="165"/>
      <c r="B43" s="176" t="s">
        <v>355</v>
      </c>
      <c r="C43" s="177" t="s">
        <v>1165</v>
      </c>
      <c r="D43" s="178" t="s">
        <v>280</v>
      </c>
      <c r="E43" s="186"/>
      <c r="F43" s="186"/>
      <c r="G43" s="186">
        <v>4</v>
      </c>
      <c r="H43" s="186">
        <v>3</v>
      </c>
      <c r="I43" s="188"/>
      <c r="J43" s="182">
        <f t="shared" si="0"/>
        <v>7</v>
      </c>
      <c r="K43" s="175"/>
    </row>
    <row r="44" spans="1:11" ht="31.2">
      <c r="A44" s="165"/>
      <c r="B44" s="176" t="s">
        <v>357</v>
      </c>
      <c r="C44" s="177" t="s">
        <v>1166</v>
      </c>
      <c r="D44" s="178" t="s">
        <v>280</v>
      </c>
      <c r="E44" s="186">
        <v>1</v>
      </c>
      <c r="F44" s="186"/>
      <c r="G44" s="186"/>
      <c r="H44" s="186"/>
      <c r="I44" s="188"/>
      <c r="J44" s="182">
        <f t="shared" si="0"/>
        <v>1</v>
      </c>
      <c r="K44" s="175"/>
    </row>
    <row r="45" spans="1:11">
      <c r="A45" s="165"/>
      <c r="B45" s="176" t="s">
        <v>359</v>
      </c>
      <c r="C45" s="177" t="s">
        <v>1167</v>
      </c>
      <c r="D45" s="178" t="s">
        <v>280</v>
      </c>
      <c r="E45" s="186"/>
      <c r="F45" s="186"/>
      <c r="G45" s="186"/>
      <c r="H45" s="186"/>
      <c r="I45" s="188">
        <v>1</v>
      </c>
      <c r="J45" s="182">
        <f t="shared" si="0"/>
        <v>1</v>
      </c>
      <c r="K45" s="175"/>
    </row>
    <row r="46" spans="1:11" ht="31.2">
      <c r="A46" s="165"/>
      <c r="B46" s="176" t="s">
        <v>361</v>
      </c>
      <c r="C46" s="177" t="s">
        <v>1168</v>
      </c>
      <c r="D46" s="178" t="s">
        <v>280</v>
      </c>
      <c r="E46" s="186"/>
      <c r="F46" s="186"/>
      <c r="G46" s="186"/>
      <c r="H46" s="186"/>
      <c r="I46" s="188">
        <v>4</v>
      </c>
      <c r="J46" s="182">
        <f t="shared" si="0"/>
        <v>4</v>
      </c>
      <c r="K46" s="175"/>
    </row>
    <row r="47" spans="1:11" ht="31.2">
      <c r="A47" s="165"/>
      <c r="B47" s="176" t="s">
        <v>363</v>
      </c>
      <c r="C47" s="177" t="s">
        <v>1169</v>
      </c>
      <c r="D47" s="178" t="s">
        <v>280</v>
      </c>
      <c r="E47" s="186"/>
      <c r="F47" s="186"/>
      <c r="G47" s="186"/>
      <c r="H47" s="186"/>
      <c r="I47" s="188">
        <v>1</v>
      </c>
      <c r="J47" s="182">
        <f t="shared" si="0"/>
        <v>1</v>
      </c>
      <c r="K47" s="175"/>
    </row>
    <row r="48" spans="1:11">
      <c r="A48" s="165"/>
      <c r="B48" s="176" t="s">
        <v>365</v>
      </c>
      <c r="C48" s="177" t="s">
        <v>1170</v>
      </c>
      <c r="D48" s="178" t="s">
        <v>280</v>
      </c>
      <c r="E48" s="186"/>
      <c r="F48" s="186">
        <v>8</v>
      </c>
      <c r="G48" s="186"/>
      <c r="H48" s="186"/>
      <c r="I48" s="188"/>
      <c r="J48" s="182">
        <f t="shared" si="0"/>
        <v>8</v>
      </c>
      <c r="K48" s="175"/>
    </row>
    <row r="49" spans="1:62">
      <c r="A49" s="165"/>
      <c r="B49" s="176" t="s">
        <v>367</v>
      </c>
      <c r="C49" s="177" t="s">
        <v>1171</v>
      </c>
      <c r="D49" s="178" t="s">
        <v>280</v>
      </c>
      <c r="E49" s="186"/>
      <c r="F49" s="186"/>
      <c r="G49" s="186"/>
      <c r="H49" s="186"/>
      <c r="I49" s="188"/>
      <c r="J49" s="182">
        <f t="shared" si="0"/>
        <v>0</v>
      </c>
      <c r="K49" s="175"/>
    </row>
    <row r="50" spans="1:62" ht="31.2">
      <c r="A50" s="165"/>
      <c r="B50" s="176" t="s">
        <v>369</v>
      </c>
      <c r="C50" s="177" t="s">
        <v>1172</v>
      </c>
      <c r="D50" s="178" t="s">
        <v>280</v>
      </c>
      <c r="E50" s="186"/>
      <c r="F50" s="186">
        <v>5</v>
      </c>
      <c r="G50" s="186">
        <v>6</v>
      </c>
      <c r="H50" s="186">
        <v>5</v>
      </c>
      <c r="I50" s="188"/>
      <c r="J50" s="182">
        <f>E50+F50+G50+H50+I50</f>
        <v>16</v>
      </c>
      <c r="K50" s="175"/>
    </row>
    <row r="51" spans="1:62" s="167" customFormat="1" ht="62.4">
      <c r="A51" s="165"/>
      <c r="B51" s="176" t="s">
        <v>371</v>
      </c>
      <c r="C51" s="177" t="s">
        <v>1173</v>
      </c>
      <c r="D51" s="178" t="s">
        <v>280</v>
      </c>
      <c r="E51" s="186"/>
      <c r="F51" s="186"/>
      <c r="G51" s="186"/>
      <c r="H51" s="186"/>
      <c r="I51" s="188"/>
      <c r="J51" s="182">
        <f t="shared" si="0"/>
        <v>0</v>
      </c>
      <c r="K51" s="175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168"/>
      <c r="AY51" s="168"/>
      <c r="AZ51" s="168"/>
      <c r="BA51" s="168"/>
      <c r="BB51" s="168"/>
      <c r="BC51" s="168"/>
      <c r="BD51" s="168"/>
      <c r="BE51" s="168"/>
      <c r="BF51" s="168"/>
      <c r="BG51" s="168"/>
      <c r="BH51" s="168"/>
      <c r="BI51" s="168"/>
      <c r="BJ51" s="168"/>
    </row>
    <row r="52" spans="1:62" s="167" customFormat="1" ht="62.4">
      <c r="A52" s="165"/>
      <c r="B52" s="176" t="s">
        <v>372</v>
      </c>
      <c r="C52" s="177" t="s">
        <v>1174</v>
      </c>
      <c r="D52" s="178" t="s">
        <v>280</v>
      </c>
      <c r="E52" s="186"/>
      <c r="F52" s="186"/>
      <c r="G52" s="186"/>
      <c r="H52" s="186"/>
      <c r="I52" s="188"/>
      <c r="J52" s="182">
        <f t="shared" si="0"/>
        <v>0</v>
      </c>
      <c r="K52" s="175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168"/>
      <c r="AL52" s="168"/>
      <c r="AM52" s="168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168"/>
      <c r="AY52" s="168"/>
      <c r="AZ52" s="168"/>
      <c r="BA52" s="168"/>
      <c r="BB52" s="168"/>
      <c r="BC52" s="168"/>
      <c r="BD52" s="168"/>
      <c r="BE52" s="168"/>
      <c r="BF52" s="168"/>
      <c r="BG52" s="168"/>
      <c r="BH52" s="168"/>
      <c r="BI52" s="168"/>
      <c r="BJ52" s="168"/>
    </row>
    <row r="53" spans="1:62" s="167" customFormat="1">
      <c r="A53" s="170"/>
      <c r="B53" s="172" t="s">
        <v>337</v>
      </c>
      <c r="C53" s="255" t="s">
        <v>1175</v>
      </c>
      <c r="D53" s="256"/>
      <c r="E53" s="256"/>
      <c r="F53" s="256"/>
      <c r="G53" s="256"/>
      <c r="H53" s="256"/>
      <c r="I53" s="256"/>
      <c r="J53" s="256"/>
      <c r="K53" s="257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/>
      <c r="BC53" s="168"/>
      <c r="BD53" s="168"/>
      <c r="BE53" s="168"/>
      <c r="BF53" s="168"/>
      <c r="BG53" s="168"/>
      <c r="BH53" s="168"/>
      <c r="BI53" s="168"/>
      <c r="BJ53" s="168"/>
    </row>
    <row r="54" spans="1:62" s="167" customFormat="1" ht="31.2">
      <c r="A54" s="165"/>
      <c r="B54" s="176" t="s">
        <v>374</v>
      </c>
      <c r="C54" s="177" t="s">
        <v>1176</v>
      </c>
      <c r="D54" s="178" t="s">
        <v>280</v>
      </c>
      <c r="E54" s="186"/>
      <c r="F54" s="186">
        <v>4</v>
      </c>
      <c r="G54" s="186">
        <v>4</v>
      </c>
      <c r="H54" s="186">
        <v>3</v>
      </c>
      <c r="I54" s="188"/>
      <c r="J54" s="182">
        <f t="shared" si="0"/>
        <v>11</v>
      </c>
      <c r="K54" s="175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  <c r="AZ54" s="168"/>
      <c r="BA54" s="168"/>
      <c r="BB54" s="168"/>
      <c r="BC54" s="168"/>
      <c r="BD54" s="168"/>
      <c r="BE54" s="168"/>
      <c r="BF54" s="168"/>
      <c r="BG54" s="168"/>
      <c r="BH54" s="168"/>
      <c r="BI54" s="168"/>
      <c r="BJ54" s="168"/>
    </row>
    <row r="55" spans="1:62" s="167" customFormat="1" ht="31.2">
      <c r="A55" s="165"/>
      <c r="B55" s="176" t="s">
        <v>376</v>
      </c>
      <c r="C55" s="177" t="s">
        <v>1177</v>
      </c>
      <c r="D55" s="178" t="s">
        <v>280</v>
      </c>
      <c r="E55" s="186"/>
      <c r="F55" s="186"/>
      <c r="G55" s="186"/>
      <c r="H55" s="186"/>
      <c r="I55" s="188"/>
      <c r="J55" s="182">
        <f t="shared" si="0"/>
        <v>0</v>
      </c>
      <c r="K55" s="175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168"/>
      <c r="AY55" s="168"/>
      <c r="AZ55" s="168"/>
      <c r="BA55" s="168"/>
      <c r="BB55" s="168"/>
      <c r="BC55" s="168"/>
      <c r="BD55" s="168"/>
      <c r="BE55" s="168"/>
      <c r="BF55" s="168"/>
      <c r="BG55" s="168"/>
      <c r="BH55" s="168"/>
      <c r="BI55" s="168"/>
      <c r="BJ55" s="168"/>
    </row>
    <row r="56" spans="1:62" s="167" customFormat="1" ht="31.2">
      <c r="A56" s="165"/>
      <c r="B56" s="176" t="s">
        <v>380</v>
      </c>
      <c r="C56" s="177" t="s">
        <v>1178</v>
      </c>
      <c r="D56" s="178" t="s">
        <v>280</v>
      </c>
      <c r="E56" s="186">
        <v>2</v>
      </c>
      <c r="F56" s="186">
        <v>1</v>
      </c>
      <c r="G56" s="186">
        <v>1</v>
      </c>
      <c r="H56" s="186">
        <v>1</v>
      </c>
      <c r="I56" s="188"/>
      <c r="J56" s="182">
        <f t="shared" si="0"/>
        <v>5</v>
      </c>
      <c r="K56" s="175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</row>
    <row r="57" spans="1:62" s="167" customFormat="1" ht="31.2">
      <c r="A57" s="165"/>
      <c r="B57" s="176" t="s">
        <v>381</v>
      </c>
      <c r="C57" s="177" t="s">
        <v>1179</v>
      </c>
      <c r="D57" s="178" t="s">
        <v>280</v>
      </c>
      <c r="E57" s="186">
        <v>1</v>
      </c>
      <c r="F57" s="186">
        <v>1</v>
      </c>
      <c r="G57" s="186">
        <v>1</v>
      </c>
      <c r="H57" s="186">
        <v>1</v>
      </c>
      <c r="I57" s="188"/>
      <c r="J57" s="182">
        <f t="shared" si="0"/>
        <v>4</v>
      </c>
      <c r="K57" s="175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  <c r="AZ57" s="168"/>
      <c r="BA57" s="168"/>
      <c r="BB57" s="168"/>
      <c r="BC57" s="168"/>
      <c r="BD57" s="168"/>
      <c r="BE57" s="168"/>
      <c r="BF57" s="168"/>
      <c r="BG57" s="168"/>
      <c r="BH57" s="168"/>
      <c r="BI57" s="168"/>
      <c r="BJ57" s="168"/>
    </row>
    <row r="58" spans="1:62" s="167" customFormat="1">
      <c r="A58" s="170"/>
      <c r="B58" s="172" t="s">
        <v>351</v>
      </c>
      <c r="C58" s="255" t="s">
        <v>1180</v>
      </c>
      <c r="D58" s="256"/>
      <c r="E58" s="256"/>
      <c r="F58" s="256"/>
      <c r="G58" s="256"/>
      <c r="H58" s="256"/>
      <c r="I58" s="256"/>
      <c r="J58" s="256"/>
      <c r="K58" s="257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8"/>
      <c r="BC58" s="168"/>
      <c r="BD58" s="168"/>
      <c r="BE58" s="168"/>
      <c r="BF58" s="168"/>
      <c r="BG58" s="168"/>
      <c r="BH58" s="168"/>
      <c r="BI58" s="168"/>
      <c r="BJ58" s="168"/>
    </row>
    <row r="59" spans="1:62" s="167" customFormat="1">
      <c r="A59" s="165"/>
      <c r="B59" s="176" t="s">
        <v>382</v>
      </c>
      <c r="C59" s="177" t="s">
        <v>1181</v>
      </c>
      <c r="D59" s="178" t="s">
        <v>280</v>
      </c>
      <c r="E59" s="186"/>
      <c r="F59" s="186"/>
      <c r="G59" s="186"/>
      <c r="H59" s="186"/>
      <c r="I59" s="188"/>
      <c r="J59" s="182">
        <f t="shared" si="0"/>
        <v>0</v>
      </c>
      <c r="K59" s="175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  <c r="AN59" s="168"/>
      <c r="AO59" s="168"/>
      <c r="AP59" s="168"/>
      <c r="AQ59" s="168"/>
      <c r="AR59" s="168"/>
      <c r="AS59" s="168"/>
      <c r="AT59" s="168"/>
      <c r="AU59" s="168"/>
      <c r="AV59" s="168"/>
      <c r="AW59" s="168"/>
      <c r="AX59" s="168"/>
      <c r="AY59" s="168"/>
      <c r="AZ59" s="168"/>
      <c r="BA59" s="168"/>
      <c r="BB59" s="168"/>
      <c r="BC59" s="168"/>
      <c r="BD59" s="168"/>
      <c r="BE59" s="168"/>
      <c r="BF59" s="168"/>
      <c r="BG59" s="168"/>
      <c r="BH59" s="168"/>
      <c r="BI59" s="168"/>
      <c r="BJ59" s="168"/>
    </row>
    <row r="60" spans="1:62" s="167" customFormat="1">
      <c r="A60" s="165"/>
      <c r="B60" s="176" t="s">
        <v>383</v>
      </c>
      <c r="C60" s="177" t="s">
        <v>1182</v>
      </c>
      <c r="D60" s="178" t="s">
        <v>280</v>
      </c>
      <c r="E60" s="186"/>
      <c r="F60" s="186"/>
      <c r="G60" s="186"/>
      <c r="H60" s="186"/>
      <c r="I60" s="188"/>
      <c r="J60" s="182">
        <f t="shared" si="0"/>
        <v>0</v>
      </c>
      <c r="K60" s="175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  <c r="AZ60" s="168"/>
      <c r="BA60" s="168"/>
      <c r="BB60" s="168"/>
      <c r="BC60" s="168"/>
      <c r="BD60" s="168"/>
      <c r="BE60" s="168"/>
      <c r="BF60" s="168"/>
      <c r="BG60" s="168"/>
      <c r="BH60" s="168"/>
      <c r="BI60" s="168"/>
      <c r="BJ60" s="168"/>
    </row>
    <row r="61" spans="1:62" s="167" customFormat="1">
      <c r="A61" s="165"/>
      <c r="B61" s="176" t="s">
        <v>384</v>
      </c>
      <c r="C61" s="177" t="s">
        <v>1183</v>
      </c>
      <c r="D61" s="178" t="s">
        <v>280</v>
      </c>
      <c r="E61" s="186"/>
      <c r="F61" s="186"/>
      <c r="G61" s="186"/>
      <c r="H61" s="186"/>
      <c r="I61" s="188"/>
      <c r="J61" s="182">
        <f t="shared" si="0"/>
        <v>0</v>
      </c>
      <c r="K61" s="175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8"/>
      <c r="AE61" s="168"/>
      <c r="AF61" s="168"/>
      <c r="AG61" s="168"/>
      <c r="AH61" s="168"/>
      <c r="AI61" s="168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8"/>
      <c r="BG61" s="168"/>
      <c r="BH61" s="168"/>
      <c r="BI61" s="168"/>
      <c r="BJ61" s="168"/>
    </row>
    <row r="62" spans="1:62" s="167" customFormat="1">
      <c r="A62" s="165"/>
      <c r="B62" s="176" t="s">
        <v>385</v>
      </c>
      <c r="C62" s="177" t="s">
        <v>1184</v>
      </c>
      <c r="D62" s="178" t="s">
        <v>280</v>
      </c>
      <c r="E62" s="186"/>
      <c r="F62" s="186"/>
      <c r="G62" s="186"/>
      <c r="H62" s="186"/>
      <c r="I62" s="188"/>
      <c r="J62" s="182">
        <f t="shared" si="0"/>
        <v>0</v>
      </c>
      <c r="K62" s="175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8"/>
      <c r="AE62" s="168"/>
      <c r="AF62" s="168"/>
      <c r="AG62" s="168"/>
      <c r="AH62" s="168"/>
      <c r="AI62" s="168"/>
      <c r="AJ62" s="168"/>
      <c r="AK62" s="168"/>
      <c r="AL62" s="168"/>
      <c r="AM62" s="168"/>
      <c r="AN62" s="168"/>
      <c r="AO62" s="168"/>
      <c r="AP62" s="168"/>
      <c r="AQ62" s="168"/>
      <c r="AR62" s="168"/>
      <c r="AS62" s="168"/>
      <c r="AT62" s="168"/>
      <c r="AU62" s="168"/>
      <c r="AV62" s="168"/>
      <c r="AW62" s="168"/>
      <c r="AX62" s="168"/>
      <c r="AY62" s="168"/>
      <c r="AZ62" s="168"/>
      <c r="BA62" s="168"/>
      <c r="BB62" s="168"/>
      <c r="BC62" s="168"/>
      <c r="BD62" s="168"/>
      <c r="BE62" s="168"/>
      <c r="BF62" s="168"/>
      <c r="BG62" s="168"/>
      <c r="BH62" s="168"/>
      <c r="BI62" s="168"/>
      <c r="BJ62" s="168"/>
    </row>
    <row r="63" spans="1:62" s="167" customFormat="1">
      <c r="A63" s="170"/>
      <c r="B63" s="172" t="s">
        <v>378</v>
      </c>
      <c r="C63" s="255" t="s">
        <v>1185</v>
      </c>
      <c r="D63" s="256"/>
      <c r="E63" s="256"/>
      <c r="F63" s="256"/>
      <c r="G63" s="256"/>
      <c r="H63" s="256"/>
      <c r="I63" s="256"/>
      <c r="J63" s="256"/>
      <c r="K63" s="257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  <c r="AZ63" s="168"/>
      <c r="BA63" s="168"/>
      <c r="BB63" s="168"/>
      <c r="BC63" s="168"/>
      <c r="BD63" s="168"/>
      <c r="BE63" s="168"/>
      <c r="BF63" s="168"/>
      <c r="BG63" s="168"/>
      <c r="BH63" s="168"/>
      <c r="BI63" s="168"/>
      <c r="BJ63" s="168"/>
    </row>
    <row r="64" spans="1:62" s="167" customFormat="1" ht="78">
      <c r="A64" s="165"/>
      <c r="B64" s="176" t="s">
        <v>388</v>
      </c>
      <c r="C64" s="177" t="s">
        <v>1186</v>
      </c>
      <c r="D64" s="178" t="s">
        <v>280</v>
      </c>
      <c r="E64" s="186"/>
      <c r="F64" s="186"/>
      <c r="G64" s="186"/>
      <c r="H64" s="186"/>
      <c r="I64" s="188"/>
      <c r="J64" s="182">
        <f t="shared" si="0"/>
        <v>0</v>
      </c>
      <c r="K64" s="175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  <c r="AE64" s="168"/>
      <c r="AF64" s="168"/>
      <c r="AG64" s="168"/>
      <c r="AH64" s="168"/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  <c r="AZ64" s="168"/>
      <c r="BA64" s="168"/>
      <c r="BB64" s="168"/>
      <c r="BC64" s="168"/>
      <c r="BD64" s="168"/>
      <c r="BE64" s="168"/>
      <c r="BF64" s="168"/>
      <c r="BG64" s="168"/>
      <c r="BH64" s="168"/>
      <c r="BI64" s="168"/>
      <c r="BJ64" s="168"/>
    </row>
    <row r="65" spans="1:62" s="167" customFormat="1" ht="46.8">
      <c r="A65" s="165"/>
      <c r="B65" s="176" t="s">
        <v>390</v>
      </c>
      <c r="C65" s="177" t="s">
        <v>1187</v>
      </c>
      <c r="D65" s="178" t="s">
        <v>280</v>
      </c>
      <c r="E65" s="186">
        <v>1</v>
      </c>
      <c r="F65" s="186"/>
      <c r="G65" s="186"/>
      <c r="H65" s="186"/>
      <c r="I65" s="188"/>
      <c r="J65" s="182">
        <f t="shared" si="0"/>
        <v>1</v>
      </c>
      <c r="K65" s="175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  <c r="AD65" s="168"/>
      <c r="AE65" s="168"/>
      <c r="AF65" s="168"/>
      <c r="AG65" s="168"/>
      <c r="AH65" s="168"/>
      <c r="AI65" s="168"/>
      <c r="AJ65" s="168"/>
      <c r="AK65" s="168"/>
      <c r="AL65" s="168"/>
      <c r="AM65" s="168"/>
      <c r="AN65" s="168"/>
      <c r="AO65" s="168"/>
      <c r="AP65" s="168"/>
      <c r="AQ65" s="168"/>
      <c r="AR65" s="168"/>
      <c r="AS65" s="168"/>
      <c r="AT65" s="168"/>
      <c r="AU65" s="168"/>
      <c r="AV65" s="168"/>
      <c r="AW65" s="168"/>
      <c r="AX65" s="168"/>
      <c r="AY65" s="168"/>
      <c r="AZ65" s="168"/>
      <c r="BA65" s="168"/>
      <c r="BB65" s="168"/>
      <c r="BC65" s="168"/>
      <c r="BD65" s="168"/>
      <c r="BE65" s="168"/>
      <c r="BF65" s="168"/>
      <c r="BG65" s="168"/>
      <c r="BH65" s="168"/>
      <c r="BI65" s="168"/>
      <c r="BJ65" s="168"/>
    </row>
    <row r="66" spans="1:62" s="167" customFormat="1" ht="46.8">
      <c r="A66" s="165"/>
      <c r="B66" s="176" t="s">
        <v>394</v>
      </c>
      <c r="C66" s="177" t="s">
        <v>1188</v>
      </c>
      <c r="D66" s="178" t="s">
        <v>280</v>
      </c>
      <c r="E66" s="186">
        <v>1</v>
      </c>
      <c r="F66" s="186"/>
      <c r="G66" s="186"/>
      <c r="H66" s="186"/>
      <c r="I66" s="188"/>
      <c r="J66" s="182">
        <f t="shared" si="0"/>
        <v>1</v>
      </c>
      <c r="K66" s="175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8"/>
      <c r="BC66" s="168"/>
      <c r="BD66" s="168"/>
      <c r="BE66" s="168"/>
      <c r="BF66" s="168"/>
      <c r="BG66" s="168"/>
      <c r="BH66" s="168"/>
      <c r="BI66" s="168"/>
      <c r="BJ66" s="168"/>
    </row>
    <row r="67" spans="1:62" s="166" customFormat="1" ht="78">
      <c r="A67" s="165"/>
      <c r="B67" s="176" t="s">
        <v>396</v>
      </c>
      <c r="C67" s="177" t="s">
        <v>1189</v>
      </c>
      <c r="D67" s="178" t="s">
        <v>280</v>
      </c>
      <c r="E67" s="186"/>
      <c r="F67" s="186"/>
      <c r="G67" s="186"/>
      <c r="H67" s="186"/>
      <c r="I67" s="188"/>
      <c r="J67" s="182">
        <f t="shared" si="0"/>
        <v>0</v>
      </c>
      <c r="K67" s="175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168"/>
      <c r="BB67" s="168"/>
      <c r="BC67" s="168"/>
      <c r="BD67" s="168"/>
      <c r="BE67" s="168"/>
      <c r="BF67" s="168"/>
      <c r="BG67" s="168"/>
      <c r="BH67" s="168"/>
      <c r="BI67" s="168"/>
      <c r="BJ67" s="168"/>
    </row>
    <row r="68" spans="1:62" s="166" customFormat="1">
      <c r="A68" s="170"/>
      <c r="B68" s="172" t="s">
        <v>386</v>
      </c>
      <c r="C68" s="255" t="s">
        <v>1190</v>
      </c>
      <c r="D68" s="256"/>
      <c r="E68" s="256"/>
      <c r="F68" s="256"/>
      <c r="G68" s="256"/>
      <c r="H68" s="256"/>
      <c r="I68" s="256"/>
      <c r="J68" s="256"/>
      <c r="K68" s="257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  <c r="AC68" s="168"/>
      <c r="AD68" s="168"/>
      <c r="AE68" s="168"/>
      <c r="AF68" s="168"/>
      <c r="AG68" s="168"/>
      <c r="AH68" s="168"/>
      <c r="AI68" s="168"/>
      <c r="AJ68" s="168"/>
      <c r="AK68" s="168"/>
      <c r="AL68" s="168"/>
      <c r="AM68" s="168"/>
      <c r="AN68" s="168"/>
      <c r="AO68" s="168"/>
      <c r="AP68" s="168"/>
      <c r="AQ68" s="168"/>
      <c r="AR68" s="168"/>
      <c r="AS68" s="168"/>
      <c r="AT68" s="168"/>
      <c r="AU68" s="168"/>
      <c r="AV68" s="168"/>
      <c r="AW68" s="168"/>
      <c r="AX68" s="168"/>
      <c r="AY68" s="168"/>
      <c r="AZ68" s="168"/>
      <c r="BA68" s="168"/>
      <c r="BB68" s="168"/>
      <c r="BC68" s="168"/>
      <c r="BD68" s="168"/>
      <c r="BE68" s="168"/>
      <c r="BF68" s="168"/>
      <c r="BG68" s="168"/>
      <c r="BH68" s="168"/>
      <c r="BI68" s="168"/>
      <c r="BJ68" s="168"/>
    </row>
    <row r="69" spans="1:62" s="166" customFormat="1" ht="46.8">
      <c r="A69" s="165"/>
      <c r="B69" s="176" t="s">
        <v>398</v>
      </c>
      <c r="C69" s="177" t="s">
        <v>1191</v>
      </c>
      <c r="D69" s="178" t="s">
        <v>280</v>
      </c>
      <c r="E69" s="186"/>
      <c r="F69" s="186"/>
      <c r="G69" s="186"/>
      <c r="H69" s="186"/>
      <c r="I69" s="188"/>
      <c r="J69" s="182">
        <f t="shared" si="0"/>
        <v>0</v>
      </c>
      <c r="K69" s="175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  <c r="AD69" s="168"/>
      <c r="AE69" s="168"/>
      <c r="AF69" s="168"/>
      <c r="AG69" s="168"/>
      <c r="AH69" s="168"/>
      <c r="AI69" s="168"/>
      <c r="AJ69" s="168"/>
      <c r="AK69" s="168"/>
      <c r="AL69" s="168"/>
      <c r="AM69" s="168"/>
      <c r="AN69" s="168"/>
      <c r="AO69" s="168"/>
      <c r="AP69" s="168"/>
      <c r="AQ69" s="168"/>
      <c r="AR69" s="168"/>
      <c r="AS69" s="168"/>
      <c r="AT69" s="168"/>
      <c r="AU69" s="168"/>
      <c r="AV69" s="168"/>
      <c r="AW69" s="168"/>
      <c r="AX69" s="168"/>
      <c r="AY69" s="168"/>
      <c r="AZ69" s="168"/>
      <c r="BA69" s="168"/>
      <c r="BB69" s="168"/>
      <c r="BC69" s="168"/>
      <c r="BD69" s="168"/>
      <c r="BE69" s="168"/>
      <c r="BF69" s="168"/>
      <c r="BG69" s="168"/>
      <c r="BH69" s="168"/>
      <c r="BI69" s="168"/>
      <c r="BJ69" s="168"/>
    </row>
    <row r="70" spans="1:62" s="166" customFormat="1" ht="46.8">
      <c r="A70" s="165"/>
      <c r="B70" s="176" t="s">
        <v>400</v>
      </c>
      <c r="C70" s="177" t="s">
        <v>1192</v>
      </c>
      <c r="D70" s="178" t="s">
        <v>280</v>
      </c>
      <c r="E70" s="186"/>
      <c r="F70" s="186"/>
      <c r="G70" s="186"/>
      <c r="H70" s="186"/>
      <c r="I70" s="188"/>
      <c r="J70" s="182">
        <f t="shared" si="0"/>
        <v>0</v>
      </c>
      <c r="K70" s="175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8"/>
      <c r="AE70" s="168"/>
      <c r="AF70" s="168"/>
      <c r="AG70" s="168"/>
      <c r="AH70" s="168"/>
      <c r="AI70" s="168"/>
      <c r="AJ70" s="168"/>
      <c r="AK70" s="168"/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 s="168"/>
      <c r="AX70" s="168"/>
      <c r="AY70" s="168"/>
      <c r="AZ70" s="168"/>
      <c r="BA70" s="168"/>
      <c r="BB70" s="168"/>
      <c r="BC70" s="168"/>
      <c r="BD70" s="168"/>
      <c r="BE70" s="168"/>
      <c r="BF70" s="168"/>
      <c r="BG70" s="168"/>
      <c r="BH70" s="168"/>
      <c r="BI70" s="168"/>
      <c r="BJ70" s="168"/>
    </row>
    <row r="71" spans="1:62" s="166" customFormat="1" ht="46.8">
      <c r="A71" s="165"/>
      <c r="B71" s="176" t="s">
        <v>402</v>
      </c>
      <c r="C71" s="177" t="s">
        <v>1193</v>
      </c>
      <c r="D71" s="178" t="s">
        <v>280</v>
      </c>
      <c r="E71" s="186"/>
      <c r="F71" s="186"/>
      <c r="G71" s="186"/>
      <c r="H71" s="186"/>
      <c r="I71" s="188"/>
      <c r="J71" s="182">
        <f t="shared" si="0"/>
        <v>0</v>
      </c>
      <c r="K71" s="175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168"/>
      <c r="AG71" s="168"/>
      <c r="AH71" s="168"/>
      <c r="AI71" s="168"/>
      <c r="AJ71" s="168"/>
      <c r="AK71" s="168"/>
      <c r="AL71" s="168"/>
      <c r="AM71" s="168"/>
      <c r="AN71" s="168"/>
      <c r="AO71" s="168"/>
      <c r="AP71" s="168"/>
      <c r="AQ71" s="168"/>
      <c r="AR71" s="168"/>
      <c r="AS71" s="168"/>
      <c r="AT71" s="168"/>
      <c r="AU71" s="168"/>
      <c r="AV71" s="168"/>
      <c r="AW71" s="168"/>
      <c r="AX71" s="168"/>
      <c r="AY71" s="168"/>
      <c r="AZ71" s="168"/>
      <c r="BA71" s="168"/>
      <c r="BB71" s="168"/>
      <c r="BC71" s="168"/>
      <c r="BD71" s="168"/>
      <c r="BE71" s="168"/>
      <c r="BF71" s="168"/>
      <c r="BG71" s="168"/>
      <c r="BH71" s="168"/>
      <c r="BI71" s="168"/>
      <c r="BJ71" s="168"/>
    </row>
    <row r="72" spans="1:62" s="166" customFormat="1" ht="46.8">
      <c r="A72" s="165"/>
      <c r="B72" s="176" t="s">
        <v>404</v>
      </c>
      <c r="C72" s="177" t="s">
        <v>1194</v>
      </c>
      <c r="D72" s="178" t="s">
        <v>280</v>
      </c>
      <c r="E72" s="186"/>
      <c r="F72" s="186"/>
      <c r="G72" s="186"/>
      <c r="H72" s="186"/>
      <c r="I72" s="188"/>
      <c r="J72" s="182">
        <f t="shared" si="0"/>
        <v>0</v>
      </c>
      <c r="K72" s="175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168"/>
      <c r="AG72" s="168"/>
      <c r="AH72" s="168"/>
      <c r="AI72" s="168"/>
      <c r="AJ72" s="168"/>
      <c r="AK72" s="168"/>
      <c r="AL72" s="168"/>
      <c r="AM72" s="168"/>
      <c r="AN72" s="168"/>
      <c r="AO72" s="168"/>
      <c r="AP72" s="168"/>
      <c r="AQ72" s="168"/>
      <c r="AR72" s="168"/>
      <c r="AS72" s="168"/>
      <c r="AT72" s="168"/>
      <c r="AU72" s="168"/>
      <c r="AV72" s="168"/>
      <c r="AW72" s="168"/>
      <c r="AX72" s="168"/>
      <c r="AY72" s="168"/>
      <c r="AZ72" s="168"/>
      <c r="BA72" s="168"/>
      <c r="BB72" s="168"/>
      <c r="BC72" s="168"/>
      <c r="BD72" s="168"/>
      <c r="BE72" s="168"/>
      <c r="BF72" s="168"/>
      <c r="BG72" s="168"/>
      <c r="BH72" s="168"/>
      <c r="BI72" s="168"/>
      <c r="BJ72" s="168"/>
    </row>
    <row r="73" spans="1:62" s="166" customFormat="1" ht="46.8">
      <c r="A73" s="165"/>
      <c r="B73" s="176" t="s">
        <v>406</v>
      </c>
      <c r="C73" s="177" t="s">
        <v>1195</v>
      </c>
      <c r="D73" s="178" t="s">
        <v>280</v>
      </c>
      <c r="E73" s="186"/>
      <c r="F73" s="186"/>
      <c r="G73" s="186"/>
      <c r="H73" s="186"/>
      <c r="I73" s="188"/>
      <c r="J73" s="182">
        <f t="shared" si="0"/>
        <v>0</v>
      </c>
      <c r="K73" s="175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168"/>
      <c r="BF73" s="168"/>
      <c r="BG73" s="168"/>
      <c r="BH73" s="168"/>
      <c r="BI73" s="168"/>
      <c r="BJ73" s="168"/>
    </row>
    <row r="74" spans="1:62" s="166" customFormat="1" ht="78">
      <c r="A74" s="165"/>
      <c r="B74" s="176" t="s">
        <v>408</v>
      </c>
      <c r="C74" s="177" t="s">
        <v>1196</v>
      </c>
      <c r="D74" s="178" t="s">
        <v>280</v>
      </c>
      <c r="E74" s="186"/>
      <c r="F74" s="186"/>
      <c r="G74" s="186"/>
      <c r="H74" s="186"/>
      <c r="I74" s="188"/>
      <c r="J74" s="182">
        <f t="shared" si="0"/>
        <v>0</v>
      </c>
      <c r="K74" s="175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  <c r="BI74" s="168"/>
      <c r="BJ74" s="168"/>
    </row>
    <row r="75" spans="1:62" s="166" customFormat="1" ht="78">
      <c r="A75" s="165"/>
      <c r="B75" s="176" t="s">
        <v>410</v>
      </c>
      <c r="C75" s="177" t="s">
        <v>1197</v>
      </c>
      <c r="D75" s="178" t="s">
        <v>280</v>
      </c>
      <c r="E75" s="186"/>
      <c r="F75" s="186"/>
      <c r="G75" s="186"/>
      <c r="H75" s="186"/>
      <c r="I75" s="188"/>
      <c r="J75" s="182">
        <f t="shared" si="0"/>
        <v>0</v>
      </c>
      <c r="K75" s="175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8"/>
      <c r="AE75" s="168"/>
      <c r="AF75" s="168"/>
      <c r="AG75" s="168"/>
      <c r="AH75" s="168"/>
      <c r="AI75" s="168"/>
      <c r="AJ75" s="168"/>
      <c r="AK75" s="168"/>
      <c r="AL75" s="168"/>
      <c r="AM75" s="168"/>
      <c r="AN75" s="168"/>
      <c r="AO75" s="168"/>
      <c r="AP75" s="168"/>
      <c r="AQ75" s="168"/>
      <c r="AR75" s="168"/>
      <c r="AS75" s="168"/>
      <c r="AT75" s="168"/>
      <c r="AU75" s="168"/>
      <c r="AV75" s="168"/>
      <c r="AW75" s="168"/>
      <c r="AX75" s="168"/>
      <c r="AY75" s="168"/>
      <c r="AZ75" s="168"/>
      <c r="BA75" s="168"/>
      <c r="BB75" s="168"/>
      <c r="BC75" s="168"/>
      <c r="BD75" s="168"/>
      <c r="BE75" s="168"/>
      <c r="BF75" s="168"/>
      <c r="BG75" s="168"/>
      <c r="BH75" s="168"/>
      <c r="BI75" s="168"/>
      <c r="BJ75" s="168"/>
    </row>
    <row r="76" spans="1:62" s="166" customFormat="1" ht="78">
      <c r="A76" s="165"/>
      <c r="B76" s="176" t="s">
        <v>412</v>
      </c>
      <c r="C76" s="177" t="s">
        <v>1198</v>
      </c>
      <c r="D76" s="178" t="s">
        <v>280</v>
      </c>
      <c r="E76" s="186"/>
      <c r="F76" s="186"/>
      <c r="G76" s="186"/>
      <c r="H76" s="186"/>
      <c r="I76" s="188"/>
      <c r="J76" s="182">
        <f t="shared" si="0"/>
        <v>0</v>
      </c>
      <c r="K76" s="175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8"/>
      <c r="AG76" s="168"/>
      <c r="AH76" s="168"/>
      <c r="AI76" s="168"/>
      <c r="AJ76" s="168"/>
      <c r="AK76" s="168"/>
      <c r="AL76" s="168"/>
      <c r="AM76" s="168"/>
      <c r="AN76" s="168"/>
      <c r="AO76" s="168"/>
      <c r="AP76" s="168"/>
      <c r="AQ76" s="168"/>
      <c r="AR76" s="168"/>
      <c r="AS76" s="168"/>
      <c r="AT76" s="168"/>
      <c r="AU76" s="168"/>
      <c r="AV76" s="168"/>
      <c r="AW76" s="168"/>
      <c r="AX76" s="168"/>
      <c r="AY76" s="168"/>
      <c r="AZ76" s="168"/>
      <c r="BA76" s="168"/>
      <c r="BB76" s="168"/>
      <c r="BC76" s="168"/>
      <c r="BD76" s="168"/>
      <c r="BE76" s="168"/>
      <c r="BF76" s="168"/>
      <c r="BG76" s="168"/>
      <c r="BH76" s="168"/>
      <c r="BI76" s="168"/>
      <c r="BJ76" s="168"/>
    </row>
    <row r="77" spans="1:62" s="166" customFormat="1" ht="78">
      <c r="A77" s="165"/>
      <c r="B77" s="176" t="s">
        <v>414</v>
      </c>
      <c r="C77" s="177" t="s">
        <v>1199</v>
      </c>
      <c r="D77" s="178" t="s">
        <v>280</v>
      </c>
      <c r="E77" s="186"/>
      <c r="F77" s="186"/>
      <c r="G77" s="186"/>
      <c r="H77" s="186"/>
      <c r="I77" s="188"/>
      <c r="J77" s="182">
        <f t="shared" si="0"/>
        <v>0</v>
      </c>
      <c r="K77" s="175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  <c r="AC77" s="168"/>
      <c r="AD77" s="168"/>
      <c r="AE77" s="168"/>
      <c r="AF77" s="168"/>
      <c r="AG77" s="168"/>
      <c r="AH77" s="168"/>
      <c r="AI77" s="168"/>
      <c r="AJ77" s="168"/>
      <c r="AK77" s="168"/>
      <c r="AL77" s="168"/>
      <c r="AM77" s="168"/>
      <c r="AN77" s="168"/>
      <c r="AO77" s="168"/>
      <c r="AP77" s="168"/>
      <c r="AQ77" s="168"/>
      <c r="AR77" s="168"/>
      <c r="AS77" s="168"/>
      <c r="AT77" s="168"/>
      <c r="AU77" s="168"/>
      <c r="AV77" s="168"/>
      <c r="AW77" s="168"/>
      <c r="AX77" s="168"/>
      <c r="AY77" s="168"/>
      <c r="AZ77" s="168"/>
      <c r="BA77" s="168"/>
      <c r="BB77" s="168"/>
      <c r="BC77" s="168"/>
      <c r="BD77" s="168"/>
      <c r="BE77" s="168"/>
      <c r="BF77" s="168"/>
      <c r="BG77" s="168"/>
      <c r="BH77" s="168"/>
      <c r="BI77" s="168"/>
      <c r="BJ77" s="168"/>
    </row>
    <row r="78" spans="1:62" s="166" customFormat="1">
      <c r="A78" s="170"/>
      <c r="B78" s="172" t="s">
        <v>392</v>
      </c>
      <c r="C78" s="255" t="s">
        <v>272</v>
      </c>
      <c r="D78" s="256"/>
      <c r="E78" s="256"/>
      <c r="F78" s="256"/>
      <c r="G78" s="256"/>
      <c r="H78" s="256"/>
      <c r="I78" s="256"/>
      <c r="J78" s="256"/>
      <c r="K78" s="257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  <c r="AC78" s="168"/>
      <c r="AD78" s="168"/>
      <c r="AE78" s="168"/>
      <c r="AF78" s="168"/>
      <c r="AG78" s="168"/>
      <c r="AH78" s="168"/>
      <c r="AI78" s="168"/>
      <c r="AJ78" s="168"/>
      <c r="AK78" s="168"/>
      <c r="AL78" s="168"/>
      <c r="AM78" s="168"/>
      <c r="AN78" s="168"/>
      <c r="AO78" s="168"/>
      <c r="AP78" s="168"/>
      <c r="AQ78" s="168"/>
      <c r="AR78" s="168"/>
      <c r="AS78" s="168"/>
      <c r="AT78" s="168"/>
      <c r="AU78" s="168"/>
      <c r="AV78" s="168"/>
      <c r="AW78" s="168"/>
      <c r="AX78" s="168"/>
      <c r="AY78" s="168"/>
      <c r="AZ78" s="168"/>
      <c r="BA78" s="168"/>
      <c r="BB78" s="168"/>
      <c r="BC78" s="168"/>
      <c r="BD78" s="168"/>
      <c r="BE78" s="168"/>
      <c r="BF78" s="168"/>
      <c r="BG78" s="168"/>
      <c r="BH78" s="168"/>
      <c r="BI78" s="168"/>
      <c r="BJ78" s="168"/>
    </row>
    <row r="79" spans="1:62" s="166" customFormat="1" ht="31.2">
      <c r="A79" s="165"/>
      <c r="B79" s="176" t="s">
        <v>416</v>
      </c>
      <c r="C79" s="177" t="s">
        <v>1200</v>
      </c>
      <c r="D79" s="178" t="s">
        <v>280</v>
      </c>
      <c r="E79" s="186"/>
      <c r="F79" s="186"/>
      <c r="G79" s="186"/>
      <c r="H79" s="186"/>
      <c r="I79" s="188"/>
      <c r="J79" s="182">
        <f t="shared" si="0"/>
        <v>0</v>
      </c>
      <c r="K79" s="175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168"/>
      <c r="AY79" s="168"/>
      <c r="AZ79" s="168"/>
      <c r="BA79" s="168"/>
      <c r="BB79" s="168"/>
      <c r="BC79" s="168"/>
      <c r="BD79" s="168"/>
      <c r="BE79" s="168"/>
      <c r="BF79" s="168"/>
      <c r="BG79" s="168"/>
      <c r="BH79" s="168"/>
      <c r="BI79" s="168"/>
      <c r="BJ79" s="168"/>
    </row>
    <row r="80" spans="1:62" s="166" customFormat="1">
      <c r="A80" s="165"/>
      <c r="B80" s="173"/>
      <c r="C80" s="173"/>
      <c r="D80" s="173"/>
      <c r="E80" s="174"/>
      <c r="F80" s="174"/>
      <c r="G80" s="174"/>
      <c r="H80" s="174"/>
      <c r="I80" s="182"/>
      <c r="J80" s="182"/>
      <c r="K80" s="175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68"/>
      <c r="BH80" s="168"/>
      <c r="BI80" s="168"/>
      <c r="BJ80" s="168"/>
    </row>
    <row r="81" spans="2:11">
      <c r="B81" s="179"/>
      <c r="C81" s="179"/>
      <c r="D81" s="179"/>
      <c r="F81" s="180"/>
      <c r="G81" s="180"/>
      <c r="H81" s="180"/>
      <c r="I81" s="183"/>
      <c r="K81" s="179"/>
    </row>
    <row r="82" spans="2:11">
      <c r="B82" s="179"/>
      <c r="C82" s="179"/>
      <c r="D82" s="179"/>
      <c r="F82" s="180"/>
      <c r="G82" s="180"/>
      <c r="H82" s="180"/>
      <c r="I82" s="183"/>
      <c r="K82" s="179"/>
    </row>
    <row r="83" spans="2:11">
      <c r="B83" s="179"/>
      <c r="C83" s="179"/>
      <c r="D83" s="179"/>
      <c r="F83" s="180"/>
      <c r="G83" s="180"/>
      <c r="H83" s="180"/>
      <c r="I83" s="183"/>
      <c r="K83" s="179"/>
    </row>
    <row r="84" spans="2:11">
      <c r="B84" s="179"/>
      <c r="C84" s="179"/>
      <c r="D84" s="179"/>
      <c r="F84" s="180"/>
      <c r="G84" s="180"/>
      <c r="H84" s="180"/>
      <c r="I84" s="183"/>
      <c r="K84" s="179"/>
    </row>
    <row r="85" spans="2:11">
      <c r="B85" s="179"/>
      <c r="C85" s="179"/>
      <c r="D85" s="179"/>
      <c r="F85" s="180"/>
      <c r="G85" s="180"/>
      <c r="H85" s="180"/>
      <c r="I85" s="183"/>
      <c r="K85" s="179"/>
    </row>
    <row r="86" spans="2:11">
      <c r="B86" s="179"/>
      <c r="C86" s="179"/>
      <c r="D86" s="179"/>
      <c r="F86" s="180"/>
      <c r="G86" s="180"/>
      <c r="H86" s="180"/>
      <c r="I86" s="183"/>
      <c r="K86" s="179"/>
    </row>
    <row r="87" spans="2:11">
      <c r="B87" s="179"/>
      <c r="C87" s="179"/>
      <c r="D87" s="179"/>
      <c r="F87" s="180"/>
      <c r="G87" s="180"/>
      <c r="H87" s="180"/>
      <c r="I87" s="183"/>
      <c r="K87" s="179"/>
    </row>
    <row r="88" spans="2:11">
      <c r="B88" s="179"/>
      <c r="C88" s="179"/>
      <c r="D88" s="179"/>
      <c r="F88" s="180"/>
      <c r="G88" s="180"/>
      <c r="H88" s="180"/>
      <c r="I88" s="183"/>
      <c r="K88" s="179"/>
    </row>
    <row r="89" spans="2:11">
      <c r="B89" s="179"/>
      <c r="C89" s="179"/>
      <c r="D89" s="179"/>
      <c r="F89" s="180"/>
      <c r="G89" s="180"/>
      <c r="H89" s="180"/>
      <c r="I89" s="183"/>
      <c r="K89" s="179"/>
    </row>
    <row r="90" spans="2:11">
      <c r="B90" s="179"/>
      <c r="C90" s="179"/>
      <c r="D90" s="179"/>
      <c r="F90" s="180"/>
      <c r="G90" s="180"/>
      <c r="H90" s="180"/>
      <c r="I90" s="183"/>
      <c r="K90" s="179"/>
    </row>
    <row r="91" spans="2:11">
      <c r="B91" s="179"/>
      <c r="C91" s="179"/>
      <c r="D91" s="179"/>
      <c r="F91" s="180"/>
      <c r="G91" s="180"/>
      <c r="H91" s="180"/>
      <c r="I91" s="183"/>
      <c r="K91" s="179"/>
    </row>
    <row r="92" spans="2:11">
      <c r="B92" s="179"/>
      <c r="C92" s="179"/>
      <c r="D92" s="179"/>
      <c r="F92" s="180"/>
      <c r="G92" s="180"/>
      <c r="H92" s="180"/>
      <c r="I92" s="183"/>
      <c r="K92" s="179"/>
    </row>
    <row r="93" spans="2:11">
      <c r="B93" s="179"/>
      <c r="C93" s="179"/>
      <c r="D93" s="179"/>
      <c r="F93" s="180"/>
      <c r="G93" s="180"/>
      <c r="H93" s="180"/>
      <c r="I93" s="183"/>
      <c r="K93" s="179"/>
    </row>
    <row r="94" spans="2:11">
      <c r="B94" s="179"/>
      <c r="C94" s="179"/>
      <c r="D94" s="179"/>
      <c r="F94" s="180"/>
      <c r="G94" s="180"/>
      <c r="H94" s="180"/>
      <c r="I94" s="183"/>
      <c r="K94" s="179"/>
    </row>
    <row r="95" spans="2:11">
      <c r="B95" s="179"/>
      <c r="C95" s="179"/>
      <c r="D95" s="179"/>
      <c r="F95" s="180"/>
      <c r="G95" s="180"/>
      <c r="H95" s="180"/>
      <c r="I95" s="183"/>
      <c r="K95" s="179"/>
    </row>
    <row r="96" spans="2:11">
      <c r="B96" s="179"/>
      <c r="C96" s="179"/>
      <c r="D96" s="179"/>
      <c r="F96" s="180"/>
      <c r="G96" s="180"/>
      <c r="H96" s="180"/>
      <c r="I96" s="183"/>
      <c r="K96" s="179"/>
    </row>
    <row r="97" spans="2:11">
      <c r="B97" s="179"/>
      <c r="C97" s="179"/>
      <c r="D97" s="179"/>
      <c r="F97" s="180"/>
      <c r="G97" s="180"/>
      <c r="H97" s="180"/>
      <c r="I97" s="183"/>
      <c r="K97" s="179"/>
    </row>
    <row r="98" spans="2:11">
      <c r="B98" s="179"/>
      <c r="C98" s="179"/>
      <c r="D98" s="179"/>
      <c r="F98" s="180"/>
      <c r="G98" s="180"/>
      <c r="H98" s="180"/>
      <c r="I98" s="183"/>
      <c r="K98" s="179"/>
    </row>
    <row r="99" spans="2:11">
      <c r="B99" s="179"/>
      <c r="C99" s="179"/>
      <c r="D99" s="179"/>
      <c r="F99" s="180"/>
      <c r="G99" s="180"/>
      <c r="H99" s="180"/>
      <c r="I99" s="183"/>
      <c r="K99" s="179"/>
    </row>
    <row r="100" spans="2:11">
      <c r="B100" s="179"/>
      <c r="C100" s="179"/>
      <c r="D100" s="179"/>
      <c r="F100" s="180"/>
      <c r="G100" s="180"/>
      <c r="H100" s="180"/>
      <c r="I100" s="183"/>
      <c r="K100" s="179"/>
    </row>
    <row r="101" spans="2:11">
      <c r="B101" s="179"/>
      <c r="C101" s="179"/>
      <c r="D101" s="179"/>
      <c r="F101" s="180"/>
      <c r="G101" s="180"/>
      <c r="H101" s="180"/>
      <c r="I101" s="183"/>
      <c r="K101" s="179"/>
    </row>
    <row r="102" spans="2:11">
      <c r="B102" s="179"/>
      <c r="C102" s="179"/>
      <c r="D102" s="179"/>
      <c r="F102" s="180"/>
      <c r="G102" s="180"/>
      <c r="H102" s="180"/>
      <c r="I102" s="183"/>
      <c r="K102" s="179"/>
    </row>
    <row r="103" spans="2:11">
      <c r="B103" s="179"/>
      <c r="C103" s="179"/>
      <c r="D103" s="179"/>
      <c r="F103" s="180"/>
      <c r="G103" s="180"/>
      <c r="H103" s="180"/>
      <c r="I103" s="183"/>
      <c r="K103" s="179"/>
    </row>
    <row r="104" spans="2:11">
      <c r="B104" s="179"/>
      <c r="C104" s="179"/>
      <c r="D104" s="179"/>
      <c r="F104" s="180"/>
      <c r="G104" s="180"/>
      <c r="H104" s="180"/>
      <c r="I104" s="183"/>
      <c r="K104" s="179"/>
    </row>
    <row r="105" spans="2:11">
      <c r="B105" s="179"/>
      <c r="C105" s="179"/>
      <c r="D105" s="179"/>
      <c r="F105" s="180"/>
      <c r="G105" s="180"/>
      <c r="H105" s="180"/>
      <c r="I105" s="183"/>
      <c r="K105" s="179"/>
    </row>
    <row r="106" spans="2:11">
      <c r="B106" s="179"/>
      <c r="C106" s="179"/>
      <c r="D106" s="179"/>
      <c r="F106" s="180"/>
      <c r="G106" s="180"/>
      <c r="H106" s="180"/>
      <c r="I106" s="183"/>
      <c r="K106" s="179"/>
    </row>
    <row r="107" spans="2:11">
      <c r="B107" s="179"/>
      <c r="C107" s="179"/>
      <c r="D107" s="179"/>
      <c r="F107" s="180"/>
      <c r="G107" s="180"/>
      <c r="H107" s="180"/>
      <c r="I107" s="183"/>
      <c r="K107" s="179"/>
    </row>
    <row r="108" spans="2:11">
      <c r="B108" s="179"/>
      <c r="C108" s="179"/>
      <c r="D108" s="179"/>
      <c r="F108" s="180"/>
      <c r="G108" s="180"/>
      <c r="H108" s="180"/>
      <c r="I108" s="183"/>
      <c r="K108" s="179"/>
    </row>
    <row r="109" spans="2:11">
      <c r="B109" s="179"/>
      <c r="C109" s="179"/>
      <c r="D109" s="179"/>
      <c r="F109" s="180"/>
      <c r="G109" s="180"/>
      <c r="H109" s="180"/>
      <c r="I109" s="183"/>
      <c r="K109" s="179"/>
    </row>
    <row r="110" spans="2:11">
      <c r="B110" s="179"/>
      <c r="C110" s="179"/>
      <c r="D110" s="179"/>
      <c r="F110" s="180"/>
      <c r="G110" s="180"/>
      <c r="H110" s="180"/>
      <c r="I110" s="183"/>
      <c r="K110" s="179"/>
    </row>
    <row r="111" spans="2:11">
      <c r="B111" s="179"/>
      <c r="C111" s="179"/>
      <c r="D111" s="179"/>
      <c r="F111" s="180"/>
      <c r="G111" s="180"/>
      <c r="H111" s="180"/>
      <c r="I111" s="183"/>
      <c r="K111" s="179"/>
    </row>
    <row r="112" spans="2:11">
      <c r="B112" s="179"/>
      <c r="C112" s="179"/>
      <c r="D112" s="179"/>
      <c r="F112" s="180"/>
      <c r="G112" s="180"/>
      <c r="H112" s="180"/>
      <c r="I112" s="183"/>
      <c r="K112" s="179"/>
    </row>
    <row r="113" spans="2:11">
      <c r="B113" s="179"/>
      <c r="C113" s="179"/>
      <c r="D113" s="179"/>
      <c r="F113" s="180"/>
      <c r="G113" s="180"/>
      <c r="H113" s="180"/>
      <c r="I113" s="183"/>
      <c r="K113" s="179"/>
    </row>
    <row r="114" spans="2:11">
      <c r="B114" s="179"/>
      <c r="C114" s="179"/>
      <c r="D114" s="179"/>
      <c r="F114" s="180"/>
      <c r="G114" s="180"/>
      <c r="H114" s="180"/>
      <c r="I114" s="183"/>
      <c r="K114" s="179"/>
    </row>
    <row r="115" spans="2:11">
      <c r="B115" s="179"/>
      <c r="C115" s="179"/>
      <c r="D115" s="179"/>
      <c r="F115" s="180"/>
      <c r="G115" s="180"/>
      <c r="H115" s="180"/>
      <c r="I115" s="183"/>
      <c r="K115" s="179"/>
    </row>
    <row r="116" spans="2:11">
      <c r="B116" s="179"/>
      <c r="C116" s="179"/>
      <c r="D116" s="179"/>
      <c r="F116" s="180"/>
      <c r="G116" s="180"/>
      <c r="H116" s="180"/>
      <c r="I116" s="183"/>
      <c r="K116" s="179"/>
    </row>
    <row r="117" spans="2:11">
      <c r="B117" s="179"/>
      <c r="C117" s="179"/>
      <c r="D117" s="179"/>
      <c r="F117" s="180"/>
      <c r="G117" s="180"/>
      <c r="H117" s="180"/>
      <c r="I117" s="183"/>
      <c r="K117" s="179"/>
    </row>
    <row r="118" spans="2:11">
      <c r="B118" s="179"/>
      <c r="C118" s="179"/>
      <c r="D118" s="179"/>
      <c r="F118" s="180"/>
      <c r="G118" s="180"/>
      <c r="H118" s="180"/>
      <c r="I118" s="183"/>
      <c r="K118" s="179"/>
    </row>
    <row r="119" spans="2:11">
      <c r="B119" s="179"/>
      <c r="C119" s="179"/>
      <c r="D119" s="179"/>
      <c r="F119" s="180"/>
      <c r="G119" s="180"/>
      <c r="H119" s="180"/>
      <c r="I119" s="183"/>
      <c r="K119" s="179"/>
    </row>
    <row r="120" spans="2:11">
      <c r="B120" s="179"/>
      <c r="C120" s="179"/>
      <c r="D120" s="179"/>
      <c r="F120" s="180"/>
      <c r="G120" s="180"/>
      <c r="H120" s="180"/>
      <c r="I120" s="183"/>
      <c r="K120" s="179"/>
    </row>
    <row r="121" spans="2:11">
      <c r="B121" s="179"/>
      <c r="C121" s="179"/>
      <c r="D121" s="179"/>
      <c r="F121" s="180"/>
      <c r="G121" s="180"/>
      <c r="H121" s="180"/>
      <c r="I121" s="183"/>
      <c r="K121" s="179"/>
    </row>
    <row r="122" spans="2:11">
      <c r="B122" s="179"/>
      <c r="C122" s="179"/>
      <c r="D122" s="179"/>
      <c r="F122" s="180"/>
      <c r="G122" s="180"/>
      <c r="H122" s="180"/>
      <c r="I122" s="183"/>
      <c r="K122" s="179"/>
    </row>
    <row r="123" spans="2:11">
      <c r="B123" s="179"/>
      <c r="C123" s="179"/>
      <c r="D123" s="179"/>
      <c r="F123" s="180"/>
      <c r="G123" s="180"/>
      <c r="H123" s="180"/>
      <c r="I123" s="183"/>
      <c r="K123" s="179"/>
    </row>
    <row r="124" spans="2:11">
      <c r="B124" s="179"/>
      <c r="C124" s="179"/>
      <c r="D124" s="179"/>
      <c r="F124" s="180"/>
      <c r="G124" s="180"/>
      <c r="H124" s="180"/>
      <c r="I124" s="183"/>
      <c r="K124" s="179"/>
    </row>
    <row r="125" spans="2:11">
      <c r="B125" s="179"/>
      <c r="C125" s="179"/>
      <c r="D125" s="179"/>
      <c r="F125" s="180"/>
      <c r="G125" s="180"/>
      <c r="H125" s="180"/>
      <c r="I125" s="183"/>
      <c r="K125" s="179"/>
    </row>
    <row r="126" spans="2:11">
      <c r="B126" s="179"/>
      <c r="C126" s="179"/>
      <c r="D126" s="179"/>
      <c r="F126" s="180"/>
      <c r="G126" s="180"/>
      <c r="H126" s="180"/>
      <c r="I126" s="183"/>
      <c r="K126" s="179"/>
    </row>
    <row r="127" spans="2:11">
      <c r="B127" s="179"/>
      <c r="C127" s="179"/>
      <c r="D127" s="179"/>
      <c r="F127" s="180"/>
      <c r="G127" s="180"/>
      <c r="H127" s="180"/>
      <c r="I127" s="183"/>
      <c r="K127" s="179"/>
    </row>
    <row r="128" spans="2:11">
      <c r="B128" s="179"/>
      <c r="C128" s="179"/>
      <c r="D128" s="179"/>
      <c r="F128" s="180"/>
      <c r="G128" s="180"/>
      <c r="H128" s="180"/>
      <c r="I128" s="183"/>
      <c r="K128" s="179"/>
    </row>
    <row r="129" spans="2:11">
      <c r="B129" s="179"/>
      <c r="C129" s="179"/>
      <c r="D129" s="179"/>
      <c r="F129" s="180"/>
      <c r="G129" s="180"/>
      <c r="H129" s="180"/>
      <c r="I129" s="183"/>
      <c r="K129" s="179"/>
    </row>
    <row r="130" spans="2:11">
      <c r="B130" s="179"/>
      <c r="C130" s="179"/>
      <c r="D130" s="179"/>
      <c r="F130" s="180"/>
      <c r="G130" s="180"/>
      <c r="H130" s="180"/>
      <c r="I130" s="183"/>
      <c r="K130" s="179"/>
    </row>
    <row r="131" spans="2:11">
      <c r="B131" s="179"/>
      <c r="C131" s="179"/>
      <c r="D131" s="179"/>
      <c r="F131" s="180"/>
      <c r="G131" s="180"/>
      <c r="H131" s="180"/>
      <c r="I131" s="183"/>
      <c r="K131" s="179"/>
    </row>
    <row r="132" spans="2:11">
      <c r="B132" s="179"/>
      <c r="C132" s="179"/>
      <c r="D132" s="179"/>
      <c r="F132" s="180"/>
      <c r="G132" s="180"/>
      <c r="H132" s="180"/>
      <c r="I132" s="183"/>
      <c r="K132" s="179"/>
    </row>
    <row r="133" spans="2:11">
      <c r="B133" s="179"/>
      <c r="C133" s="179"/>
      <c r="D133" s="179"/>
      <c r="F133" s="180"/>
      <c r="G133" s="180"/>
      <c r="H133" s="180"/>
      <c r="I133" s="183"/>
      <c r="K133" s="179"/>
    </row>
    <row r="134" spans="2:11">
      <c r="B134" s="179"/>
      <c r="C134" s="179"/>
      <c r="D134" s="179"/>
      <c r="F134" s="180"/>
      <c r="G134" s="180"/>
      <c r="H134" s="180"/>
      <c r="I134" s="183"/>
      <c r="K134" s="179"/>
    </row>
    <row r="135" spans="2:11">
      <c r="B135" s="179"/>
      <c r="C135" s="179"/>
      <c r="D135" s="179"/>
      <c r="F135" s="180"/>
      <c r="G135" s="180"/>
      <c r="H135" s="180"/>
      <c r="I135" s="183"/>
      <c r="K135" s="179"/>
    </row>
    <row r="136" spans="2:11">
      <c r="B136" s="179"/>
      <c r="C136" s="179"/>
      <c r="D136" s="179"/>
      <c r="F136" s="180"/>
      <c r="G136" s="180"/>
      <c r="H136" s="180"/>
      <c r="I136" s="183"/>
      <c r="K136" s="179"/>
    </row>
    <row r="137" spans="2:11">
      <c r="B137" s="179"/>
      <c r="C137" s="179"/>
      <c r="D137" s="179"/>
      <c r="F137" s="180"/>
      <c r="G137" s="180"/>
      <c r="H137" s="180"/>
      <c r="I137" s="183"/>
      <c r="K137" s="179"/>
    </row>
    <row r="138" spans="2:11">
      <c r="B138" s="179"/>
      <c r="C138" s="179"/>
      <c r="D138" s="179"/>
      <c r="F138" s="180"/>
      <c r="G138" s="180"/>
      <c r="H138" s="180"/>
      <c r="I138" s="183"/>
      <c r="K138" s="179"/>
    </row>
    <row r="139" spans="2:11">
      <c r="B139" s="179"/>
      <c r="C139" s="179"/>
      <c r="D139" s="179"/>
      <c r="F139" s="180"/>
      <c r="G139" s="180"/>
      <c r="H139" s="180"/>
      <c r="I139" s="183"/>
      <c r="K139" s="179"/>
    </row>
    <row r="140" spans="2:11">
      <c r="B140" s="179"/>
      <c r="C140" s="179"/>
      <c r="D140" s="179"/>
      <c r="F140" s="180"/>
      <c r="G140" s="180"/>
      <c r="H140" s="180"/>
      <c r="I140" s="183"/>
      <c r="K140" s="179"/>
    </row>
    <row r="141" spans="2:11">
      <c r="B141" s="179"/>
      <c r="C141" s="179"/>
      <c r="D141" s="179"/>
      <c r="F141" s="180"/>
      <c r="G141" s="180"/>
      <c r="H141" s="180"/>
      <c r="I141" s="183"/>
      <c r="K141" s="179"/>
    </row>
    <row r="142" spans="2:11">
      <c r="B142" s="179"/>
      <c r="C142" s="179"/>
      <c r="D142" s="179"/>
      <c r="F142" s="180"/>
      <c r="G142" s="180"/>
      <c r="H142" s="180"/>
      <c r="I142" s="183"/>
      <c r="K142" s="179"/>
    </row>
    <row r="143" spans="2:11">
      <c r="B143" s="179"/>
      <c r="C143" s="179"/>
      <c r="D143" s="179"/>
      <c r="F143" s="180"/>
      <c r="G143" s="180"/>
      <c r="H143" s="180"/>
      <c r="I143" s="183"/>
      <c r="K143" s="179"/>
    </row>
    <row r="144" spans="2:11">
      <c r="B144" s="179"/>
      <c r="C144" s="179"/>
      <c r="D144" s="179"/>
      <c r="F144" s="180"/>
      <c r="G144" s="180"/>
      <c r="H144" s="180"/>
      <c r="I144" s="183"/>
      <c r="K144" s="179"/>
    </row>
    <row r="145" spans="2:11">
      <c r="B145" s="179"/>
      <c r="C145" s="179"/>
      <c r="D145" s="179"/>
      <c r="F145" s="180"/>
      <c r="G145" s="180"/>
      <c r="H145" s="180"/>
      <c r="I145" s="183"/>
      <c r="K145" s="179"/>
    </row>
    <row r="146" spans="2:11">
      <c r="B146" s="179"/>
      <c r="C146" s="179"/>
      <c r="D146" s="179"/>
      <c r="F146" s="180"/>
      <c r="G146" s="180"/>
      <c r="H146" s="180"/>
      <c r="I146" s="183"/>
      <c r="K146" s="179"/>
    </row>
    <row r="147" spans="2:11">
      <c r="B147" s="179"/>
      <c r="C147" s="179"/>
      <c r="D147" s="179"/>
      <c r="F147" s="180"/>
      <c r="G147" s="180"/>
      <c r="H147" s="180"/>
      <c r="I147" s="183"/>
      <c r="K147" s="179"/>
    </row>
    <row r="148" spans="2:11">
      <c r="B148" s="179"/>
      <c r="C148" s="179"/>
      <c r="D148" s="179"/>
      <c r="F148" s="180"/>
      <c r="G148" s="180"/>
      <c r="H148" s="180"/>
      <c r="I148" s="183"/>
      <c r="K148" s="179"/>
    </row>
    <row r="149" spans="2:11">
      <c r="B149" s="179"/>
      <c r="C149" s="179"/>
      <c r="D149" s="179"/>
      <c r="F149" s="180"/>
      <c r="G149" s="180"/>
      <c r="H149" s="180"/>
      <c r="I149" s="183"/>
      <c r="K149" s="179"/>
    </row>
    <row r="150" spans="2:11">
      <c r="B150" s="179"/>
      <c r="C150" s="179"/>
      <c r="D150" s="179"/>
      <c r="F150" s="180"/>
      <c r="G150" s="180"/>
      <c r="H150" s="180"/>
      <c r="I150" s="183"/>
      <c r="K150" s="179"/>
    </row>
    <row r="151" spans="2:11">
      <c r="B151" s="179"/>
      <c r="C151" s="179"/>
      <c r="D151" s="179"/>
      <c r="F151" s="180"/>
      <c r="G151" s="180"/>
      <c r="H151" s="180"/>
      <c r="I151" s="183"/>
      <c r="K151" s="179"/>
    </row>
    <row r="152" spans="2:11">
      <c r="B152" s="179"/>
      <c r="C152" s="179"/>
      <c r="D152" s="179"/>
      <c r="F152" s="180"/>
      <c r="G152" s="180"/>
      <c r="H152" s="180"/>
      <c r="I152" s="183"/>
      <c r="K152" s="179"/>
    </row>
    <row r="153" spans="2:11">
      <c r="B153" s="179"/>
      <c r="C153" s="179"/>
      <c r="D153" s="179"/>
      <c r="F153" s="180"/>
      <c r="G153" s="180"/>
      <c r="H153" s="180"/>
      <c r="I153" s="183"/>
      <c r="K153" s="179"/>
    </row>
    <row r="154" spans="2:11">
      <c r="B154" s="179"/>
      <c r="C154" s="179"/>
      <c r="D154" s="179"/>
      <c r="F154" s="180"/>
      <c r="G154" s="180"/>
      <c r="H154" s="180"/>
      <c r="I154" s="183"/>
      <c r="K154" s="179"/>
    </row>
    <row r="155" spans="2:11">
      <c r="B155" s="179"/>
      <c r="C155" s="179"/>
      <c r="D155" s="179"/>
      <c r="F155" s="180"/>
      <c r="G155" s="180"/>
      <c r="H155" s="180"/>
      <c r="I155" s="183"/>
      <c r="K155" s="179"/>
    </row>
    <row r="156" spans="2:11">
      <c r="B156" s="179"/>
      <c r="C156" s="179"/>
      <c r="D156" s="179"/>
      <c r="F156" s="180"/>
      <c r="G156" s="180"/>
      <c r="H156" s="180"/>
      <c r="I156" s="183"/>
      <c r="K156" s="179"/>
    </row>
    <row r="157" spans="2:11">
      <c r="B157" s="179"/>
      <c r="C157" s="179"/>
      <c r="D157" s="179"/>
      <c r="F157" s="180"/>
      <c r="G157" s="180"/>
      <c r="H157" s="180"/>
      <c r="I157" s="183"/>
      <c r="K157" s="179"/>
    </row>
    <row r="158" spans="2:11">
      <c r="B158" s="179"/>
      <c r="C158" s="179"/>
      <c r="D158" s="179"/>
      <c r="F158" s="180"/>
      <c r="G158" s="180"/>
      <c r="H158" s="180"/>
      <c r="I158" s="183"/>
      <c r="K158" s="179"/>
    </row>
    <row r="159" spans="2:11">
      <c r="B159" s="179"/>
      <c r="C159" s="179"/>
      <c r="D159" s="179"/>
      <c r="F159" s="180"/>
      <c r="G159" s="180"/>
      <c r="H159" s="180"/>
      <c r="I159" s="183"/>
      <c r="K159" s="179"/>
    </row>
    <row r="160" spans="2:11">
      <c r="B160" s="179"/>
      <c r="C160" s="179"/>
      <c r="D160" s="179"/>
      <c r="F160" s="180"/>
      <c r="G160" s="180"/>
      <c r="H160" s="180"/>
      <c r="I160" s="183"/>
      <c r="K160" s="179"/>
    </row>
    <row r="161" spans="2:11">
      <c r="B161" s="179"/>
      <c r="C161" s="179"/>
      <c r="D161" s="179"/>
      <c r="F161" s="180"/>
      <c r="G161" s="180"/>
      <c r="H161" s="180"/>
      <c r="I161" s="183"/>
      <c r="K161" s="179"/>
    </row>
    <row r="162" spans="2:11">
      <c r="B162" s="179"/>
      <c r="C162" s="179"/>
      <c r="D162" s="179"/>
      <c r="F162" s="180"/>
      <c r="G162" s="180"/>
      <c r="H162" s="180"/>
      <c r="I162" s="183"/>
      <c r="K162" s="179"/>
    </row>
    <row r="163" spans="2:11">
      <c r="B163" s="179"/>
      <c r="C163" s="179"/>
      <c r="D163" s="179"/>
      <c r="F163" s="180"/>
      <c r="G163" s="180"/>
      <c r="H163" s="180"/>
      <c r="I163" s="183"/>
      <c r="K163" s="179"/>
    </row>
    <row r="164" spans="2:11">
      <c r="B164" s="179"/>
      <c r="C164" s="179"/>
      <c r="D164" s="179"/>
      <c r="F164" s="180"/>
      <c r="G164" s="180"/>
      <c r="H164" s="180"/>
      <c r="I164" s="183"/>
      <c r="K164" s="179"/>
    </row>
    <row r="165" spans="2:11">
      <c r="B165" s="179"/>
      <c r="C165" s="179"/>
      <c r="D165" s="179"/>
      <c r="F165" s="180"/>
      <c r="G165" s="180"/>
      <c r="H165" s="180"/>
      <c r="I165" s="183"/>
      <c r="K165" s="179"/>
    </row>
    <row r="166" spans="2:11">
      <c r="B166" s="179"/>
      <c r="C166" s="179"/>
      <c r="D166" s="179"/>
      <c r="F166" s="180"/>
      <c r="G166" s="180"/>
      <c r="H166" s="180"/>
      <c r="I166" s="183"/>
      <c r="K166" s="179"/>
    </row>
    <row r="167" spans="2:11">
      <c r="B167" s="179"/>
      <c r="C167" s="179"/>
      <c r="D167" s="179"/>
      <c r="F167" s="180"/>
      <c r="G167" s="180"/>
      <c r="H167" s="180"/>
      <c r="I167" s="183"/>
      <c r="K167" s="179"/>
    </row>
    <row r="168" spans="2:11">
      <c r="B168" s="179"/>
      <c r="C168" s="179"/>
      <c r="D168" s="179"/>
      <c r="F168" s="180"/>
      <c r="G168" s="180"/>
      <c r="H168" s="180"/>
      <c r="I168" s="183"/>
      <c r="K168" s="179"/>
    </row>
    <row r="169" spans="2:11">
      <c r="B169" s="179"/>
      <c r="C169" s="179"/>
      <c r="D169" s="179"/>
      <c r="F169" s="180"/>
      <c r="G169" s="180"/>
      <c r="H169" s="180"/>
      <c r="I169" s="183"/>
      <c r="K169" s="179"/>
    </row>
    <row r="170" spans="2:11">
      <c r="B170" s="179"/>
      <c r="C170" s="179"/>
      <c r="D170" s="179"/>
      <c r="F170" s="180"/>
      <c r="G170" s="180"/>
      <c r="H170" s="180"/>
      <c r="I170" s="183"/>
      <c r="K170" s="179"/>
    </row>
    <row r="171" spans="2:11">
      <c r="B171" s="179"/>
      <c r="C171" s="179"/>
      <c r="D171" s="179"/>
      <c r="F171" s="180"/>
      <c r="G171" s="180"/>
      <c r="H171" s="180"/>
      <c r="I171" s="183"/>
      <c r="K171" s="179"/>
    </row>
    <row r="172" spans="2:11">
      <c r="B172" s="179"/>
      <c r="C172" s="179"/>
      <c r="D172" s="179"/>
      <c r="F172" s="180"/>
      <c r="G172" s="180"/>
      <c r="H172" s="180"/>
      <c r="I172" s="183"/>
      <c r="K172" s="179"/>
    </row>
    <row r="173" spans="2:11">
      <c r="B173" s="179"/>
      <c r="C173" s="179"/>
      <c r="D173" s="179"/>
      <c r="F173" s="180"/>
      <c r="G173" s="180"/>
      <c r="H173" s="180"/>
      <c r="I173" s="183"/>
      <c r="K173" s="179"/>
    </row>
    <row r="174" spans="2:11">
      <c r="B174" s="179"/>
      <c r="C174" s="179"/>
      <c r="D174" s="179"/>
      <c r="F174" s="180"/>
      <c r="G174" s="180"/>
      <c r="H174" s="180"/>
      <c r="I174" s="183"/>
      <c r="K174" s="179"/>
    </row>
    <row r="175" spans="2:11">
      <c r="B175" s="179"/>
      <c r="C175" s="179"/>
      <c r="D175" s="179"/>
      <c r="F175" s="180"/>
      <c r="G175" s="180"/>
      <c r="H175" s="180"/>
      <c r="I175" s="183"/>
      <c r="K175" s="179"/>
    </row>
    <row r="176" spans="2:11">
      <c r="B176" s="179"/>
      <c r="C176" s="179"/>
      <c r="D176" s="179"/>
      <c r="F176" s="180"/>
      <c r="G176" s="180"/>
      <c r="H176" s="180"/>
      <c r="I176" s="183"/>
      <c r="K176" s="179"/>
    </row>
    <row r="177" spans="2:11">
      <c r="B177" s="179"/>
      <c r="C177" s="179"/>
      <c r="D177" s="179"/>
      <c r="F177" s="180"/>
      <c r="G177" s="180"/>
      <c r="H177" s="180"/>
      <c r="I177" s="183"/>
      <c r="K177" s="179"/>
    </row>
    <row r="178" spans="2:11">
      <c r="B178" s="179"/>
      <c r="C178" s="179"/>
      <c r="D178" s="179"/>
      <c r="F178" s="180"/>
      <c r="G178" s="180"/>
      <c r="H178" s="180"/>
      <c r="I178" s="183"/>
      <c r="K178" s="179"/>
    </row>
    <row r="179" spans="2:11">
      <c r="B179" s="179"/>
      <c r="C179" s="179"/>
      <c r="D179" s="179"/>
      <c r="F179" s="180"/>
      <c r="G179" s="180"/>
      <c r="H179" s="180"/>
      <c r="I179" s="183"/>
      <c r="K179" s="179"/>
    </row>
    <row r="180" spans="2:11">
      <c r="B180" s="179"/>
      <c r="C180" s="179"/>
      <c r="D180" s="179"/>
      <c r="F180" s="180"/>
      <c r="G180" s="180"/>
      <c r="H180" s="180"/>
      <c r="I180" s="183"/>
      <c r="K180" s="179"/>
    </row>
    <row r="181" spans="2:11">
      <c r="B181" s="179"/>
      <c r="C181" s="179"/>
      <c r="D181" s="179"/>
      <c r="F181" s="180"/>
      <c r="G181" s="180"/>
      <c r="H181" s="180"/>
      <c r="I181" s="183"/>
      <c r="K181" s="179"/>
    </row>
    <row r="182" spans="2:11">
      <c r="B182" s="179"/>
      <c r="C182" s="179"/>
      <c r="D182" s="179"/>
      <c r="F182" s="180"/>
      <c r="G182" s="180"/>
      <c r="H182" s="180"/>
      <c r="I182" s="183"/>
      <c r="K182" s="179"/>
    </row>
    <row r="183" spans="2:11">
      <c r="B183" s="179"/>
      <c r="C183" s="179"/>
      <c r="D183" s="179"/>
      <c r="F183" s="180"/>
      <c r="G183" s="180"/>
      <c r="H183" s="180"/>
      <c r="I183" s="183"/>
      <c r="K183" s="179"/>
    </row>
    <row r="184" spans="2:11">
      <c r="B184" s="179"/>
      <c r="C184" s="179"/>
      <c r="D184" s="179"/>
      <c r="F184" s="180"/>
      <c r="G184" s="180"/>
      <c r="H184" s="180"/>
      <c r="I184" s="183"/>
      <c r="K184" s="179"/>
    </row>
    <row r="185" spans="2:11">
      <c r="B185" s="179"/>
      <c r="C185" s="179"/>
      <c r="D185" s="179"/>
      <c r="F185" s="180"/>
      <c r="G185" s="180"/>
      <c r="H185" s="180"/>
      <c r="I185" s="183"/>
      <c r="K185" s="179"/>
    </row>
    <row r="186" spans="2:11">
      <c r="B186" s="179"/>
      <c r="C186" s="179"/>
      <c r="D186" s="179"/>
      <c r="F186" s="180"/>
      <c r="G186" s="180"/>
      <c r="H186" s="180"/>
      <c r="I186" s="183"/>
      <c r="K186" s="179"/>
    </row>
    <row r="187" spans="2:11">
      <c r="B187" s="179"/>
      <c r="C187" s="179"/>
      <c r="D187" s="179"/>
      <c r="F187" s="180"/>
      <c r="G187" s="180"/>
      <c r="H187" s="180"/>
      <c r="I187" s="183"/>
      <c r="K187" s="179"/>
    </row>
    <row r="188" spans="2:11">
      <c r="B188" s="179"/>
      <c r="C188" s="179"/>
      <c r="D188" s="179"/>
      <c r="F188" s="180"/>
      <c r="G188" s="180"/>
      <c r="H188" s="180"/>
      <c r="I188" s="183"/>
      <c r="K188" s="179"/>
    </row>
    <row r="189" spans="2:11">
      <c r="B189" s="179"/>
      <c r="C189" s="179"/>
      <c r="D189" s="179"/>
      <c r="F189" s="180"/>
      <c r="G189" s="180"/>
      <c r="H189" s="180"/>
      <c r="I189" s="183"/>
      <c r="K189" s="179"/>
    </row>
    <row r="190" spans="2:11">
      <c r="B190" s="179"/>
      <c r="C190" s="179"/>
      <c r="D190" s="179"/>
      <c r="F190" s="180"/>
      <c r="G190" s="180"/>
      <c r="H190" s="180"/>
      <c r="I190" s="183"/>
      <c r="K190" s="179"/>
    </row>
    <row r="191" spans="2:11">
      <c r="B191" s="179"/>
      <c r="C191" s="179"/>
      <c r="D191" s="179"/>
      <c r="F191" s="180"/>
      <c r="G191" s="180"/>
      <c r="H191" s="180"/>
      <c r="I191" s="183"/>
      <c r="K191" s="179"/>
    </row>
    <row r="192" spans="2:11">
      <c r="B192" s="179"/>
      <c r="C192" s="179"/>
      <c r="D192" s="179"/>
      <c r="F192" s="180"/>
      <c r="G192" s="180"/>
      <c r="H192" s="180"/>
      <c r="I192" s="183"/>
      <c r="K192" s="179"/>
    </row>
    <row r="193" spans="2:11">
      <c r="B193" s="179"/>
      <c r="C193" s="179"/>
      <c r="D193" s="179"/>
      <c r="F193" s="180"/>
      <c r="G193" s="180"/>
      <c r="H193" s="180"/>
      <c r="I193" s="183"/>
      <c r="K193" s="179"/>
    </row>
    <row r="194" spans="2:11">
      <c r="B194" s="179"/>
      <c r="C194" s="179"/>
      <c r="D194" s="179"/>
      <c r="F194" s="180"/>
      <c r="G194" s="180"/>
      <c r="H194" s="180"/>
      <c r="I194" s="183"/>
      <c r="K194" s="179"/>
    </row>
    <row r="195" spans="2:11">
      <c r="B195" s="179"/>
      <c r="C195" s="179"/>
      <c r="D195" s="179"/>
      <c r="F195" s="180"/>
      <c r="G195" s="180"/>
      <c r="H195" s="180"/>
      <c r="I195" s="183"/>
      <c r="K195" s="179"/>
    </row>
    <row r="196" spans="2:11">
      <c r="B196" s="179"/>
      <c r="C196" s="179"/>
      <c r="D196" s="179"/>
      <c r="F196" s="180"/>
      <c r="G196" s="180"/>
      <c r="H196" s="180"/>
      <c r="I196" s="183"/>
      <c r="K196" s="179"/>
    </row>
    <row r="197" spans="2:11">
      <c r="B197" s="179"/>
      <c r="C197" s="179"/>
      <c r="D197" s="179"/>
      <c r="F197" s="180"/>
      <c r="G197" s="180"/>
      <c r="H197" s="180"/>
      <c r="I197" s="183"/>
      <c r="K197" s="179"/>
    </row>
    <row r="198" spans="2:11">
      <c r="B198" s="179"/>
      <c r="C198" s="179"/>
      <c r="D198" s="179"/>
      <c r="F198" s="180"/>
      <c r="G198" s="180"/>
      <c r="H198" s="180"/>
      <c r="I198" s="183"/>
      <c r="K198" s="179"/>
    </row>
    <row r="199" spans="2:11">
      <c r="B199" s="179"/>
      <c r="C199" s="179"/>
      <c r="D199" s="179"/>
      <c r="F199" s="180"/>
      <c r="G199" s="180"/>
      <c r="H199" s="180"/>
      <c r="I199" s="183"/>
      <c r="K199" s="179"/>
    </row>
    <row r="200" spans="2:11">
      <c r="B200" s="179"/>
      <c r="C200" s="179"/>
      <c r="D200" s="179"/>
      <c r="F200" s="180"/>
      <c r="G200" s="180"/>
      <c r="H200" s="180"/>
      <c r="I200" s="183"/>
      <c r="K200" s="179"/>
    </row>
    <row r="201" spans="2:11">
      <c r="B201" s="179"/>
      <c r="C201" s="179"/>
      <c r="D201" s="179"/>
      <c r="F201" s="180"/>
      <c r="G201" s="180"/>
      <c r="H201" s="180"/>
      <c r="I201" s="183"/>
      <c r="K201" s="179"/>
    </row>
    <row r="202" spans="2:11">
      <c r="B202" s="179"/>
      <c r="C202" s="179"/>
      <c r="D202" s="179"/>
      <c r="F202" s="180"/>
      <c r="G202" s="180"/>
      <c r="H202" s="180"/>
      <c r="I202" s="183"/>
      <c r="K202" s="179"/>
    </row>
    <row r="203" spans="2:11">
      <c r="B203" s="179"/>
      <c r="C203" s="179"/>
      <c r="D203" s="179"/>
      <c r="F203" s="180"/>
      <c r="G203" s="180"/>
      <c r="H203" s="180"/>
      <c r="I203" s="183"/>
      <c r="K203" s="179"/>
    </row>
    <row r="204" spans="2:11">
      <c r="B204" s="179"/>
      <c r="C204" s="179"/>
      <c r="D204" s="179"/>
      <c r="F204" s="180"/>
      <c r="G204" s="180"/>
      <c r="H204" s="180"/>
      <c r="I204" s="183"/>
      <c r="K204" s="179"/>
    </row>
    <row r="205" spans="2:11">
      <c r="B205" s="179"/>
      <c r="C205" s="179"/>
      <c r="D205" s="179"/>
      <c r="F205" s="180"/>
      <c r="G205" s="180"/>
      <c r="H205" s="180"/>
      <c r="I205" s="183"/>
      <c r="K205" s="179"/>
    </row>
    <row r="206" spans="2:11">
      <c r="B206" s="179"/>
      <c r="C206" s="179"/>
      <c r="D206" s="179"/>
      <c r="F206" s="180"/>
      <c r="G206" s="180"/>
      <c r="H206" s="180"/>
      <c r="I206" s="183"/>
      <c r="K206" s="179"/>
    </row>
    <row r="207" spans="2:11">
      <c r="B207" s="179"/>
      <c r="C207" s="179"/>
      <c r="D207" s="179"/>
      <c r="F207" s="180"/>
      <c r="G207" s="180"/>
      <c r="H207" s="180"/>
      <c r="I207" s="183"/>
      <c r="K207" s="179"/>
    </row>
    <row r="208" spans="2:11">
      <c r="B208" s="179"/>
      <c r="C208" s="179"/>
      <c r="D208" s="179"/>
      <c r="F208" s="180"/>
      <c r="G208" s="180"/>
      <c r="H208" s="180"/>
      <c r="I208" s="183"/>
      <c r="K208" s="179"/>
    </row>
    <row r="209" spans="2:11">
      <c r="B209" s="179"/>
      <c r="C209" s="179"/>
      <c r="D209" s="179"/>
      <c r="F209" s="180"/>
      <c r="G209" s="180"/>
      <c r="H209" s="180"/>
      <c r="I209" s="183"/>
      <c r="K209" s="179"/>
    </row>
    <row r="210" spans="2:11">
      <c r="B210" s="179"/>
      <c r="C210" s="179"/>
      <c r="D210" s="179"/>
      <c r="F210" s="180"/>
      <c r="G210" s="180"/>
      <c r="H210" s="180"/>
      <c r="I210" s="183"/>
      <c r="K210" s="179"/>
    </row>
    <row r="211" spans="2:11">
      <c r="B211" s="179"/>
      <c r="C211" s="179"/>
      <c r="D211" s="179"/>
      <c r="F211" s="180"/>
      <c r="G211" s="180"/>
      <c r="H211" s="180"/>
      <c r="I211" s="183"/>
      <c r="K211" s="179"/>
    </row>
    <row r="212" spans="2:11">
      <c r="B212" s="179"/>
      <c r="C212" s="179"/>
      <c r="D212" s="179"/>
      <c r="F212" s="180"/>
      <c r="G212" s="180"/>
      <c r="H212" s="180"/>
      <c r="I212" s="183"/>
      <c r="K212" s="179"/>
    </row>
    <row r="213" spans="2:11">
      <c r="B213" s="179"/>
      <c r="C213" s="179"/>
      <c r="D213" s="179"/>
      <c r="F213" s="180"/>
      <c r="G213" s="180"/>
      <c r="H213" s="180"/>
      <c r="I213" s="183"/>
      <c r="K213" s="179"/>
    </row>
    <row r="214" spans="2:11">
      <c r="F214" s="180"/>
      <c r="G214" s="180"/>
      <c r="H214" s="180"/>
      <c r="I214" s="183"/>
    </row>
    <row r="215" spans="2:11">
      <c r="F215" s="180"/>
      <c r="G215" s="180"/>
      <c r="H215" s="180"/>
      <c r="I215" s="183"/>
    </row>
    <row r="216" spans="2:11">
      <c r="F216" s="180"/>
      <c r="G216" s="180"/>
      <c r="H216" s="180"/>
      <c r="I216" s="183"/>
    </row>
    <row r="217" spans="2:11">
      <c r="F217" s="180"/>
      <c r="G217" s="180"/>
      <c r="H217" s="180"/>
      <c r="I217" s="183"/>
    </row>
    <row r="218" spans="2:11">
      <c r="F218" s="180"/>
      <c r="G218" s="180"/>
      <c r="H218" s="180"/>
      <c r="I218" s="183"/>
    </row>
    <row r="219" spans="2:11">
      <c r="F219" s="180"/>
      <c r="G219" s="180"/>
      <c r="H219" s="180"/>
      <c r="I219" s="183"/>
    </row>
    <row r="220" spans="2:11">
      <c r="F220" s="180"/>
      <c r="G220" s="180"/>
      <c r="H220" s="180"/>
      <c r="I220" s="183"/>
    </row>
    <row r="221" spans="2:11">
      <c r="F221" s="180"/>
      <c r="G221" s="180"/>
      <c r="H221" s="180"/>
      <c r="I221" s="183"/>
    </row>
    <row r="222" spans="2:11">
      <c r="F222" s="180"/>
      <c r="G222" s="180"/>
      <c r="H222" s="180"/>
      <c r="I222" s="183"/>
    </row>
    <row r="223" spans="2:11">
      <c r="F223" s="180"/>
      <c r="G223" s="180"/>
      <c r="H223" s="180"/>
      <c r="I223" s="183"/>
    </row>
    <row r="224" spans="2:11">
      <c r="F224" s="180"/>
      <c r="G224" s="180"/>
      <c r="H224" s="180"/>
      <c r="I224" s="183"/>
    </row>
    <row r="225" spans="6:9">
      <c r="F225" s="180"/>
      <c r="G225" s="180"/>
      <c r="H225" s="180"/>
      <c r="I225" s="183"/>
    </row>
    <row r="226" spans="6:9">
      <c r="F226" s="180"/>
      <c r="G226" s="180"/>
      <c r="H226" s="180"/>
      <c r="I226" s="183"/>
    </row>
    <row r="227" spans="6:9">
      <c r="F227" s="180"/>
      <c r="G227" s="180"/>
      <c r="H227" s="180"/>
      <c r="I227" s="183"/>
    </row>
    <row r="228" spans="6:9">
      <c r="F228" s="180"/>
      <c r="G228" s="180"/>
      <c r="H228" s="180"/>
      <c r="I228" s="183"/>
    </row>
    <row r="229" spans="6:9">
      <c r="F229" s="180"/>
      <c r="G229" s="180"/>
      <c r="H229" s="180"/>
      <c r="I229" s="183"/>
    </row>
    <row r="230" spans="6:9">
      <c r="F230" s="180"/>
      <c r="G230" s="180"/>
      <c r="H230" s="180"/>
      <c r="I230" s="183"/>
    </row>
    <row r="231" spans="6:9">
      <c r="F231" s="180"/>
      <c r="G231" s="180"/>
      <c r="H231" s="180"/>
      <c r="I231" s="183"/>
    </row>
    <row r="232" spans="6:9">
      <c r="F232" s="180"/>
      <c r="G232" s="180"/>
      <c r="H232" s="180"/>
      <c r="I232" s="183"/>
    </row>
    <row r="233" spans="6:9">
      <c r="F233" s="180"/>
      <c r="G233" s="180"/>
      <c r="H233" s="180"/>
      <c r="I233" s="183"/>
    </row>
    <row r="234" spans="6:9">
      <c r="F234" s="180"/>
      <c r="G234" s="180"/>
      <c r="H234" s="180"/>
      <c r="I234" s="183"/>
    </row>
    <row r="235" spans="6:9">
      <c r="F235" s="180"/>
      <c r="G235" s="180"/>
      <c r="H235" s="180"/>
      <c r="I235" s="183"/>
    </row>
    <row r="236" spans="6:9">
      <c r="F236" s="180"/>
      <c r="G236" s="180"/>
      <c r="H236" s="180"/>
      <c r="I236" s="183"/>
    </row>
    <row r="237" spans="6:9">
      <c r="F237" s="180"/>
      <c r="G237" s="180"/>
      <c r="H237" s="180"/>
      <c r="I237" s="183"/>
    </row>
    <row r="238" spans="6:9">
      <c r="F238" s="180"/>
      <c r="G238" s="180"/>
      <c r="H238" s="180"/>
      <c r="I238" s="183"/>
    </row>
    <row r="239" spans="6:9">
      <c r="F239" s="180"/>
      <c r="G239" s="180"/>
      <c r="H239" s="180"/>
      <c r="I239" s="183"/>
    </row>
    <row r="240" spans="6:9">
      <c r="F240" s="180"/>
      <c r="G240" s="180"/>
      <c r="H240" s="180"/>
      <c r="I240" s="183"/>
    </row>
    <row r="241" spans="6:9">
      <c r="F241" s="180"/>
      <c r="G241" s="180"/>
      <c r="H241" s="180"/>
      <c r="I241" s="183"/>
    </row>
    <row r="242" spans="6:9">
      <c r="F242" s="180"/>
      <c r="G242" s="180"/>
      <c r="H242" s="180"/>
      <c r="I242" s="183"/>
    </row>
    <row r="243" spans="6:9">
      <c r="F243" s="180"/>
      <c r="G243" s="180"/>
      <c r="H243" s="180"/>
      <c r="I243" s="183"/>
    </row>
    <row r="244" spans="6:9">
      <c r="F244" s="180"/>
      <c r="G244" s="180"/>
      <c r="H244" s="180"/>
      <c r="I244" s="183"/>
    </row>
    <row r="245" spans="6:9">
      <c r="F245" s="180"/>
      <c r="G245" s="180"/>
      <c r="H245" s="180"/>
      <c r="I245" s="183"/>
    </row>
    <row r="246" spans="6:9">
      <c r="F246" s="180"/>
      <c r="G246" s="180"/>
      <c r="H246" s="180"/>
      <c r="I246" s="183"/>
    </row>
    <row r="247" spans="6:9">
      <c r="F247" s="180"/>
      <c r="G247" s="180"/>
      <c r="H247" s="180"/>
      <c r="I247" s="183"/>
    </row>
    <row r="248" spans="6:9">
      <c r="F248" s="180"/>
      <c r="G248" s="180"/>
      <c r="H248" s="180"/>
      <c r="I248" s="183"/>
    </row>
    <row r="249" spans="6:9">
      <c r="F249" s="180"/>
      <c r="G249" s="180"/>
      <c r="H249" s="180"/>
      <c r="I249" s="183"/>
    </row>
    <row r="250" spans="6:9">
      <c r="F250" s="180"/>
      <c r="G250" s="180"/>
      <c r="H250" s="180"/>
      <c r="I250" s="183"/>
    </row>
    <row r="251" spans="6:9">
      <c r="F251" s="180"/>
      <c r="G251" s="180"/>
      <c r="H251" s="180"/>
      <c r="I251" s="183"/>
    </row>
    <row r="252" spans="6:9">
      <c r="F252" s="180"/>
      <c r="G252" s="180"/>
      <c r="H252" s="180"/>
      <c r="I252" s="183"/>
    </row>
    <row r="253" spans="6:9">
      <c r="F253" s="180"/>
      <c r="G253" s="180"/>
      <c r="H253" s="180"/>
      <c r="I253" s="183"/>
    </row>
    <row r="254" spans="6:9">
      <c r="F254" s="180"/>
      <c r="G254" s="180"/>
      <c r="H254" s="180"/>
      <c r="I254" s="183"/>
    </row>
    <row r="255" spans="6:9">
      <c r="F255" s="180"/>
      <c r="G255" s="180"/>
      <c r="H255" s="180"/>
      <c r="I255" s="183"/>
    </row>
    <row r="256" spans="6:9">
      <c r="F256" s="180"/>
      <c r="G256" s="180"/>
      <c r="H256" s="180"/>
      <c r="I256" s="183"/>
    </row>
    <row r="257" spans="6:9">
      <c r="F257" s="180"/>
      <c r="G257" s="180"/>
      <c r="H257" s="180"/>
      <c r="I257" s="183"/>
    </row>
    <row r="258" spans="6:9">
      <c r="F258" s="180"/>
      <c r="G258" s="180"/>
      <c r="H258" s="180"/>
      <c r="I258" s="183"/>
    </row>
    <row r="259" spans="6:9">
      <c r="F259" s="180"/>
      <c r="G259" s="180"/>
      <c r="H259" s="180"/>
      <c r="I259" s="183"/>
    </row>
    <row r="260" spans="6:9">
      <c r="F260" s="180"/>
      <c r="G260" s="180"/>
      <c r="H260" s="180"/>
      <c r="I260" s="183"/>
    </row>
    <row r="261" spans="6:9">
      <c r="F261" s="180"/>
      <c r="G261" s="180"/>
      <c r="H261" s="180"/>
      <c r="I261" s="183"/>
    </row>
    <row r="262" spans="6:9">
      <c r="F262" s="180"/>
      <c r="G262" s="180"/>
      <c r="H262" s="180"/>
      <c r="I262" s="183"/>
    </row>
    <row r="263" spans="6:9">
      <c r="F263" s="180"/>
      <c r="G263" s="180"/>
      <c r="H263" s="180"/>
      <c r="I263" s="183"/>
    </row>
    <row r="264" spans="6:9">
      <c r="F264" s="180"/>
      <c r="G264" s="180"/>
      <c r="H264" s="180"/>
      <c r="I264" s="183"/>
    </row>
    <row r="265" spans="6:9">
      <c r="F265" s="180"/>
      <c r="G265" s="180"/>
      <c r="H265" s="180"/>
      <c r="I265" s="183"/>
    </row>
    <row r="266" spans="6:9">
      <c r="F266" s="180"/>
      <c r="G266" s="180"/>
      <c r="H266" s="180"/>
      <c r="I266" s="183"/>
    </row>
    <row r="267" spans="6:9">
      <c r="F267" s="180"/>
      <c r="G267" s="180"/>
      <c r="H267" s="180"/>
      <c r="I267" s="183"/>
    </row>
    <row r="268" spans="6:9">
      <c r="F268" s="180"/>
      <c r="G268" s="180"/>
      <c r="H268" s="180"/>
      <c r="I268" s="183"/>
    </row>
    <row r="269" spans="6:9">
      <c r="F269" s="180"/>
      <c r="G269" s="180"/>
      <c r="H269" s="180"/>
      <c r="I269" s="183"/>
    </row>
    <row r="270" spans="6:9">
      <c r="F270" s="180"/>
      <c r="G270" s="180"/>
      <c r="H270" s="180"/>
      <c r="I270" s="183"/>
    </row>
    <row r="271" spans="6:9">
      <c r="F271" s="180"/>
      <c r="G271" s="180"/>
      <c r="H271" s="180"/>
      <c r="I271" s="183"/>
    </row>
    <row r="272" spans="6:9">
      <c r="F272" s="180"/>
      <c r="G272" s="180"/>
      <c r="H272" s="180"/>
      <c r="I272" s="183"/>
    </row>
    <row r="273" spans="6:9">
      <c r="F273" s="180"/>
      <c r="G273" s="180"/>
      <c r="H273" s="180"/>
      <c r="I273" s="183"/>
    </row>
    <row r="274" spans="6:9">
      <c r="F274" s="180"/>
      <c r="G274" s="180"/>
      <c r="H274" s="180"/>
      <c r="I274" s="183"/>
    </row>
    <row r="275" spans="6:9">
      <c r="F275" s="180"/>
      <c r="G275" s="180"/>
      <c r="H275" s="180"/>
      <c r="I275" s="183"/>
    </row>
    <row r="276" spans="6:9">
      <c r="F276" s="180"/>
      <c r="G276" s="180"/>
      <c r="H276" s="180"/>
      <c r="I276" s="183"/>
    </row>
    <row r="277" spans="6:9">
      <c r="F277" s="180"/>
      <c r="G277" s="180"/>
      <c r="H277" s="180"/>
      <c r="I277" s="183"/>
    </row>
    <row r="278" spans="6:9">
      <c r="F278" s="180"/>
      <c r="G278" s="180"/>
      <c r="H278" s="180"/>
      <c r="I278" s="183"/>
    </row>
    <row r="279" spans="6:9">
      <c r="F279" s="180"/>
      <c r="G279" s="180"/>
      <c r="H279" s="180"/>
      <c r="I279" s="183"/>
    </row>
    <row r="280" spans="6:9">
      <c r="F280" s="180"/>
      <c r="G280" s="180"/>
      <c r="H280" s="180"/>
      <c r="I280" s="183"/>
    </row>
    <row r="281" spans="6:9">
      <c r="F281" s="180"/>
      <c r="G281" s="180"/>
      <c r="H281" s="180"/>
      <c r="I281" s="183"/>
    </row>
    <row r="282" spans="6:9">
      <c r="F282" s="180"/>
      <c r="G282" s="180"/>
      <c r="H282" s="180"/>
      <c r="I282" s="183"/>
    </row>
    <row r="283" spans="6:9">
      <c r="F283" s="180"/>
      <c r="G283" s="180"/>
      <c r="H283" s="180"/>
      <c r="I283" s="183"/>
    </row>
    <row r="284" spans="6:9">
      <c r="F284" s="180"/>
      <c r="G284" s="180"/>
      <c r="H284" s="180"/>
      <c r="I284" s="183"/>
    </row>
    <row r="285" spans="6:9">
      <c r="F285" s="180"/>
      <c r="G285" s="180"/>
      <c r="H285" s="180"/>
      <c r="I285" s="183"/>
    </row>
    <row r="286" spans="6:9">
      <c r="F286" s="180"/>
      <c r="G286" s="180"/>
      <c r="H286" s="180"/>
      <c r="I286" s="183"/>
    </row>
    <row r="287" spans="6:9">
      <c r="F287" s="180"/>
      <c r="G287" s="180"/>
      <c r="H287" s="180"/>
      <c r="I287" s="183"/>
    </row>
    <row r="288" spans="6:9">
      <c r="F288" s="180"/>
      <c r="G288" s="180"/>
      <c r="H288" s="180"/>
      <c r="I288" s="183"/>
    </row>
    <row r="289" spans="6:9">
      <c r="F289" s="180"/>
      <c r="G289" s="180"/>
      <c r="H289" s="180"/>
      <c r="I289" s="183"/>
    </row>
    <row r="290" spans="6:9">
      <c r="F290" s="180"/>
      <c r="G290" s="180"/>
      <c r="H290" s="180"/>
      <c r="I290" s="183"/>
    </row>
    <row r="291" spans="6:9">
      <c r="F291" s="180"/>
      <c r="G291" s="180"/>
      <c r="H291" s="180"/>
      <c r="I291" s="183"/>
    </row>
    <row r="292" spans="6:9">
      <c r="F292" s="180"/>
      <c r="G292" s="180"/>
      <c r="H292" s="180"/>
      <c r="I292" s="183"/>
    </row>
    <row r="293" spans="6:9">
      <c r="F293" s="180"/>
      <c r="G293" s="180"/>
      <c r="H293" s="180"/>
      <c r="I293" s="183"/>
    </row>
    <row r="294" spans="6:9">
      <c r="F294" s="180"/>
      <c r="G294" s="180"/>
      <c r="H294" s="180"/>
      <c r="I294" s="183"/>
    </row>
    <row r="295" spans="6:9">
      <c r="F295" s="180"/>
      <c r="G295" s="180"/>
      <c r="H295" s="180"/>
      <c r="I295" s="183"/>
    </row>
    <row r="296" spans="6:9">
      <c r="F296" s="180"/>
      <c r="G296" s="180"/>
      <c r="H296" s="180"/>
      <c r="I296" s="183"/>
    </row>
    <row r="297" spans="6:9">
      <c r="F297" s="180"/>
      <c r="G297" s="180"/>
      <c r="H297" s="180"/>
      <c r="I297" s="183"/>
    </row>
    <row r="298" spans="6:9">
      <c r="F298" s="180"/>
      <c r="G298" s="180"/>
      <c r="H298" s="180"/>
      <c r="I298" s="183"/>
    </row>
    <row r="299" spans="6:9">
      <c r="F299" s="180"/>
      <c r="G299" s="180"/>
      <c r="H299" s="180"/>
      <c r="I299" s="183"/>
    </row>
    <row r="300" spans="6:9">
      <c r="F300" s="180"/>
      <c r="G300" s="180"/>
      <c r="H300" s="180"/>
      <c r="I300" s="183"/>
    </row>
    <row r="301" spans="6:9">
      <c r="F301" s="180"/>
      <c r="G301" s="180"/>
      <c r="H301" s="180"/>
      <c r="I301" s="183"/>
    </row>
    <row r="302" spans="6:9">
      <c r="F302" s="180"/>
      <c r="G302" s="180"/>
      <c r="H302" s="180"/>
      <c r="I302" s="183"/>
    </row>
    <row r="303" spans="6:9">
      <c r="F303" s="180"/>
      <c r="G303" s="180"/>
      <c r="H303" s="180"/>
      <c r="I303" s="183"/>
    </row>
    <row r="304" spans="6:9">
      <c r="F304" s="180"/>
      <c r="G304" s="180"/>
      <c r="H304" s="180"/>
      <c r="I304" s="183"/>
    </row>
    <row r="305" spans="6:9">
      <c r="F305" s="180"/>
      <c r="G305" s="180"/>
      <c r="H305" s="180"/>
      <c r="I305" s="183"/>
    </row>
    <row r="306" spans="6:9">
      <c r="F306" s="180"/>
      <c r="G306" s="180"/>
      <c r="H306" s="180"/>
      <c r="I306" s="183"/>
    </row>
    <row r="307" spans="6:9">
      <c r="F307" s="180"/>
      <c r="G307" s="180"/>
      <c r="H307" s="180"/>
      <c r="I307" s="183"/>
    </row>
    <row r="308" spans="6:9">
      <c r="F308" s="180"/>
      <c r="G308" s="180"/>
      <c r="H308" s="180"/>
      <c r="I308" s="183"/>
    </row>
    <row r="309" spans="6:9">
      <c r="F309" s="180"/>
      <c r="G309" s="180"/>
      <c r="H309" s="180"/>
      <c r="I309" s="183"/>
    </row>
    <row r="310" spans="6:9">
      <c r="F310" s="180"/>
      <c r="G310" s="180"/>
      <c r="H310" s="180"/>
      <c r="I310" s="183"/>
    </row>
    <row r="311" spans="6:9">
      <c r="F311" s="180"/>
      <c r="G311" s="180"/>
      <c r="H311" s="180"/>
      <c r="I311" s="183"/>
    </row>
    <row r="312" spans="6:9">
      <c r="F312" s="180"/>
      <c r="G312" s="180"/>
      <c r="H312" s="180"/>
      <c r="I312" s="183"/>
    </row>
    <row r="313" spans="6:9">
      <c r="F313" s="180"/>
      <c r="G313" s="180"/>
      <c r="H313" s="180"/>
      <c r="I313" s="183"/>
    </row>
    <row r="314" spans="6:9">
      <c r="F314" s="180"/>
      <c r="G314" s="180"/>
      <c r="H314" s="180"/>
      <c r="I314" s="183"/>
    </row>
    <row r="315" spans="6:9">
      <c r="F315" s="180"/>
      <c r="G315" s="180"/>
      <c r="H315" s="180"/>
      <c r="I315" s="183"/>
    </row>
    <row r="316" spans="6:9">
      <c r="F316" s="180"/>
      <c r="G316" s="180"/>
      <c r="H316" s="180"/>
      <c r="I316" s="183"/>
    </row>
    <row r="317" spans="6:9">
      <c r="F317" s="180"/>
      <c r="G317" s="180"/>
      <c r="H317" s="180"/>
      <c r="I317" s="183"/>
    </row>
    <row r="318" spans="6:9">
      <c r="F318" s="180"/>
      <c r="G318" s="180"/>
      <c r="H318" s="180"/>
      <c r="I318" s="183"/>
    </row>
    <row r="319" spans="6:9">
      <c r="F319" s="180"/>
      <c r="G319" s="180"/>
      <c r="H319" s="180"/>
      <c r="I319" s="183"/>
    </row>
    <row r="320" spans="6:9">
      <c r="F320" s="180"/>
      <c r="G320" s="180"/>
      <c r="H320" s="180"/>
      <c r="I320" s="183"/>
    </row>
    <row r="321" spans="6:9">
      <c r="F321" s="180"/>
      <c r="G321" s="180"/>
      <c r="H321" s="180"/>
      <c r="I321" s="183"/>
    </row>
    <row r="322" spans="6:9">
      <c r="F322" s="180"/>
      <c r="G322" s="180"/>
      <c r="H322" s="180"/>
      <c r="I322" s="183"/>
    </row>
    <row r="323" spans="6:9">
      <c r="F323" s="180"/>
      <c r="G323" s="180"/>
      <c r="H323" s="180"/>
      <c r="I323" s="183"/>
    </row>
    <row r="324" spans="6:9">
      <c r="F324" s="180"/>
      <c r="G324" s="180"/>
      <c r="H324" s="180"/>
      <c r="I324" s="183"/>
    </row>
    <row r="325" spans="6:9">
      <c r="F325" s="180"/>
      <c r="G325" s="180"/>
      <c r="H325" s="180"/>
      <c r="I325" s="183"/>
    </row>
    <row r="326" spans="6:9">
      <c r="F326" s="180"/>
      <c r="G326" s="180"/>
      <c r="H326" s="180"/>
      <c r="I326" s="183"/>
    </row>
    <row r="327" spans="6:9">
      <c r="F327" s="180"/>
      <c r="G327" s="180"/>
      <c r="H327" s="180"/>
      <c r="I327" s="183"/>
    </row>
    <row r="328" spans="6:9">
      <c r="F328" s="180"/>
      <c r="G328" s="180"/>
      <c r="H328" s="180"/>
      <c r="I328" s="183"/>
    </row>
    <row r="329" spans="6:9">
      <c r="F329" s="180"/>
      <c r="G329" s="180"/>
      <c r="H329" s="180"/>
      <c r="I329" s="183"/>
    </row>
    <row r="330" spans="6:9">
      <c r="F330" s="180"/>
      <c r="G330" s="180"/>
      <c r="H330" s="180"/>
      <c r="I330" s="183"/>
    </row>
    <row r="331" spans="6:9">
      <c r="F331" s="180"/>
      <c r="G331" s="180"/>
      <c r="H331" s="180"/>
      <c r="I331" s="183"/>
    </row>
    <row r="332" spans="6:9">
      <c r="F332" s="180"/>
      <c r="G332" s="180"/>
      <c r="H332" s="180"/>
      <c r="I332" s="183"/>
    </row>
    <row r="333" spans="6:9">
      <c r="F333" s="180"/>
      <c r="G333" s="180"/>
      <c r="H333" s="180"/>
      <c r="I333" s="183"/>
    </row>
    <row r="334" spans="6:9">
      <c r="F334" s="180"/>
      <c r="G334" s="180"/>
      <c r="H334" s="180"/>
      <c r="I334" s="183"/>
    </row>
    <row r="335" spans="6:9">
      <c r="F335" s="180"/>
      <c r="G335" s="180"/>
      <c r="H335" s="180"/>
      <c r="I335" s="183"/>
    </row>
    <row r="336" spans="6:9">
      <c r="F336" s="180"/>
      <c r="G336" s="180"/>
      <c r="H336" s="180"/>
      <c r="I336" s="183"/>
    </row>
    <row r="337" spans="6:9">
      <c r="F337" s="180"/>
      <c r="G337" s="180"/>
      <c r="H337" s="180"/>
      <c r="I337" s="183"/>
    </row>
    <row r="338" spans="6:9">
      <c r="F338" s="180"/>
      <c r="G338" s="180"/>
      <c r="H338" s="180"/>
      <c r="I338" s="183"/>
    </row>
    <row r="339" spans="6:9">
      <c r="F339" s="180"/>
      <c r="G339" s="180"/>
      <c r="H339" s="180"/>
      <c r="I339" s="183"/>
    </row>
    <row r="340" spans="6:9">
      <c r="F340" s="180"/>
      <c r="G340" s="180"/>
      <c r="H340" s="180"/>
      <c r="I340" s="183"/>
    </row>
    <row r="341" spans="6:9">
      <c r="F341" s="180"/>
      <c r="G341" s="180"/>
      <c r="H341" s="180"/>
      <c r="I341" s="183"/>
    </row>
    <row r="342" spans="6:9">
      <c r="F342" s="180"/>
      <c r="G342" s="180"/>
      <c r="H342" s="180"/>
      <c r="I342" s="183"/>
    </row>
    <row r="343" spans="6:9">
      <c r="F343" s="180"/>
      <c r="G343" s="180"/>
      <c r="H343" s="180"/>
      <c r="I343" s="183"/>
    </row>
    <row r="344" spans="6:9">
      <c r="F344" s="180"/>
      <c r="G344" s="180"/>
      <c r="H344" s="180"/>
      <c r="I344" s="183"/>
    </row>
    <row r="345" spans="6:9">
      <c r="F345" s="180"/>
      <c r="G345" s="180"/>
      <c r="H345" s="180"/>
      <c r="I345" s="183"/>
    </row>
    <row r="346" spans="6:9">
      <c r="F346" s="180"/>
      <c r="G346" s="180"/>
      <c r="H346" s="180"/>
      <c r="I346" s="183"/>
    </row>
    <row r="347" spans="6:9">
      <c r="F347" s="180"/>
      <c r="G347" s="180"/>
      <c r="H347" s="180"/>
      <c r="I347" s="183"/>
    </row>
    <row r="348" spans="6:9">
      <c r="F348" s="180"/>
      <c r="G348" s="180"/>
      <c r="H348" s="180"/>
      <c r="I348" s="183"/>
    </row>
    <row r="349" spans="6:9">
      <c r="F349" s="180"/>
      <c r="G349" s="180"/>
      <c r="H349" s="180"/>
      <c r="I349" s="183"/>
    </row>
    <row r="350" spans="6:9">
      <c r="F350" s="180"/>
      <c r="G350" s="180"/>
      <c r="H350" s="180"/>
      <c r="I350" s="183"/>
    </row>
    <row r="351" spans="6:9">
      <c r="F351" s="180"/>
      <c r="G351" s="180"/>
      <c r="H351" s="180"/>
      <c r="I351" s="183"/>
    </row>
    <row r="352" spans="6:9">
      <c r="F352" s="180"/>
      <c r="G352" s="180"/>
      <c r="H352" s="180"/>
      <c r="I352" s="183"/>
    </row>
    <row r="353" spans="6:9">
      <c r="F353" s="180"/>
      <c r="G353" s="180"/>
      <c r="H353" s="180"/>
      <c r="I353" s="183"/>
    </row>
    <row r="354" spans="6:9">
      <c r="F354" s="180"/>
      <c r="G354" s="180"/>
      <c r="H354" s="180"/>
      <c r="I354" s="183"/>
    </row>
    <row r="355" spans="6:9">
      <c r="F355" s="180"/>
      <c r="G355" s="180"/>
      <c r="H355" s="180"/>
      <c r="I355" s="183"/>
    </row>
    <row r="356" spans="6:9">
      <c r="F356" s="180"/>
      <c r="G356" s="180"/>
      <c r="H356" s="180"/>
      <c r="I356" s="183"/>
    </row>
    <row r="357" spans="6:9">
      <c r="F357" s="180"/>
      <c r="G357" s="180"/>
      <c r="H357" s="180"/>
      <c r="I357" s="183"/>
    </row>
    <row r="358" spans="6:9">
      <c r="F358" s="180"/>
      <c r="G358" s="180"/>
      <c r="H358" s="180"/>
      <c r="I358" s="183"/>
    </row>
    <row r="359" spans="6:9">
      <c r="F359" s="180"/>
      <c r="G359" s="180"/>
      <c r="H359" s="180"/>
      <c r="I359" s="183"/>
    </row>
    <row r="360" spans="6:9">
      <c r="F360" s="180"/>
      <c r="G360" s="180"/>
      <c r="H360" s="180"/>
      <c r="I360" s="183"/>
    </row>
    <row r="361" spans="6:9">
      <c r="F361" s="180"/>
      <c r="G361" s="180"/>
      <c r="H361" s="180"/>
      <c r="I361" s="183"/>
    </row>
    <row r="362" spans="6:9">
      <c r="F362" s="180"/>
      <c r="G362" s="180"/>
      <c r="H362" s="180"/>
      <c r="I362" s="183"/>
    </row>
    <row r="363" spans="6:9">
      <c r="F363" s="180"/>
      <c r="G363" s="180"/>
      <c r="H363" s="180"/>
      <c r="I363" s="183"/>
    </row>
    <row r="364" spans="6:9">
      <c r="F364" s="180"/>
      <c r="G364" s="180"/>
      <c r="H364" s="180"/>
      <c r="I364" s="183"/>
    </row>
    <row r="365" spans="6:9">
      <c r="F365" s="180"/>
      <c r="G365" s="180"/>
      <c r="H365" s="180"/>
      <c r="I365" s="183"/>
    </row>
    <row r="366" spans="6:9">
      <c r="F366" s="180"/>
      <c r="G366" s="180"/>
      <c r="H366" s="180"/>
      <c r="I366" s="183"/>
    </row>
    <row r="367" spans="6:9">
      <c r="F367" s="180"/>
      <c r="G367" s="180"/>
      <c r="H367" s="180"/>
      <c r="I367" s="183"/>
    </row>
    <row r="368" spans="6:9">
      <c r="F368" s="180"/>
      <c r="G368" s="180"/>
      <c r="H368" s="180"/>
      <c r="I368" s="183"/>
    </row>
    <row r="369" spans="6:9">
      <c r="F369" s="180"/>
      <c r="G369" s="180"/>
      <c r="H369" s="180"/>
      <c r="I369" s="183"/>
    </row>
    <row r="370" spans="6:9">
      <c r="F370" s="180"/>
      <c r="G370" s="180"/>
      <c r="H370" s="180"/>
      <c r="I370" s="183"/>
    </row>
    <row r="371" spans="6:9">
      <c r="F371" s="180"/>
      <c r="G371" s="180"/>
      <c r="H371" s="180"/>
      <c r="I371" s="183"/>
    </row>
    <row r="372" spans="6:9">
      <c r="F372" s="180"/>
      <c r="G372" s="180"/>
      <c r="H372" s="180"/>
      <c r="I372" s="183"/>
    </row>
    <row r="373" spans="6:9">
      <c r="F373" s="180"/>
      <c r="G373" s="180"/>
      <c r="H373" s="180"/>
      <c r="I373" s="183"/>
    </row>
    <row r="374" spans="6:9">
      <c r="F374" s="180"/>
      <c r="G374" s="180"/>
      <c r="H374" s="180"/>
      <c r="I374" s="183"/>
    </row>
    <row r="375" spans="6:9">
      <c r="F375" s="180"/>
      <c r="G375" s="180"/>
      <c r="H375" s="180"/>
      <c r="I375" s="183"/>
    </row>
    <row r="376" spans="6:9">
      <c r="F376" s="180"/>
      <c r="G376" s="180"/>
      <c r="H376" s="180"/>
      <c r="I376" s="183"/>
    </row>
    <row r="377" spans="6:9">
      <c r="F377" s="180"/>
      <c r="G377" s="180"/>
      <c r="H377" s="180"/>
      <c r="I377" s="183"/>
    </row>
    <row r="378" spans="6:9">
      <c r="F378" s="180"/>
      <c r="G378" s="180"/>
      <c r="H378" s="180"/>
      <c r="I378" s="183"/>
    </row>
    <row r="379" spans="6:9">
      <c r="F379" s="180"/>
      <c r="G379" s="180"/>
      <c r="H379" s="180"/>
      <c r="I379" s="183"/>
    </row>
    <row r="380" spans="6:9">
      <c r="F380" s="180"/>
      <c r="G380" s="180"/>
      <c r="H380" s="180"/>
      <c r="I380" s="183"/>
    </row>
    <row r="381" spans="6:9">
      <c r="F381" s="180"/>
      <c r="G381" s="180"/>
      <c r="H381" s="180"/>
      <c r="I381" s="183"/>
    </row>
    <row r="382" spans="6:9">
      <c r="F382" s="180"/>
      <c r="G382" s="180"/>
      <c r="H382" s="180"/>
      <c r="I382" s="183"/>
    </row>
    <row r="383" spans="6:9">
      <c r="F383" s="180"/>
      <c r="G383" s="180"/>
      <c r="H383" s="180"/>
      <c r="I383" s="183"/>
    </row>
    <row r="384" spans="6:9">
      <c r="F384" s="180"/>
      <c r="G384" s="180"/>
      <c r="H384" s="180"/>
      <c r="I384" s="183"/>
    </row>
    <row r="385" spans="6:9">
      <c r="F385" s="180"/>
      <c r="G385" s="180"/>
      <c r="H385" s="180"/>
      <c r="I385" s="183"/>
    </row>
    <row r="386" spans="6:9">
      <c r="F386" s="180"/>
      <c r="G386" s="180"/>
      <c r="H386" s="180"/>
      <c r="I386" s="183"/>
    </row>
    <row r="387" spans="6:9">
      <c r="F387" s="180"/>
      <c r="G387" s="180"/>
      <c r="H387" s="180"/>
      <c r="I387" s="183"/>
    </row>
    <row r="388" spans="6:9">
      <c r="F388" s="180"/>
      <c r="G388" s="180"/>
      <c r="H388" s="180"/>
      <c r="I388" s="183"/>
    </row>
    <row r="389" spans="6:9">
      <c r="F389" s="180"/>
      <c r="G389" s="180"/>
      <c r="H389" s="180"/>
      <c r="I389" s="183"/>
    </row>
    <row r="390" spans="6:9">
      <c r="F390" s="180"/>
      <c r="G390" s="180"/>
      <c r="H390" s="180"/>
      <c r="I390" s="183"/>
    </row>
    <row r="391" spans="6:9">
      <c r="F391" s="180"/>
      <c r="G391" s="180"/>
      <c r="H391" s="180"/>
      <c r="I391" s="183"/>
    </row>
    <row r="392" spans="6:9">
      <c r="F392" s="180"/>
      <c r="G392" s="180"/>
      <c r="H392" s="180"/>
      <c r="I392" s="183"/>
    </row>
    <row r="393" spans="6:9">
      <c r="F393" s="180"/>
      <c r="G393" s="180"/>
      <c r="H393" s="180"/>
      <c r="I393" s="183"/>
    </row>
    <row r="394" spans="6:9">
      <c r="F394" s="180"/>
      <c r="G394" s="180"/>
      <c r="H394" s="180"/>
      <c r="I394" s="183"/>
    </row>
    <row r="395" spans="6:9">
      <c r="F395" s="180"/>
      <c r="G395" s="180"/>
      <c r="H395" s="180"/>
      <c r="I395" s="183"/>
    </row>
    <row r="396" spans="6:9">
      <c r="F396" s="180"/>
      <c r="G396" s="180"/>
      <c r="H396" s="180"/>
      <c r="I396" s="183"/>
    </row>
    <row r="397" spans="6:9">
      <c r="F397" s="180"/>
      <c r="G397" s="180"/>
      <c r="H397" s="180"/>
      <c r="I397" s="183"/>
    </row>
    <row r="398" spans="6:9">
      <c r="F398" s="180"/>
      <c r="G398" s="180"/>
      <c r="H398" s="180"/>
      <c r="I398" s="183"/>
    </row>
    <row r="399" spans="6:9">
      <c r="F399" s="180"/>
      <c r="G399" s="180"/>
      <c r="H399" s="180"/>
      <c r="I399" s="183"/>
    </row>
    <row r="400" spans="6:9">
      <c r="F400" s="180"/>
      <c r="G400" s="180"/>
      <c r="H400" s="180"/>
      <c r="I400" s="183"/>
    </row>
    <row r="401" spans="6:9">
      <c r="F401" s="180"/>
      <c r="G401" s="180"/>
      <c r="H401" s="180"/>
      <c r="I401" s="183"/>
    </row>
    <row r="402" spans="6:9">
      <c r="F402" s="180"/>
      <c r="G402" s="180"/>
      <c r="H402" s="180"/>
      <c r="I402" s="183"/>
    </row>
    <row r="403" spans="6:9">
      <c r="F403" s="180"/>
      <c r="G403" s="180"/>
      <c r="H403" s="180"/>
      <c r="I403" s="183"/>
    </row>
    <row r="404" spans="6:9">
      <c r="F404" s="180"/>
      <c r="G404" s="180"/>
      <c r="H404" s="180"/>
      <c r="I404" s="183"/>
    </row>
    <row r="405" spans="6:9">
      <c r="F405" s="180"/>
      <c r="G405" s="180"/>
      <c r="H405" s="180"/>
      <c r="I405" s="183"/>
    </row>
    <row r="406" spans="6:9">
      <c r="F406" s="180"/>
      <c r="G406" s="180"/>
      <c r="H406" s="180"/>
      <c r="I406" s="183"/>
    </row>
    <row r="407" spans="6:9">
      <c r="F407" s="180"/>
      <c r="G407" s="180"/>
      <c r="H407" s="180"/>
      <c r="I407" s="183"/>
    </row>
    <row r="408" spans="6:9">
      <c r="F408" s="180"/>
      <c r="G408" s="180"/>
      <c r="H408" s="180"/>
      <c r="I408" s="183"/>
    </row>
    <row r="409" spans="6:9">
      <c r="F409" s="180"/>
      <c r="G409" s="180"/>
      <c r="H409" s="180"/>
      <c r="I409" s="183"/>
    </row>
    <row r="410" spans="6:9">
      <c r="F410" s="180"/>
      <c r="G410" s="180"/>
      <c r="H410" s="180"/>
      <c r="I410" s="183"/>
    </row>
    <row r="411" spans="6:9">
      <c r="F411" s="180"/>
      <c r="G411" s="180"/>
      <c r="H411" s="180"/>
      <c r="I411" s="183"/>
    </row>
    <row r="412" spans="6:9">
      <c r="F412" s="180"/>
      <c r="G412" s="180"/>
      <c r="H412" s="180"/>
      <c r="I412" s="183"/>
    </row>
    <row r="413" spans="6:9">
      <c r="F413" s="180"/>
      <c r="G413" s="180"/>
      <c r="H413" s="180"/>
      <c r="I413" s="183"/>
    </row>
    <row r="414" spans="6:9">
      <c r="F414" s="180"/>
      <c r="G414" s="180"/>
      <c r="H414" s="180"/>
      <c r="I414" s="183"/>
    </row>
    <row r="415" spans="6:9">
      <c r="F415" s="180"/>
      <c r="G415" s="180"/>
      <c r="H415" s="180"/>
      <c r="I415" s="183"/>
    </row>
    <row r="416" spans="6:9">
      <c r="F416" s="180"/>
      <c r="G416" s="180"/>
      <c r="H416" s="180"/>
      <c r="I416" s="183"/>
    </row>
    <row r="417" spans="6:9">
      <c r="F417" s="180"/>
      <c r="G417" s="180"/>
      <c r="H417" s="180"/>
      <c r="I417" s="183"/>
    </row>
    <row r="418" spans="6:9">
      <c r="F418" s="180"/>
      <c r="G418" s="180"/>
      <c r="H418" s="180"/>
      <c r="I418" s="183"/>
    </row>
    <row r="419" spans="6:9">
      <c r="F419" s="180"/>
      <c r="G419" s="180"/>
      <c r="H419" s="180"/>
      <c r="I419" s="183"/>
    </row>
    <row r="420" spans="6:9">
      <c r="F420" s="180"/>
      <c r="G420" s="180"/>
      <c r="H420" s="180"/>
      <c r="I420" s="183"/>
    </row>
    <row r="421" spans="6:9">
      <c r="F421" s="180"/>
      <c r="G421" s="180"/>
      <c r="H421" s="180"/>
      <c r="I421" s="183"/>
    </row>
    <row r="422" spans="6:9">
      <c r="F422" s="180"/>
      <c r="G422" s="180"/>
      <c r="H422" s="180"/>
      <c r="I422" s="183"/>
    </row>
    <row r="423" spans="6:9">
      <c r="F423" s="180"/>
      <c r="G423" s="180"/>
      <c r="H423" s="180"/>
      <c r="I423" s="183"/>
    </row>
    <row r="424" spans="6:9">
      <c r="F424" s="180"/>
      <c r="G424" s="180"/>
      <c r="H424" s="180"/>
      <c r="I424" s="183"/>
    </row>
    <row r="425" spans="6:9">
      <c r="F425" s="180"/>
      <c r="G425" s="180"/>
      <c r="H425" s="180"/>
      <c r="I425" s="183"/>
    </row>
    <row r="426" spans="6:9">
      <c r="F426" s="180"/>
      <c r="G426" s="180"/>
      <c r="H426" s="180"/>
      <c r="I426" s="183"/>
    </row>
    <row r="427" spans="6:9">
      <c r="F427" s="180"/>
      <c r="G427" s="180"/>
      <c r="H427" s="180"/>
      <c r="I427" s="183"/>
    </row>
    <row r="428" spans="6:9">
      <c r="F428" s="180"/>
      <c r="G428" s="180"/>
      <c r="H428" s="180"/>
      <c r="I428" s="183"/>
    </row>
    <row r="429" spans="6:9">
      <c r="F429" s="180"/>
      <c r="G429" s="180"/>
      <c r="H429" s="180"/>
      <c r="I429" s="183"/>
    </row>
    <row r="430" spans="6:9">
      <c r="F430" s="180"/>
      <c r="G430" s="180"/>
      <c r="H430" s="180"/>
      <c r="I430" s="183"/>
    </row>
    <row r="431" spans="6:9">
      <c r="F431" s="180"/>
      <c r="G431" s="180"/>
      <c r="H431" s="180"/>
      <c r="I431" s="183"/>
    </row>
    <row r="432" spans="6:9">
      <c r="F432" s="180"/>
      <c r="G432" s="180"/>
      <c r="H432" s="180"/>
      <c r="I432" s="183"/>
    </row>
    <row r="433" spans="6:9">
      <c r="F433" s="180"/>
      <c r="G433" s="180"/>
      <c r="H433" s="180"/>
      <c r="I433" s="183"/>
    </row>
    <row r="434" spans="6:9">
      <c r="F434" s="180"/>
      <c r="G434" s="180"/>
      <c r="H434" s="180"/>
      <c r="I434" s="183"/>
    </row>
    <row r="435" spans="6:9">
      <c r="F435" s="180"/>
      <c r="G435" s="180"/>
      <c r="H435" s="180"/>
      <c r="I435" s="183"/>
    </row>
    <row r="436" spans="6:9">
      <c r="F436" s="180"/>
      <c r="G436" s="180"/>
      <c r="H436" s="180"/>
      <c r="I436" s="183"/>
    </row>
    <row r="437" spans="6:9">
      <c r="F437" s="180"/>
      <c r="G437" s="180"/>
      <c r="H437" s="180"/>
      <c r="I437" s="183"/>
    </row>
    <row r="438" spans="6:9">
      <c r="F438" s="180"/>
      <c r="G438" s="180"/>
      <c r="H438" s="180"/>
      <c r="I438" s="183"/>
    </row>
    <row r="439" spans="6:9">
      <c r="F439" s="180"/>
      <c r="G439" s="180"/>
      <c r="H439" s="180"/>
      <c r="I439" s="183"/>
    </row>
    <row r="440" spans="6:9">
      <c r="F440" s="180"/>
      <c r="G440" s="180"/>
      <c r="H440" s="180"/>
      <c r="I440" s="183"/>
    </row>
    <row r="441" spans="6:9">
      <c r="F441" s="180"/>
      <c r="G441" s="180"/>
      <c r="H441" s="180"/>
      <c r="I441" s="183"/>
    </row>
    <row r="442" spans="6:9">
      <c r="F442" s="180"/>
      <c r="G442" s="180"/>
      <c r="H442" s="180"/>
      <c r="I442" s="183"/>
    </row>
    <row r="443" spans="6:9">
      <c r="F443" s="180"/>
      <c r="G443" s="180"/>
      <c r="H443" s="180"/>
      <c r="I443" s="183"/>
    </row>
    <row r="444" spans="6:9">
      <c r="F444" s="180"/>
      <c r="G444" s="180"/>
      <c r="H444" s="180"/>
      <c r="I444" s="183"/>
    </row>
    <row r="445" spans="6:9">
      <c r="F445" s="180"/>
      <c r="G445" s="180"/>
      <c r="H445" s="180"/>
      <c r="I445" s="183"/>
    </row>
    <row r="446" spans="6:9">
      <c r="F446" s="180"/>
      <c r="G446" s="180"/>
      <c r="H446" s="180"/>
      <c r="I446" s="183"/>
    </row>
    <row r="447" spans="6:9">
      <c r="F447" s="180"/>
      <c r="G447" s="180"/>
      <c r="H447" s="180"/>
      <c r="I447" s="183"/>
    </row>
    <row r="448" spans="6:9">
      <c r="F448" s="180"/>
      <c r="G448" s="180"/>
      <c r="H448" s="180"/>
      <c r="I448" s="183"/>
    </row>
    <row r="449" spans="6:9">
      <c r="F449" s="180"/>
      <c r="G449" s="180"/>
      <c r="H449" s="180"/>
      <c r="I449" s="183"/>
    </row>
    <row r="450" spans="6:9">
      <c r="F450" s="180"/>
      <c r="G450" s="180"/>
      <c r="H450" s="180"/>
      <c r="I450" s="183"/>
    </row>
    <row r="451" spans="6:9">
      <c r="F451" s="180"/>
      <c r="G451" s="180"/>
      <c r="H451" s="180"/>
      <c r="I451" s="183"/>
    </row>
    <row r="452" spans="6:9">
      <c r="F452" s="180"/>
      <c r="G452" s="180"/>
      <c r="H452" s="180"/>
      <c r="I452" s="183"/>
    </row>
    <row r="453" spans="6:9">
      <c r="F453" s="180"/>
      <c r="G453" s="180"/>
      <c r="H453" s="180"/>
      <c r="I453" s="183"/>
    </row>
    <row r="454" spans="6:9">
      <c r="F454" s="180"/>
      <c r="G454" s="180"/>
      <c r="H454" s="180"/>
      <c r="I454" s="183"/>
    </row>
    <row r="455" spans="6:9">
      <c r="F455" s="180"/>
      <c r="G455" s="180"/>
      <c r="H455" s="180"/>
      <c r="I455" s="183"/>
    </row>
    <row r="456" spans="6:9">
      <c r="F456" s="180"/>
      <c r="G456" s="180"/>
      <c r="H456" s="180"/>
      <c r="I456" s="183"/>
    </row>
    <row r="457" spans="6:9">
      <c r="F457" s="180"/>
      <c r="G457" s="180"/>
      <c r="H457" s="180"/>
      <c r="I457" s="183"/>
    </row>
    <row r="458" spans="6:9">
      <c r="F458" s="180"/>
      <c r="G458" s="180"/>
      <c r="H458" s="180"/>
      <c r="I458" s="183"/>
    </row>
    <row r="459" spans="6:9">
      <c r="F459" s="180"/>
      <c r="G459" s="180"/>
      <c r="H459" s="180"/>
      <c r="I459" s="183"/>
    </row>
    <row r="460" spans="6:9">
      <c r="F460" s="180"/>
      <c r="G460" s="180"/>
      <c r="H460" s="180"/>
      <c r="I460" s="183"/>
    </row>
    <row r="461" spans="6:9">
      <c r="F461" s="180"/>
      <c r="G461" s="180"/>
      <c r="H461" s="180"/>
      <c r="I461" s="183"/>
    </row>
    <row r="462" spans="6:9">
      <c r="F462" s="180"/>
      <c r="G462" s="180"/>
      <c r="H462" s="180"/>
      <c r="I462" s="183"/>
    </row>
    <row r="463" spans="6:9">
      <c r="F463" s="180"/>
      <c r="G463" s="180"/>
      <c r="H463" s="180"/>
      <c r="I463" s="183"/>
    </row>
    <row r="464" spans="6:9">
      <c r="F464" s="180"/>
      <c r="G464" s="180"/>
      <c r="H464" s="180"/>
      <c r="I464" s="183"/>
    </row>
    <row r="465" spans="6:9">
      <c r="F465" s="180"/>
      <c r="G465" s="180"/>
      <c r="H465" s="180"/>
      <c r="I465" s="183"/>
    </row>
    <row r="466" spans="6:9">
      <c r="F466" s="180"/>
      <c r="G466" s="180"/>
      <c r="H466" s="180"/>
      <c r="I466" s="183"/>
    </row>
    <row r="467" spans="6:9">
      <c r="F467" s="180"/>
      <c r="G467" s="180"/>
      <c r="H467" s="180"/>
      <c r="I467" s="183"/>
    </row>
    <row r="468" spans="6:9">
      <c r="F468" s="180"/>
      <c r="G468" s="180"/>
      <c r="H468" s="180"/>
      <c r="I468" s="183"/>
    </row>
    <row r="469" spans="6:9">
      <c r="F469" s="180"/>
      <c r="G469" s="180"/>
      <c r="H469" s="180"/>
      <c r="I469" s="183"/>
    </row>
    <row r="470" spans="6:9">
      <c r="F470" s="180"/>
      <c r="G470" s="180"/>
      <c r="H470" s="180"/>
      <c r="I470" s="183"/>
    </row>
    <row r="471" spans="6:9">
      <c r="F471" s="180"/>
      <c r="G471" s="180"/>
      <c r="H471" s="180"/>
      <c r="I471" s="183"/>
    </row>
    <row r="472" spans="6:9">
      <c r="F472" s="180"/>
      <c r="G472" s="180"/>
      <c r="H472" s="180"/>
      <c r="I472" s="183"/>
    </row>
    <row r="473" spans="6:9">
      <c r="F473" s="180"/>
      <c r="G473" s="180"/>
      <c r="H473" s="180"/>
      <c r="I473" s="183"/>
    </row>
    <row r="474" spans="6:9">
      <c r="F474" s="180"/>
      <c r="G474" s="180"/>
      <c r="H474" s="180"/>
      <c r="I474" s="183"/>
    </row>
    <row r="475" spans="6:9">
      <c r="F475" s="180"/>
      <c r="G475" s="180"/>
      <c r="H475" s="180"/>
      <c r="I475" s="183"/>
    </row>
    <row r="476" spans="6:9">
      <c r="F476" s="180"/>
      <c r="G476" s="180"/>
      <c r="H476" s="180"/>
      <c r="I476" s="183"/>
    </row>
    <row r="477" spans="6:9">
      <c r="F477" s="180"/>
      <c r="G477" s="180"/>
      <c r="H477" s="180"/>
      <c r="I477" s="183"/>
    </row>
    <row r="478" spans="6:9">
      <c r="F478" s="180"/>
      <c r="G478" s="180"/>
      <c r="H478" s="180"/>
      <c r="I478" s="183"/>
    </row>
    <row r="479" spans="6:9">
      <c r="F479" s="180"/>
      <c r="G479" s="180"/>
      <c r="H479" s="180"/>
      <c r="I479" s="183"/>
    </row>
    <row r="480" spans="6:9">
      <c r="F480" s="180"/>
      <c r="G480" s="180"/>
      <c r="H480" s="180"/>
      <c r="I480" s="183"/>
    </row>
    <row r="481" spans="6:9">
      <c r="F481" s="180"/>
      <c r="G481" s="180"/>
      <c r="H481" s="180"/>
      <c r="I481" s="183"/>
    </row>
    <row r="482" spans="6:9">
      <c r="F482" s="180"/>
      <c r="G482" s="180"/>
      <c r="H482" s="180"/>
      <c r="I482" s="183"/>
    </row>
    <row r="483" spans="6:9">
      <c r="F483" s="180"/>
      <c r="G483" s="180"/>
      <c r="H483" s="180"/>
      <c r="I483" s="183"/>
    </row>
    <row r="484" spans="6:9">
      <c r="F484" s="180"/>
      <c r="G484" s="180"/>
      <c r="H484" s="180"/>
      <c r="I484" s="183"/>
    </row>
    <row r="485" spans="6:9">
      <c r="F485" s="180"/>
      <c r="G485" s="180"/>
      <c r="H485" s="180"/>
      <c r="I485" s="183"/>
    </row>
    <row r="486" spans="6:9">
      <c r="F486" s="180"/>
      <c r="G486" s="180"/>
      <c r="H486" s="180"/>
      <c r="I486" s="183"/>
    </row>
    <row r="487" spans="6:9">
      <c r="F487" s="180"/>
      <c r="G487" s="180"/>
      <c r="H487" s="180"/>
      <c r="I487" s="183"/>
    </row>
    <row r="488" spans="6:9">
      <c r="F488" s="180"/>
      <c r="G488" s="180"/>
      <c r="H488" s="180"/>
      <c r="I488" s="183"/>
    </row>
    <row r="489" spans="6:9">
      <c r="F489" s="180"/>
      <c r="G489" s="180"/>
      <c r="H489" s="180"/>
      <c r="I489" s="183"/>
    </row>
    <row r="490" spans="6:9">
      <c r="F490" s="180"/>
      <c r="G490" s="180"/>
      <c r="H490" s="180"/>
      <c r="I490" s="183"/>
    </row>
    <row r="491" spans="6:9">
      <c r="F491" s="180"/>
      <c r="G491" s="180"/>
      <c r="H491" s="180"/>
      <c r="I491" s="183"/>
    </row>
    <row r="492" spans="6:9">
      <c r="F492" s="180"/>
      <c r="G492" s="180"/>
      <c r="H492" s="180"/>
      <c r="I492" s="183"/>
    </row>
    <row r="493" spans="6:9">
      <c r="F493" s="180"/>
      <c r="G493" s="180"/>
      <c r="H493" s="180"/>
      <c r="I493" s="183"/>
    </row>
    <row r="494" spans="6:9">
      <c r="F494" s="180"/>
      <c r="G494" s="180"/>
      <c r="H494" s="180"/>
      <c r="I494" s="183"/>
    </row>
    <row r="495" spans="6:9">
      <c r="F495" s="180"/>
      <c r="G495" s="180"/>
      <c r="H495" s="180"/>
      <c r="I495" s="183"/>
    </row>
    <row r="496" spans="6:9">
      <c r="F496" s="180"/>
      <c r="G496" s="180"/>
      <c r="H496" s="180"/>
      <c r="I496" s="183"/>
    </row>
    <row r="497" spans="6:9">
      <c r="F497" s="180"/>
      <c r="G497" s="180"/>
      <c r="H497" s="180"/>
      <c r="I497" s="183"/>
    </row>
    <row r="498" spans="6:9">
      <c r="F498" s="180"/>
      <c r="G498" s="180"/>
      <c r="H498" s="180"/>
      <c r="I498" s="183"/>
    </row>
    <row r="499" spans="6:9">
      <c r="F499" s="180"/>
      <c r="G499" s="180"/>
      <c r="H499" s="180"/>
      <c r="I499" s="183"/>
    </row>
    <row r="500" spans="6:9">
      <c r="F500" s="180"/>
      <c r="G500" s="180"/>
      <c r="H500" s="180"/>
      <c r="I500" s="183"/>
    </row>
    <row r="501" spans="6:9">
      <c r="F501" s="180"/>
      <c r="G501" s="180"/>
      <c r="H501" s="180"/>
      <c r="I501" s="183"/>
    </row>
    <row r="502" spans="6:9">
      <c r="F502" s="180"/>
      <c r="G502" s="180"/>
      <c r="H502" s="180"/>
      <c r="I502" s="183"/>
    </row>
    <row r="503" spans="6:9">
      <c r="F503" s="180"/>
      <c r="G503" s="180"/>
      <c r="H503" s="180"/>
      <c r="I503" s="183"/>
    </row>
    <row r="504" spans="6:9">
      <c r="F504" s="180"/>
      <c r="G504" s="180"/>
      <c r="H504" s="180"/>
      <c r="I504" s="183"/>
    </row>
    <row r="505" spans="6:9">
      <c r="F505" s="180"/>
      <c r="G505" s="180"/>
      <c r="H505" s="180"/>
      <c r="I505" s="183"/>
    </row>
    <row r="506" spans="6:9">
      <c r="F506" s="180"/>
      <c r="G506" s="180"/>
      <c r="H506" s="180"/>
      <c r="I506" s="183"/>
    </row>
    <row r="507" spans="6:9">
      <c r="F507" s="180"/>
      <c r="G507" s="180"/>
      <c r="H507" s="180"/>
      <c r="I507" s="183"/>
    </row>
    <row r="508" spans="6:9">
      <c r="F508" s="180"/>
      <c r="G508" s="180"/>
      <c r="H508" s="180"/>
      <c r="I508" s="183"/>
    </row>
    <row r="509" spans="6:9">
      <c r="F509" s="180"/>
      <c r="G509" s="180"/>
      <c r="H509" s="180"/>
      <c r="I509" s="183"/>
    </row>
    <row r="510" spans="6:9">
      <c r="F510" s="180"/>
      <c r="G510" s="180"/>
      <c r="H510" s="180"/>
      <c r="I510" s="183"/>
    </row>
    <row r="511" spans="6:9">
      <c r="F511" s="180"/>
      <c r="G511" s="180"/>
      <c r="H511" s="180"/>
      <c r="I511" s="183"/>
    </row>
    <row r="512" spans="6:9">
      <c r="F512" s="180"/>
      <c r="G512" s="180"/>
      <c r="H512" s="180"/>
      <c r="I512" s="183"/>
    </row>
    <row r="513" spans="6:9">
      <c r="F513" s="180"/>
      <c r="G513" s="180"/>
      <c r="H513" s="180"/>
      <c r="I513" s="183"/>
    </row>
    <row r="514" spans="6:9">
      <c r="F514" s="180"/>
      <c r="G514" s="180"/>
      <c r="H514" s="180"/>
      <c r="I514" s="183"/>
    </row>
    <row r="515" spans="6:9">
      <c r="F515" s="180"/>
      <c r="G515" s="180"/>
      <c r="H515" s="180"/>
      <c r="I515" s="183"/>
    </row>
    <row r="516" spans="6:9">
      <c r="F516" s="180"/>
      <c r="G516" s="180"/>
      <c r="H516" s="180"/>
      <c r="I516" s="183"/>
    </row>
    <row r="517" spans="6:9">
      <c r="F517" s="180"/>
      <c r="G517" s="180"/>
      <c r="H517" s="180"/>
      <c r="I517" s="183"/>
    </row>
    <row r="518" spans="6:9">
      <c r="F518" s="180"/>
      <c r="G518" s="180"/>
      <c r="H518" s="180"/>
      <c r="I518" s="183"/>
    </row>
    <row r="519" spans="6:9">
      <c r="F519" s="180"/>
      <c r="G519" s="180"/>
      <c r="H519" s="180"/>
      <c r="I519" s="183"/>
    </row>
    <row r="520" spans="6:9">
      <c r="F520" s="180"/>
      <c r="G520" s="180"/>
      <c r="H520" s="180"/>
      <c r="I520" s="183"/>
    </row>
    <row r="521" spans="6:9">
      <c r="F521" s="180"/>
      <c r="G521" s="180"/>
      <c r="H521" s="180"/>
      <c r="I521" s="183"/>
    </row>
    <row r="522" spans="6:9">
      <c r="F522" s="180"/>
      <c r="G522" s="180"/>
      <c r="H522" s="180"/>
      <c r="I522" s="183"/>
    </row>
    <row r="523" spans="6:9">
      <c r="F523" s="180"/>
      <c r="G523" s="180"/>
      <c r="H523" s="180"/>
      <c r="I523" s="183"/>
    </row>
    <row r="524" spans="6:9">
      <c r="F524" s="180"/>
      <c r="G524" s="180"/>
      <c r="H524" s="180"/>
      <c r="I524" s="183"/>
    </row>
    <row r="525" spans="6:9">
      <c r="F525" s="180"/>
      <c r="G525" s="180"/>
      <c r="H525" s="180"/>
      <c r="I525" s="183"/>
    </row>
    <row r="526" spans="6:9">
      <c r="F526" s="180"/>
      <c r="G526" s="180"/>
      <c r="H526" s="180"/>
      <c r="I526" s="183"/>
    </row>
    <row r="527" spans="6:9">
      <c r="F527" s="180"/>
      <c r="G527" s="180"/>
      <c r="H527" s="180"/>
      <c r="I527" s="183"/>
    </row>
    <row r="528" spans="6:9">
      <c r="F528" s="180"/>
      <c r="G528" s="180"/>
      <c r="H528" s="180"/>
      <c r="I528" s="183"/>
    </row>
    <row r="529" spans="6:9">
      <c r="F529" s="180"/>
      <c r="G529" s="180"/>
      <c r="H529" s="180"/>
      <c r="I529" s="183"/>
    </row>
    <row r="530" spans="6:9">
      <c r="F530" s="180"/>
      <c r="G530" s="180"/>
      <c r="H530" s="180"/>
      <c r="I530" s="183"/>
    </row>
    <row r="531" spans="6:9">
      <c r="F531" s="180"/>
      <c r="G531" s="180"/>
      <c r="H531" s="180"/>
      <c r="I531" s="183"/>
    </row>
    <row r="532" spans="6:9">
      <c r="F532" s="180"/>
      <c r="G532" s="180"/>
      <c r="H532" s="180"/>
      <c r="I532" s="183"/>
    </row>
    <row r="533" spans="6:9">
      <c r="F533" s="180"/>
      <c r="G533" s="180"/>
      <c r="H533" s="180"/>
      <c r="I533" s="183"/>
    </row>
    <row r="534" spans="6:9">
      <c r="F534" s="180"/>
      <c r="G534" s="180"/>
      <c r="H534" s="180"/>
      <c r="I534" s="183"/>
    </row>
    <row r="535" spans="6:9">
      <c r="F535" s="180"/>
      <c r="G535" s="180"/>
      <c r="H535" s="180"/>
      <c r="I535" s="183"/>
    </row>
    <row r="536" spans="6:9">
      <c r="F536" s="180"/>
      <c r="G536" s="180"/>
      <c r="H536" s="180"/>
      <c r="I536" s="183"/>
    </row>
    <row r="537" spans="6:9">
      <c r="F537" s="180"/>
      <c r="G537" s="180"/>
      <c r="H537" s="180"/>
      <c r="I537" s="183"/>
    </row>
    <row r="538" spans="6:9">
      <c r="F538" s="180"/>
      <c r="G538" s="180"/>
      <c r="H538" s="180"/>
      <c r="I538" s="183"/>
    </row>
    <row r="539" spans="6:9">
      <c r="F539" s="180"/>
      <c r="G539" s="180"/>
      <c r="H539" s="180"/>
      <c r="I539" s="183"/>
    </row>
    <row r="540" spans="6:9">
      <c r="F540" s="180"/>
      <c r="G540" s="180"/>
      <c r="H540" s="180"/>
      <c r="I540" s="183"/>
    </row>
    <row r="541" spans="6:9">
      <c r="F541" s="180"/>
      <c r="G541" s="180"/>
      <c r="H541" s="180"/>
      <c r="I541" s="183"/>
    </row>
    <row r="542" spans="6:9">
      <c r="F542" s="180"/>
      <c r="G542" s="180"/>
      <c r="H542" s="180"/>
      <c r="I542" s="183"/>
    </row>
    <row r="543" spans="6:9">
      <c r="F543" s="180"/>
      <c r="G543" s="180"/>
      <c r="H543" s="180"/>
      <c r="I543" s="183"/>
    </row>
    <row r="544" spans="6:9">
      <c r="F544" s="180"/>
      <c r="G544" s="180"/>
      <c r="H544" s="180"/>
      <c r="I544" s="183"/>
    </row>
    <row r="545" spans="6:9">
      <c r="F545" s="180"/>
      <c r="G545" s="180"/>
      <c r="H545" s="180"/>
      <c r="I545" s="183"/>
    </row>
    <row r="546" spans="6:9">
      <c r="F546" s="180"/>
      <c r="G546" s="180"/>
      <c r="H546" s="180"/>
      <c r="I546" s="183"/>
    </row>
    <row r="547" spans="6:9">
      <c r="F547" s="180"/>
      <c r="G547" s="180"/>
      <c r="H547" s="180"/>
      <c r="I547" s="183"/>
    </row>
    <row r="548" spans="6:9">
      <c r="F548" s="180"/>
      <c r="G548" s="180"/>
      <c r="H548" s="180"/>
      <c r="I548" s="183"/>
    </row>
    <row r="549" spans="6:9">
      <c r="F549" s="180"/>
      <c r="G549" s="180"/>
      <c r="H549" s="180"/>
      <c r="I549" s="183"/>
    </row>
    <row r="550" spans="6:9">
      <c r="F550" s="180"/>
      <c r="G550" s="180"/>
      <c r="H550" s="180"/>
      <c r="I550" s="183"/>
    </row>
    <row r="551" spans="6:9">
      <c r="F551" s="180"/>
      <c r="G551" s="180"/>
      <c r="H551" s="180"/>
      <c r="I551" s="183"/>
    </row>
    <row r="552" spans="6:9">
      <c r="F552" s="180"/>
      <c r="G552" s="180"/>
      <c r="H552" s="180"/>
      <c r="I552" s="183"/>
    </row>
    <row r="553" spans="6:9">
      <c r="F553" s="180"/>
      <c r="G553" s="180"/>
      <c r="H553" s="180"/>
      <c r="I553" s="183"/>
    </row>
    <row r="554" spans="6:9">
      <c r="F554" s="180"/>
      <c r="G554" s="180"/>
      <c r="H554" s="180"/>
      <c r="I554" s="183"/>
    </row>
    <row r="555" spans="6:9">
      <c r="F555" s="180"/>
      <c r="G555" s="180"/>
      <c r="H555" s="180"/>
      <c r="I555" s="183"/>
    </row>
    <row r="556" spans="6:9">
      <c r="F556" s="180"/>
      <c r="G556" s="180"/>
      <c r="H556" s="180"/>
      <c r="I556" s="183"/>
    </row>
    <row r="557" spans="6:9">
      <c r="F557" s="180"/>
      <c r="G557" s="180"/>
      <c r="H557" s="180"/>
      <c r="I557" s="183"/>
    </row>
    <row r="558" spans="6:9">
      <c r="F558" s="180"/>
      <c r="G558" s="180"/>
      <c r="H558" s="180"/>
      <c r="I558" s="183"/>
    </row>
    <row r="559" spans="6:9">
      <c r="F559" s="180"/>
      <c r="G559" s="180"/>
      <c r="H559" s="180"/>
      <c r="I559" s="183"/>
    </row>
    <row r="560" spans="6:9">
      <c r="F560" s="180"/>
      <c r="G560" s="180"/>
      <c r="H560" s="180"/>
      <c r="I560" s="183"/>
    </row>
    <row r="561" spans="6:9">
      <c r="F561" s="180"/>
      <c r="G561" s="180"/>
      <c r="H561" s="180"/>
      <c r="I561" s="183"/>
    </row>
    <row r="562" spans="6:9">
      <c r="F562" s="180"/>
      <c r="G562" s="180"/>
      <c r="H562" s="180"/>
      <c r="I562" s="183"/>
    </row>
    <row r="563" spans="6:9">
      <c r="F563" s="180"/>
      <c r="G563" s="180"/>
      <c r="H563" s="180"/>
      <c r="I563" s="183"/>
    </row>
    <row r="564" spans="6:9">
      <c r="F564" s="180"/>
      <c r="G564" s="180"/>
      <c r="H564" s="180"/>
      <c r="I564" s="183"/>
    </row>
    <row r="565" spans="6:9">
      <c r="F565" s="180"/>
      <c r="G565" s="180"/>
      <c r="H565" s="180"/>
      <c r="I565" s="183"/>
    </row>
    <row r="566" spans="6:9">
      <c r="F566" s="180"/>
      <c r="G566" s="180"/>
      <c r="H566" s="180"/>
      <c r="I566" s="183"/>
    </row>
    <row r="567" spans="6:9">
      <c r="F567" s="180"/>
      <c r="G567" s="180"/>
      <c r="H567" s="180"/>
      <c r="I567" s="183"/>
    </row>
    <row r="568" spans="6:9">
      <c r="F568" s="180"/>
      <c r="G568" s="180"/>
      <c r="H568" s="180"/>
      <c r="I568" s="183"/>
    </row>
    <row r="569" spans="6:9">
      <c r="F569" s="180"/>
      <c r="G569" s="180"/>
      <c r="H569" s="180"/>
      <c r="I569" s="183"/>
    </row>
    <row r="570" spans="6:9">
      <c r="F570" s="180"/>
      <c r="G570" s="180"/>
      <c r="H570" s="180"/>
      <c r="I570" s="183"/>
    </row>
    <row r="571" spans="6:9">
      <c r="F571" s="180"/>
      <c r="G571" s="180"/>
      <c r="H571" s="180"/>
      <c r="I571" s="183"/>
    </row>
    <row r="572" spans="6:9">
      <c r="F572" s="180"/>
      <c r="G572" s="180"/>
      <c r="H572" s="180"/>
      <c r="I572" s="183"/>
    </row>
    <row r="573" spans="6:9">
      <c r="F573" s="180"/>
      <c r="G573" s="180"/>
      <c r="H573" s="180"/>
      <c r="I573" s="183"/>
    </row>
    <row r="574" spans="6:9">
      <c r="F574" s="180"/>
      <c r="G574" s="180"/>
      <c r="H574" s="180"/>
      <c r="I574" s="183"/>
    </row>
    <row r="575" spans="6:9">
      <c r="F575" s="180"/>
      <c r="G575" s="180"/>
      <c r="H575" s="180"/>
      <c r="I575" s="183"/>
    </row>
    <row r="576" spans="6:9">
      <c r="F576" s="180"/>
      <c r="G576" s="180"/>
      <c r="H576" s="180"/>
      <c r="I576" s="183"/>
    </row>
    <row r="577" spans="6:9">
      <c r="F577" s="180"/>
      <c r="G577" s="180"/>
      <c r="H577" s="180"/>
      <c r="I577" s="183"/>
    </row>
    <row r="578" spans="6:9">
      <c r="F578" s="180"/>
      <c r="G578" s="180"/>
      <c r="H578" s="180"/>
      <c r="I578" s="183"/>
    </row>
    <row r="579" spans="6:9">
      <c r="F579" s="180"/>
      <c r="G579" s="180"/>
      <c r="H579" s="180"/>
      <c r="I579" s="183"/>
    </row>
    <row r="580" spans="6:9">
      <c r="F580" s="180"/>
      <c r="G580" s="180"/>
      <c r="H580" s="180"/>
      <c r="I580" s="183"/>
    </row>
    <row r="581" spans="6:9">
      <c r="F581" s="180"/>
      <c r="G581" s="180"/>
      <c r="H581" s="180"/>
      <c r="I581" s="183"/>
    </row>
    <row r="582" spans="6:9">
      <c r="F582" s="180"/>
      <c r="G582" s="180"/>
      <c r="H582" s="180"/>
      <c r="I582" s="183"/>
    </row>
    <row r="583" spans="6:9">
      <c r="F583" s="180"/>
      <c r="G583" s="180"/>
      <c r="H583" s="180"/>
      <c r="I583" s="183"/>
    </row>
    <row r="584" spans="6:9">
      <c r="F584" s="180"/>
      <c r="G584" s="180"/>
      <c r="H584" s="180"/>
      <c r="I584" s="183"/>
    </row>
    <row r="585" spans="6:9">
      <c r="F585" s="180"/>
      <c r="G585" s="180"/>
      <c r="H585" s="180"/>
      <c r="I585" s="183"/>
    </row>
    <row r="586" spans="6:9">
      <c r="F586" s="180"/>
      <c r="G586" s="180"/>
      <c r="H586" s="180"/>
      <c r="I586" s="183"/>
    </row>
    <row r="587" spans="6:9">
      <c r="F587" s="180"/>
      <c r="G587" s="180"/>
      <c r="H587" s="180"/>
      <c r="I587" s="183"/>
    </row>
    <row r="588" spans="6:9">
      <c r="F588" s="180"/>
      <c r="G588" s="180"/>
      <c r="H588" s="180"/>
      <c r="I588" s="183"/>
    </row>
    <row r="589" spans="6:9">
      <c r="F589" s="180"/>
      <c r="G589" s="180"/>
      <c r="H589" s="180"/>
      <c r="I589" s="183"/>
    </row>
    <row r="590" spans="6:9">
      <c r="F590" s="180"/>
      <c r="G590" s="180"/>
      <c r="H590" s="180"/>
      <c r="I590" s="183"/>
    </row>
    <row r="591" spans="6:9">
      <c r="F591" s="180"/>
      <c r="G591" s="180"/>
      <c r="H591" s="180"/>
      <c r="I591" s="183"/>
    </row>
    <row r="592" spans="6:9">
      <c r="F592" s="180"/>
      <c r="G592" s="180"/>
      <c r="H592" s="180"/>
      <c r="I592" s="183"/>
    </row>
    <row r="593" spans="6:9">
      <c r="F593" s="180"/>
      <c r="G593" s="180"/>
      <c r="H593" s="180"/>
      <c r="I593" s="183"/>
    </row>
    <row r="594" spans="6:9">
      <c r="F594" s="180"/>
      <c r="G594" s="180"/>
      <c r="H594" s="180"/>
      <c r="I594" s="183"/>
    </row>
    <row r="595" spans="6:9">
      <c r="F595" s="180"/>
      <c r="G595" s="180"/>
      <c r="H595" s="180"/>
      <c r="I595" s="183"/>
    </row>
    <row r="596" spans="6:9">
      <c r="F596" s="180"/>
      <c r="G596" s="180"/>
      <c r="H596" s="180"/>
      <c r="I596" s="183"/>
    </row>
    <row r="597" spans="6:9">
      <c r="F597" s="180"/>
      <c r="G597" s="180"/>
      <c r="H597" s="180"/>
      <c r="I597" s="183"/>
    </row>
    <row r="598" spans="6:9">
      <c r="F598" s="180"/>
      <c r="G598" s="180"/>
      <c r="H598" s="180"/>
      <c r="I598" s="183"/>
    </row>
    <row r="599" spans="6:9">
      <c r="F599" s="180"/>
      <c r="G599" s="180"/>
      <c r="H599" s="180"/>
      <c r="I599" s="183"/>
    </row>
    <row r="600" spans="6:9">
      <c r="F600" s="180"/>
      <c r="G600" s="180"/>
      <c r="H600" s="180"/>
      <c r="I600" s="183"/>
    </row>
    <row r="601" spans="6:9">
      <c r="F601" s="180"/>
      <c r="G601" s="180"/>
      <c r="H601" s="180"/>
      <c r="I601" s="183"/>
    </row>
    <row r="602" spans="6:9">
      <c r="F602" s="180"/>
      <c r="G602" s="180"/>
      <c r="H602" s="180"/>
      <c r="I602" s="183"/>
    </row>
    <row r="603" spans="6:9">
      <c r="F603" s="180"/>
      <c r="G603" s="180"/>
      <c r="H603" s="180"/>
      <c r="I603" s="183"/>
    </row>
    <row r="604" spans="6:9">
      <c r="F604" s="180"/>
      <c r="G604" s="180"/>
      <c r="H604" s="180"/>
      <c r="I604" s="183"/>
    </row>
    <row r="605" spans="6:9">
      <c r="F605" s="180"/>
      <c r="G605" s="180"/>
      <c r="H605" s="180"/>
      <c r="I605" s="183"/>
    </row>
    <row r="606" spans="6:9">
      <c r="F606" s="180"/>
      <c r="G606" s="180"/>
      <c r="H606" s="180"/>
      <c r="I606" s="183"/>
    </row>
    <row r="607" spans="6:9">
      <c r="F607" s="180"/>
      <c r="G607" s="180"/>
      <c r="H607" s="180"/>
      <c r="I607" s="183"/>
    </row>
    <row r="608" spans="6:9">
      <c r="F608" s="180"/>
      <c r="G608" s="180"/>
      <c r="H608" s="180"/>
      <c r="I608" s="183"/>
    </row>
    <row r="609" spans="6:9">
      <c r="F609" s="180"/>
      <c r="G609" s="180"/>
      <c r="H609" s="180"/>
      <c r="I609" s="183"/>
    </row>
    <row r="610" spans="6:9">
      <c r="F610" s="180"/>
      <c r="G610" s="180"/>
      <c r="H610" s="180"/>
      <c r="I610" s="183"/>
    </row>
    <row r="611" spans="6:9">
      <c r="F611" s="180"/>
      <c r="G611" s="180"/>
      <c r="H611" s="180"/>
      <c r="I611" s="183"/>
    </row>
    <row r="612" spans="6:9">
      <c r="F612" s="180"/>
      <c r="G612" s="180"/>
      <c r="H612" s="180"/>
      <c r="I612" s="183"/>
    </row>
    <row r="613" spans="6:9">
      <c r="F613" s="180"/>
      <c r="G613" s="180"/>
      <c r="H613" s="180"/>
      <c r="I613" s="183"/>
    </row>
    <row r="614" spans="6:9">
      <c r="F614" s="180"/>
      <c r="G614" s="180"/>
      <c r="H614" s="180"/>
      <c r="I614" s="183"/>
    </row>
    <row r="615" spans="6:9">
      <c r="F615" s="180"/>
      <c r="G615" s="180"/>
      <c r="H615" s="180"/>
      <c r="I615" s="183"/>
    </row>
    <row r="616" spans="6:9">
      <c r="F616" s="180"/>
      <c r="G616" s="180"/>
      <c r="H616" s="180"/>
      <c r="I616" s="183"/>
    </row>
    <row r="617" spans="6:9">
      <c r="F617" s="180"/>
      <c r="G617" s="180"/>
      <c r="H617" s="180"/>
      <c r="I617" s="183"/>
    </row>
    <row r="618" spans="6:9">
      <c r="F618" s="180"/>
      <c r="G618" s="180"/>
      <c r="H618" s="180"/>
      <c r="I618" s="183"/>
    </row>
    <row r="619" spans="6:9">
      <c r="F619" s="180"/>
      <c r="G619" s="180"/>
      <c r="H619" s="180"/>
      <c r="I619" s="183"/>
    </row>
    <row r="620" spans="6:9">
      <c r="F620" s="180"/>
      <c r="G620" s="180"/>
      <c r="H620" s="180"/>
      <c r="I620" s="183"/>
    </row>
    <row r="621" spans="6:9">
      <c r="F621" s="180"/>
      <c r="G621" s="180"/>
      <c r="H621" s="180"/>
      <c r="I621" s="183"/>
    </row>
    <row r="622" spans="6:9">
      <c r="F622" s="180"/>
      <c r="G622" s="180"/>
      <c r="H622" s="180"/>
      <c r="I622" s="183"/>
    </row>
    <row r="623" spans="6:9">
      <c r="F623" s="180"/>
      <c r="G623" s="180"/>
      <c r="H623" s="180"/>
      <c r="I623" s="183"/>
    </row>
    <row r="624" spans="6:9">
      <c r="F624" s="180"/>
      <c r="G624" s="180"/>
      <c r="H624" s="180"/>
      <c r="I624" s="183"/>
    </row>
    <row r="625" spans="6:9">
      <c r="F625" s="180"/>
      <c r="G625" s="180"/>
      <c r="H625" s="180"/>
      <c r="I625" s="183"/>
    </row>
    <row r="626" spans="6:9">
      <c r="F626" s="180"/>
      <c r="G626" s="180"/>
      <c r="H626" s="180"/>
      <c r="I626" s="183"/>
    </row>
    <row r="627" spans="6:9">
      <c r="F627" s="180"/>
      <c r="G627" s="180"/>
      <c r="H627" s="180"/>
      <c r="I627" s="183"/>
    </row>
    <row r="628" spans="6:9">
      <c r="F628" s="180"/>
      <c r="G628" s="180"/>
      <c r="H628" s="180"/>
      <c r="I628" s="183"/>
    </row>
    <row r="629" spans="6:9">
      <c r="F629" s="180"/>
      <c r="G629" s="180"/>
      <c r="H629" s="180"/>
      <c r="I629" s="183"/>
    </row>
    <row r="630" spans="6:9">
      <c r="F630" s="180"/>
      <c r="G630" s="180"/>
      <c r="H630" s="180"/>
      <c r="I630" s="183"/>
    </row>
    <row r="631" spans="6:9">
      <c r="F631" s="180"/>
      <c r="G631" s="180"/>
      <c r="H631" s="180"/>
      <c r="I631" s="183"/>
    </row>
    <row r="632" spans="6:9">
      <c r="F632" s="180"/>
      <c r="G632" s="180"/>
      <c r="H632" s="180"/>
      <c r="I632" s="183"/>
    </row>
    <row r="633" spans="6:9">
      <c r="F633" s="180"/>
      <c r="G633" s="180"/>
      <c r="H633" s="180"/>
      <c r="I633" s="183"/>
    </row>
    <row r="634" spans="6:9">
      <c r="F634" s="180"/>
      <c r="G634" s="180"/>
      <c r="H634" s="180"/>
      <c r="I634" s="183"/>
    </row>
    <row r="635" spans="6:9">
      <c r="F635" s="180"/>
      <c r="G635" s="180"/>
      <c r="H635" s="180"/>
      <c r="I635" s="183"/>
    </row>
    <row r="636" spans="6:9">
      <c r="F636" s="180"/>
      <c r="G636" s="180"/>
      <c r="H636" s="180"/>
      <c r="I636" s="183"/>
    </row>
    <row r="637" spans="6:9">
      <c r="F637" s="180"/>
      <c r="G637" s="180"/>
      <c r="H637" s="180"/>
      <c r="I637" s="183"/>
    </row>
    <row r="638" spans="6:9">
      <c r="F638" s="180"/>
      <c r="G638" s="180"/>
      <c r="H638" s="180"/>
      <c r="I638" s="183"/>
    </row>
    <row r="639" spans="6:9">
      <c r="F639" s="180"/>
      <c r="G639" s="180"/>
      <c r="H639" s="180"/>
      <c r="I639" s="183"/>
    </row>
    <row r="640" spans="6:9">
      <c r="F640" s="180"/>
      <c r="G640" s="180"/>
      <c r="H640" s="180"/>
      <c r="I640" s="183"/>
    </row>
    <row r="641" spans="6:9">
      <c r="F641" s="180"/>
      <c r="G641" s="180"/>
      <c r="H641" s="180"/>
      <c r="I641" s="183"/>
    </row>
    <row r="642" spans="6:9">
      <c r="F642" s="180"/>
      <c r="G642" s="180"/>
      <c r="H642" s="180"/>
      <c r="I642" s="183"/>
    </row>
    <row r="643" spans="6:9">
      <c r="F643" s="180"/>
      <c r="G643" s="180"/>
      <c r="H643" s="180"/>
      <c r="I643" s="183"/>
    </row>
    <row r="644" spans="6:9">
      <c r="F644" s="180"/>
      <c r="G644" s="180"/>
      <c r="H644" s="180"/>
      <c r="I644" s="183"/>
    </row>
    <row r="645" spans="6:9">
      <c r="F645" s="180"/>
      <c r="G645" s="180"/>
      <c r="H645" s="180"/>
      <c r="I645" s="183"/>
    </row>
    <row r="646" spans="6:9">
      <c r="F646" s="180"/>
      <c r="G646" s="180"/>
      <c r="H646" s="180"/>
      <c r="I646" s="183"/>
    </row>
    <row r="647" spans="6:9">
      <c r="F647" s="180"/>
      <c r="G647" s="180"/>
      <c r="H647" s="180"/>
      <c r="I647" s="183"/>
    </row>
    <row r="648" spans="6:9">
      <c r="F648" s="180"/>
      <c r="G648" s="180"/>
      <c r="H648" s="180"/>
      <c r="I648" s="183"/>
    </row>
    <row r="649" spans="6:9">
      <c r="F649" s="180"/>
      <c r="G649" s="180"/>
      <c r="H649" s="180"/>
      <c r="I649" s="183"/>
    </row>
    <row r="650" spans="6:9">
      <c r="F650" s="180"/>
      <c r="G650" s="180"/>
      <c r="H650" s="180"/>
      <c r="I650" s="183"/>
    </row>
    <row r="651" spans="6:9">
      <c r="F651" s="180"/>
      <c r="G651" s="180"/>
      <c r="H651" s="180"/>
      <c r="I651" s="183"/>
    </row>
    <row r="652" spans="6:9">
      <c r="F652" s="180"/>
      <c r="G652" s="180"/>
      <c r="H652" s="180"/>
      <c r="I652" s="183"/>
    </row>
    <row r="653" spans="6:9">
      <c r="F653" s="180"/>
      <c r="G653" s="180"/>
      <c r="H653" s="180"/>
      <c r="I653" s="183"/>
    </row>
    <row r="654" spans="6:9">
      <c r="F654" s="180"/>
      <c r="G654" s="180"/>
      <c r="H654" s="180"/>
      <c r="I654" s="183"/>
    </row>
    <row r="655" spans="6:9">
      <c r="F655" s="180"/>
      <c r="G655" s="180"/>
      <c r="H655" s="180"/>
      <c r="I655" s="183"/>
    </row>
    <row r="656" spans="6:9">
      <c r="F656" s="180"/>
      <c r="G656" s="180"/>
      <c r="H656" s="180"/>
      <c r="I656" s="183"/>
    </row>
    <row r="657" spans="6:9">
      <c r="F657" s="180"/>
      <c r="G657" s="180"/>
      <c r="H657" s="180"/>
      <c r="I657" s="183"/>
    </row>
    <row r="658" spans="6:9">
      <c r="F658" s="180"/>
      <c r="G658" s="180"/>
      <c r="H658" s="180"/>
      <c r="I658" s="183"/>
    </row>
    <row r="659" spans="6:9">
      <c r="F659" s="180"/>
      <c r="G659" s="180"/>
      <c r="H659" s="180"/>
      <c r="I659" s="183"/>
    </row>
    <row r="660" spans="6:9">
      <c r="F660" s="180"/>
      <c r="G660" s="180"/>
      <c r="H660" s="180"/>
      <c r="I660" s="183"/>
    </row>
    <row r="661" spans="6:9">
      <c r="F661" s="180"/>
      <c r="G661" s="180"/>
      <c r="H661" s="180"/>
      <c r="I661" s="183"/>
    </row>
    <row r="662" spans="6:9">
      <c r="F662" s="180"/>
      <c r="G662" s="180"/>
      <c r="H662" s="180"/>
      <c r="I662" s="183"/>
    </row>
    <row r="663" spans="6:9">
      <c r="F663" s="180"/>
      <c r="G663" s="180"/>
      <c r="H663" s="180"/>
      <c r="I663" s="183"/>
    </row>
    <row r="664" spans="6:9">
      <c r="F664" s="180"/>
      <c r="G664" s="180"/>
      <c r="H664" s="180"/>
      <c r="I664" s="183"/>
    </row>
    <row r="665" spans="6:9">
      <c r="F665" s="180"/>
      <c r="G665" s="180"/>
      <c r="H665" s="180"/>
      <c r="I665" s="183"/>
    </row>
    <row r="666" spans="6:9">
      <c r="F666" s="180"/>
      <c r="G666" s="180"/>
      <c r="H666" s="180"/>
      <c r="I666" s="183"/>
    </row>
    <row r="667" spans="6:9">
      <c r="F667" s="180"/>
      <c r="G667" s="180"/>
      <c r="H667" s="180"/>
      <c r="I667" s="183"/>
    </row>
    <row r="668" spans="6:9">
      <c r="F668" s="180"/>
      <c r="G668" s="180"/>
      <c r="H668" s="180"/>
      <c r="I668" s="183"/>
    </row>
    <row r="669" spans="6:9">
      <c r="F669" s="180"/>
      <c r="G669" s="180"/>
      <c r="H669" s="180"/>
      <c r="I669" s="183"/>
    </row>
    <row r="670" spans="6:9">
      <c r="F670" s="180"/>
      <c r="G670" s="180"/>
      <c r="H670" s="180"/>
      <c r="I670" s="183"/>
    </row>
    <row r="671" spans="6:9">
      <c r="F671" s="180"/>
      <c r="G671" s="180"/>
      <c r="H671" s="180"/>
      <c r="I671" s="183"/>
    </row>
    <row r="672" spans="6:9">
      <c r="F672" s="180"/>
      <c r="G672" s="180"/>
      <c r="H672" s="180"/>
      <c r="I672" s="183"/>
    </row>
    <row r="673" spans="6:9">
      <c r="F673" s="180"/>
      <c r="G673" s="180"/>
      <c r="H673" s="180"/>
      <c r="I673" s="183"/>
    </row>
    <row r="674" spans="6:9">
      <c r="F674" s="180"/>
      <c r="G674" s="180"/>
      <c r="H674" s="180"/>
      <c r="I674" s="183"/>
    </row>
    <row r="675" spans="6:9">
      <c r="F675" s="180"/>
      <c r="G675" s="180"/>
      <c r="H675" s="180"/>
      <c r="I675" s="183"/>
    </row>
    <row r="676" spans="6:9">
      <c r="F676" s="180"/>
      <c r="G676" s="180"/>
      <c r="H676" s="180"/>
      <c r="I676" s="183"/>
    </row>
    <row r="677" spans="6:9">
      <c r="F677" s="180"/>
      <c r="G677" s="180"/>
      <c r="H677" s="180"/>
      <c r="I677" s="183"/>
    </row>
    <row r="678" spans="6:9">
      <c r="F678" s="180"/>
      <c r="G678" s="180"/>
      <c r="H678" s="180"/>
      <c r="I678" s="183"/>
    </row>
    <row r="679" spans="6:9">
      <c r="F679" s="180"/>
      <c r="G679" s="180"/>
      <c r="H679" s="180"/>
      <c r="I679" s="183"/>
    </row>
    <row r="680" spans="6:9">
      <c r="F680" s="180"/>
      <c r="G680" s="180"/>
      <c r="H680" s="180"/>
      <c r="I680" s="183"/>
    </row>
    <row r="681" spans="6:9">
      <c r="F681" s="180"/>
      <c r="G681" s="180"/>
      <c r="H681" s="180"/>
      <c r="I681" s="183"/>
    </row>
    <row r="682" spans="6:9">
      <c r="F682" s="180"/>
      <c r="G682" s="180"/>
      <c r="H682" s="180"/>
      <c r="I682" s="183"/>
    </row>
    <row r="683" spans="6:9">
      <c r="F683" s="180"/>
      <c r="G683" s="180"/>
      <c r="H683" s="180"/>
      <c r="I683" s="183"/>
    </row>
    <row r="684" spans="6:9">
      <c r="F684" s="180"/>
      <c r="G684" s="180"/>
      <c r="H684" s="180"/>
      <c r="I684" s="183"/>
    </row>
    <row r="685" spans="6:9">
      <c r="F685" s="180"/>
      <c r="G685" s="180"/>
      <c r="H685" s="180"/>
      <c r="I685" s="183"/>
    </row>
    <row r="686" spans="6:9">
      <c r="F686" s="180"/>
      <c r="G686" s="180"/>
      <c r="H686" s="180"/>
      <c r="I686" s="183"/>
    </row>
    <row r="687" spans="6:9">
      <c r="F687" s="180"/>
      <c r="G687" s="180"/>
      <c r="H687" s="180"/>
      <c r="I687" s="183"/>
    </row>
    <row r="688" spans="6:9">
      <c r="F688" s="180"/>
      <c r="G688" s="180"/>
      <c r="H688" s="180"/>
      <c r="I688" s="183"/>
    </row>
    <row r="689" spans="6:9">
      <c r="F689" s="180"/>
      <c r="G689" s="180"/>
      <c r="H689" s="180"/>
      <c r="I689" s="183"/>
    </row>
    <row r="690" spans="6:9">
      <c r="F690" s="180"/>
      <c r="G690" s="180"/>
      <c r="H690" s="180"/>
      <c r="I690" s="183"/>
    </row>
    <row r="691" spans="6:9">
      <c r="F691" s="180"/>
      <c r="G691" s="180"/>
      <c r="H691" s="180"/>
      <c r="I691" s="183"/>
    </row>
    <row r="692" spans="6:9">
      <c r="F692" s="180"/>
      <c r="G692" s="180"/>
      <c r="H692" s="180"/>
      <c r="I692" s="183"/>
    </row>
    <row r="693" spans="6:9">
      <c r="F693" s="180"/>
      <c r="G693" s="180"/>
      <c r="H693" s="180"/>
      <c r="I693" s="183"/>
    </row>
    <row r="694" spans="6:9">
      <c r="F694" s="180"/>
      <c r="G694" s="180"/>
      <c r="H694" s="180"/>
      <c r="I694" s="183"/>
    </row>
    <row r="695" spans="6:9">
      <c r="F695" s="180"/>
      <c r="G695" s="180"/>
      <c r="H695" s="180"/>
      <c r="I695" s="183"/>
    </row>
    <row r="696" spans="6:9">
      <c r="F696" s="180"/>
      <c r="G696" s="180"/>
      <c r="H696" s="180"/>
      <c r="I696" s="183"/>
    </row>
    <row r="697" spans="6:9">
      <c r="F697" s="180"/>
      <c r="G697" s="180"/>
      <c r="H697" s="180"/>
      <c r="I697" s="183"/>
    </row>
    <row r="698" spans="6:9">
      <c r="F698" s="180"/>
      <c r="G698" s="180"/>
      <c r="H698" s="180"/>
      <c r="I698" s="183"/>
    </row>
    <row r="699" spans="6:9">
      <c r="F699" s="180"/>
      <c r="G699" s="180"/>
      <c r="H699" s="180"/>
      <c r="I699" s="183"/>
    </row>
    <row r="700" spans="6:9">
      <c r="F700" s="180"/>
      <c r="G700" s="180"/>
      <c r="H700" s="180"/>
      <c r="I700" s="183"/>
    </row>
    <row r="701" spans="6:9">
      <c r="F701" s="180"/>
      <c r="G701" s="180"/>
      <c r="H701" s="180"/>
      <c r="I701" s="183"/>
    </row>
    <row r="702" spans="6:9">
      <c r="F702" s="180"/>
      <c r="G702" s="180"/>
      <c r="H702" s="180"/>
      <c r="I702" s="183"/>
    </row>
    <row r="703" spans="6:9">
      <c r="F703" s="180"/>
      <c r="G703" s="180"/>
      <c r="H703" s="180"/>
      <c r="I703" s="183"/>
    </row>
    <row r="704" spans="6:9">
      <c r="F704" s="180"/>
      <c r="G704" s="180"/>
      <c r="H704" s="180"/>
      <c r="I704" s="183"/>
    </row>
    <row r="705" spans="6:9">
      <c r="F705" s="180"/>
      <c r="G705" s="180"/>
      <c r="H705" s="180"/>
      <c r="I705" s="183"/>
    </row>
    <row r="706" spans="6:9">
      <c r="F706" s="180"/>
      <c r="G706" s="180"/>
      <c r="H706" s="180"/>
      <c r="I706" s="183"/>
    </row>
    <row r="707" spans="6:9">
      <c r="F707" s="180"/>
      <c r="G707" s="180"/>
      <c r="H707" s="180"/>
      <c r="I707" s="183"/>
    </row>
    <row r="708" spans="6:9">
      <c r="F708" s="180"/>
      <c r="G708" s="180"/>
      <c r="H708" s="180"/>
      <c r="I708" s="183"/>
    </row>
    <row r="709" spans="6:9">
      <c r="F709" s="180"/>
      <c r="G709" s="180"/>
      <c r="H709" s="180"/>
      <c r="I709" s="183"/>
    </row>
    <row r="710" spans="6:9">
      <c r="F710" s="180"/>
      <c r="G710" s="180"/>
      <c r="H710" s="180"/>
      <c r="I710" s="183"/>
    </row>
    <row r="711" spans="6:9">
      <c r="F711" s="180"/>
      <c r="G711" s="180"/>
      <c r="H711" s="180"/>
      <c r="I711" s="183"/>
    </row>
    <row r="712" spans="6:9">
      <c r="F712" s="180"/>
      <c r="G712" s="180"/>
      <c r="H712" s="180"/>
      <c r="I712" s="183"/>
    </row>
    <row r="713" spans="6:9">
      <c r="F713" s="180"/>
      <c r="G713" s="180"/>
      <c r="H713" s="180"/>
      <c r="I713" s="183"/>
    </row>
    <row r="714" spans="6:9">
      <c r="F714" s="180"/>
      <c r="G714" s="180"/>
      <c r="H714" s="180"/>
      <c r="I714" s="183"/>
    </row>
    <row r="715" spans="6:9">
      <c r="F715" s="180"/>
      <c r="G715" s="180"/>
      <c r="H715" s="180"/>
      <c r="I715" s="183"/>
    </row>
    <row r="716" spans="6:9">
      <c r="F716" s="180"/>
      <c r="G716" s="180"/>
      <c r="H716" s="180"/>
      <c r="I716" s="183"/>
    </row>
    <row r="717" spans="6:9">
      <c r="F717" s="180"/>
      <c r="G717" s="180"/>
      <c r="H717" s="180"/>
      <c r="I717" s="183"/>
    </row>
    <row r="718" spans="6:9">
      <c r="F718" s="180"/>
      <c r="G718" s="180"/>
      <c r="H718" s="180"/>
      <c r="I718" s="183"/>
    </row>
    <row r="719" spans="6:9">
      <c r="F719" s="180"/>
      <c r="G719" s="180"/>
      <c r="H719" s="180"/>
      <c r="I719" s="183"/>
    </row>
    <row r="720" spans="6:9">
      <c r="F720" s="180"/>
      <c r="G720" s="180"/>
      <c r="H720" s="180"/>
      <c r="I720" s="183"/>
    </row>
    <row r="721" spans="6:9">
      <c r="F721" s="180"/>
      <c r="G721" s="180"/>
      <c r="H721" s="180"/>
      <c r="I721" s="183"/>
    </row>
    <row r="722" spans="6:9">
      <c r="F722" s="180"/>
      <c r="G722" s="180"/>
      <c r="H722" s="180"/>
      <c r="I722" s="183"/>
    </row>
    <row r="723" spans="6:9">
      <c r="F723" s="180"/>
      <c r="G723" s="180"/>
      <c r="H723" s="180"/>
      <c r="I723" s="183"/>
    </row>
    <row r="724" spans="6:9">
      <c r="F724" s="180"/>
      <c r="G724" s="180"/>
      <c r="H724" s="180"/>
      <c r="I724" s="183"/>
    </row>
    <row r="725" spans="6:9">
      <c r="F725" s="180"/>
      <c r="G725" s="180"/>
      <c r="H725" s="180"/>
      <c r="I725" s="183"/>
    </row>
    <row r="726" spans="6:9">
      <c r="F726" s="180"/>
      <c r="G726" s="180"/>
      <c r="H726" s="180"/>
      <c r="I726" s="183"/>
    </row>
    <row r="727" spans="6:9">
      <c r="F727" s="180"/>
      <c r="G727" s="180"/>
      <c r="H727" s="180"/>
      <c r="I727" s="183"/>
    </row>
    <row r="728" spans="6:9">
      <c r="F728" s="180"/>
      <c r="G728" s="180"/>
      <c r="H728" s="180"/>
      <c r="I728" s="183"/>
    </row>
    <row r="729" spans="6:9">
      <c r="F729" s="180"/>
      <c r="G729" s="180"/>
      <c r="H729" s="180"/>
      <c r="I729" s="183"/>
    </row>
    <row r="730" spans="6:9">
      <c r="F730" s="180"/>
      <c r="G730" s="180"/>
      <c r="H730" s="180"/>
      <c r="I730" s="183"/>
    </row>
    <row r="731" spans="6:9">
      <c r="F731" s="180"/>
      <c r="G731" s="180"/>
      <c r="H731" s="180"/>
      <c r="I731" s="183"/>
    </row>
    <row r="732" spans="6:9">
      <c r="F732" s="180"/>
      <c r="G732" s="180"/>
      <c r="H732" s="180"/>
      <c r="I732" s="183"/>
    </row>
    <row r="733" spans="6:9">
      <c r="F733" s="180"/>
      <c r="G733" s="180"/>
      <c r="H733" s="180"/>
      <c r="I733" s="183"/>
    </row>
    <row r="734" spans="6:9">
      <c r="F734" s="180"/>
      <c r="G734" s="180"/>
      <c r="H734" s="180"/>
      <c r="I734" s="183"/>
    </row>
    <row r="735" spans="6:9">
      <c r="F735" s="180"/>
      <c r="G735" s="180"/>
      <c r="H735" s="180"/>
      <c r="I735" s="183"/>
    </row>
    <row r="736" spans="6:9">
      <c r="F736" s="180"/>
      <c r="G736" s="180"/>
      <c r="H736" s="180"/>
      <c r="I736" s="183"/>
    </row>
    <row r="737" spans="6:9">
      <c r="F737" s="180"/>
      <c r="G737" s="180"/>
      <c r="H737" s="180"/>
      <c r="I737" s="183"/>
    </row>
    <row r="738" spans="6:9">
      <c r="F738" s="180"/>
      <c r="G738" s="180"/>
      <c r="H738" s="180"/>
      <c r="I738" s="183"/>
    </row>
    <row r="739" spans="6:9">
      <c r="F739" s="180"/>
      <c r="G739" s="180"/>
      <c r="H739" s="180"/>
      <c r="I739" s="183"/>
    </row>
    <row r="740" spans="6:9">
      <c r="F740" s="180"/>
      <c r="G740" s="180"/>
      <c r="H740" s="180"/>
      <c r="I740" s="183"/>
    </row>
    <row r="741" spans="6:9">
      <c r="F741" s="180"/>
      <c r="G741" s="180"/>
      <c r="H741" s="180"/>
      <c r="I741" s="183"/>
    </row>
    <row r="742" spans="6:9">
      <c r="F742" s="180"/>
      <c r="G742" s="180"/>
      <c r="H742" s="180"/>
      <c r="I742" s="183"/>
    </row>
    <row r="743" spans="6:9">
      <c r="F743" s="180"/>
      <c r="G743" s="180"/>
      <c r="H743" s="180"/>
      <c r="I743" s="183"/>
    </row>
    <row r="744" spans="6:9">
      <c r="F744" s="180"/>
      <c r="G744" s="180"/>
      <c r="H744" s="180"/>
      <c r="I744" s="183"/>
    </row>
  </sheetData>
  <mergeCells count="13">
    <mergeCell ref="C25:K25"/>
    <mergeCell ref="C19:K19"/>
    <mergeCell ref="C20:K20"/>
    <mergeCell ref="B4:E4"/>
    <mergeCell ref="B6:E6"/>
    <mergeCell ref="B8:E8"/>
    <mergeCell ref="C39:K39"/>
    <mergeCell ref="C35:K35"/>
    <mergeCell ref="C78:K78"/>
    <mergeCell ref="C68:K68"/>
    <mergeCell ref="C63:K63"/>
    <mergeCell ref="C58:K58"/>
    <mergeCell ref="C53:K53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DA9198FDC1A67499D1F0DC585C8806F" ma:contentTypeVersion="8" ma:contentTypeDescription="Vytvoří nový dokument" ma:contentTypeScope="" ma:versionID="0f49b71b8aab75016043457e0e4526dd">
  <xsd:schema xmlns:xsd="http://www.w3.org/2001/XMLSchema" xmlns:xs="http://www.w3.org/2001/XMLSchema" xmlns:p="http://schemas.microsoft.com/office/2006/metadata/properties" xmlns:ns2="356c7bce-1f2c-421b-a54a-4615779fc3cc" targetNamespace="http://schemas.microsoft.com/office/2006/metadata/properties" ma:root="true" ma:fieldsID="68d3192629ebd4bc2412387c7cc794da" ns2:_="">
    <xsd:import namespace="356c7bce-1f2c-421b-a54a-4615779fc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6c7bce-1f2c-421b-a54a-4615779fc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EB81C-8D54-45C0-BEA3-0EDEEA1F79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4653299-6A7B-4C12-81F4-66116FB540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75A827-F778-4ADC-81C1-A1A1257D1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6c7bce-1f2c-421b-a54a-4615779fc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dd66dd6-0730-47ae-b2f3-ba1f625c6192}" enabled="0" method="" siteId="{0dd66dd6-0730-47ae-b2f3-ba1f625c619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9</vt:i4>
      </vt:variant>
    </vt:vector>
  </HeadingPairs>
  <TitlesOfParts>
    <vt:vector size="9" baseType="lpstr">
      <vt:lpstr>Krycí list </vt:lpstr>
      <vt:lpstr>Silnoproud</vt:lpstr>
      <vt:lpstr>Slaboproud</vt:lpstr>
      <vt:lpstr>ZTI</vt:lpstr>
      <vt:lpstr>Vytapění</vt:lpstr>
      <vt:lpstr> Chlazení</vt:lpstr>
      <vt:lpstr>VZT</vt:lpstr>
      <vt:lpstr>Uzemnění, Hromosvod</vt:lpstr>
      <vt:lpstr>Vnitřní kanalizace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Oleksandra Liuba</dc:creator>
  <cp:keywords/>
  <dc:description/>
  <cp:lastModifiedBy>Prokopov, Oleksandr</cp:lastModifiedBy>
  <cp:revision/>
  <dcterms:created xsi:type="dcterms:W3CDTF">2025-10-29T09:34:50Z</dcterms:created>
  <dcterms:modified xsi:type="dcterms:W3CDTF">2026-05-12T08:32:38Z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0x0101001DA9198FDC1A67499D1F0DC585C8806F</vt:lpwstr>
  </property>
</Properties>
</file>
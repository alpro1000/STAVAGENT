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ento_sešit"/>
  <mc:AlternateContent xmlns:mc="http://schemas.openxmlformats.org/markup-compatibility/2006">
    <mc:Choice Requires="x15">
      <x15ac:absPath xmlns:x15ac="http://schemas.microsoft.com/office/spreadsheetml/2010/11/ac" url="S:\Projects\185-01-LIB-ADNS_Byt_soubor_Libuse\40-Architectural\90-Drafts\211130_R01_DPS\open\D_Dokumentace objektu\SO01_Bytovy dum\SO01_100_ARS\"/>
    </mc:Choice>
  </mc:AlternateContent>
  <xr:revisionPtr revIDLastSave="0" documentId="13_ncr:1_{83A61FF5-B403-4FFE-9DA4-E75ECEB03A80}" xr6:coauthVersionLast="47" xr6:coauthVersionMax="47" xr10:uidLastSave="{00000000-0000-0000-0000-000000000000}"/>
  <bookViews>
    <workbookView xWindow="-120" yWindow="-120" windowWidth="29040" windowHeight="15840" tabRatio="771" activeTab="2" xr2:uid="{00000000-000D-0000-FFFF-FFFF00000000}"/>
  </bookViews>
  <sheets>
    <sheet name="systém kódování" sheetId="50" r:id="rId1"/>
    <sheet name="povrchy" sheetId="53" r:id="rId2"/>
    <sheet name="skladby_podlah" sheetId="43" r:id="rId3"/>
    <sheet name="skladby sten" sheetId="51" r:id="rId4"/>
    <sheet name="skladby strech" sheetId="54" r:id="rId5"/>
    <sheet name="podhledy" sheetId="52" r:id="rId6"/>
  </sheets>
  <definedNames>
    <definedName name="_xlnm.Print_Area" localSheetId="5">podhledy!$A$1:$G$16</definedName>
    <definedName name="_xlnm.Print_Area" localSheetId="1">povrchy!$A$1:$F$95</definedName>
    <definedName name="_xlnm.Print_Area" localSheetId="3">'skladby sten'!$A$1:$G$193</definedName>
    <definedName name="_xlnm.Print_Area" localSheetId="4">'skladby strech'!$A$1:$G$93</definedName>
    <definedName name="_xlnm.Print_Area" localSheetId="2">skladby_podlah!$A$1:$G$50</definedName>
    <definedName name="_xlnm.Print_Area" localSheetId="0">'systém kódování'!$A$1:$G$31</definedName>
    <definedName name="_xlnm.Print_Titles" localSheetId="5">podhledy!$1:$4</definedName>
    <definedName name="_xlnm.Print_Titles" localSheetId="1">povrchy!$1:$4</definedName>
    <definedName name="_xlnm.Print_Titles" localSheetId="3">'skladby sten'!$1:$4</definedName>
    <definedName name="_xlnm.Print_Titles" localSheetId="4">'skladby strech'!$1:$4</definedName>
    <definedName name="_xlnm.Print_Titles" localSheetId="2">skladby_podlah!$1:$4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" i="43" l="1"/>
  <c r="E157" i="51"/>
  <c r="E89" i="54"/>
  <c r="E10" i="51"/>
  <c r="E169" i="51" l="1"/>
  <c r="E187" i="51"/>
  <c r="E183" i="51"/>
  <c r="E180" i="51"/>
  <c r="E176" i="51"/>
  <c r="E173" i="51"/>
  <c r="E79" i="54"/>
  <c r="E71" i="54"/>
  <c r="E61" i="54"/>
  <c r="E48" i="54"/>
  <c r="E37" i="54"/>
  <c r="E28" i="54"/>
  <c r="E16" i="54"/>
  <c r="E6" i="54"/>
  <c r="G2" i="54"/>
  <c r="C2" i="54"/>
  <c r="G1" i="54"/>
  <c r="C1" i="54"/>
  <c r="E117" i="51"/>
  <c r="E108" i="51"/>
  <c r="E99" i="51"/>
  <c r="E89" i="51"/>
  <c r="E17" i="51"/>
  <c r="G2" i="52"/>
  <c r="G1" i="52"/>
  <c r="G2" i="51"/>
  <c r="G1" i="51"/>
  <c r="F2" i="53"/>
  <c r="F1" i="53"/>
  <c r="G2" i="43"/>
  <c r="G1" i="43"/>
  <c r="E81" i="51"/>
  <c r="E67" i="51"/>
  <c r="E55" i="51"/>
  <c r="E45" i="51"/>
  <c r="E10" i="43"/>
  <c r="E153" i="51"/>
  <c r="E148" i="51" l="1"/>
  <c r="E10" i="52"/>
  <c r="E14" i="52"/>
  <c r="E6" i="52"/>
  <c r="E21" i="43"/>
  <c r="E52" i="43"/>
  <c r="E45" i="43"/>
  <c r="E37" i="43"/>
  <c r="E29" i="43"/>
  <c r="E165" i="51"/>
  <c r="E161" i="51"/>
  <c r="E136" i="51"/>
  <c r="E130" i="51"/>
  <c r="E126" i="51"/>
  <c r="E35" i="51"/>
  <c r="E6" i="51"/>
  <c r="C2" i="53"/>
  <c r="C1" i="53"/>
  <c r="E28" i="51" l="1"/>
  <c r="E6" i="43" l="1"/>
  <c r="C2" i="52" l="1"/>
  <c r="C1" i="52"/>
  <c r="C2" i="51" l="1"/>
  <c r="C1" i="51"/>
  <c r="C2" i="43" l="1"/>
  <c r="C1" i="43"/>
</calcChain>
</file>

<file path=xl/sharedStrings.xml><?xml version="1.0" encoding="utf-8"?>
<sst xmlns="http://schemas.openxmlformats.org/spreadsheetml/2006/main" count="1228" uniqueCount="439">
  <si>
    <t>dokument / document:</t>
  </si>
  <si>
    <t>stavebný objekt / building objects:</t>
  </si>
  <si>
    <t>Kód / Code</t>
  </si>
  <si>
    <t>stavební objekt / building object:</t>
  </si>
  <si>
    <t>revize dokumentu / document revision:</t>
  </si>
  <si>
    <t>aktuální stav ke dni / current situation at:</t>
  </si>
  <si>
    <t>SYSTÉM KÓDOVÁNÍ / CODING SYSTEM</t>
  </si>
  <si>
    <t>Pořadí vrstev / Order of layers</t>
  </si>
  <si>
    <t>Technická specifikace / Technical specifications</t>
  </si>
  <si>
    <t>Tloušťka / Thickness (mm)</t>
  </si>
  <si>
    <t>Referenční výrobek / Reference product</t>
  </si>
  <si>
    <t>Celková tl.. / Total thickness (mm)</t>
  </si>
  <si>
    <t>FF</t>
  </si>
  <si>
    <t xml:space="preserve">                     FF-00</t>
  </si>
  <si>
    <t xml:space="preserve">                   WF-00</t>
  </si>
  <si>
    <t>Železebetonová deska</t>
  </si>
  <si>
    <t>Celoplošné přilepení.Universální disperzní lepidlo.</t>
  </si>
  <si>
    <t>Penetrace</t>
  </si>
  <si>
    <t>WF</t>
  </si>
  <si>
    <t>CF</t>
  </si>
  <si>
    <t xml:space="preserve">                    CF-00</t>
  </si>
  <si>
    <t>číselník (2 číslice) / number</t>
  </si>
  <si>
    <t>POZNÁMKA / NOTE</t>
  </si>
  <si>
    <t>TABULKA SKLADEB A POVRCHŮ /  SURFACES AND STRUCTURES TABLE</t>
  </si>
  <si>
    <t xml:space="preserve">Tvar kódu SKLADEB PODLAH / FLOOR STRUCTURE Code type </t>
  </si>
  <si>
    <t xml:space="preserve">Tvar kódu SKLADEB STĚN / WALL STRUCTURE Code type </t>
  </si>
  <si>
    <t>Tvar kódu SKLADEB PODHLEDŮ / SUSPENDED CEILING STRUCTURE Code type</t>
  </si>
  <si>
    <t>PŘÍLOHY / ANNEXES</t>
  </si>
  <si>
    <t>UVEDENÉ ROZMĚRY A POZICE (KONSTRUKCÍ, ROZVODŮ, TZB..) JSOU JEN ORIENTAČNÍ, ZHOTOVITEL JE POVINEN ZAMĚŘIT SKUTEČNÝ STAV NA MÍSTĚ STAVBY. TATO PROJEKTOVÁ DOKUMENTACE SLOUŽÍ PRO POTŘEBY REALIZACE DÍLA, OVŠEM NENAHRAZUJE DÍLENSKOU DOKUMENTACI.
V PŘÍPADĚ ZMĚNY PODKLADŮ, ČI VZNIKU NOVÝCH SKUTEČNOSTÍ JE NUTNÉ INFORMOVAT PROJEKTANTA A DÁLE POSTUPOVAT AŽ PO KOORDINACI, VYDÁNÍ A SCHVÁLENÍ ZMĚNY V PROJEKTOVÉ DOKUMENTACI. V PŘÍPADĚ ROZPORU MEZI JEDNOTLIVÝMI PŘÍLOHAMI V PROJEKTOVÉ DOKUMENTACI JE POTŘEBNÉ NA TENTO ROZPOR UPOZORNIT A VYŽÁDAT SI OFICIÁLNÍ STANOVISKO PROJEKTANTA. DOKUMENTACE BYLA ZPRACOVÁNA NA ZÁKLADĚ INFORMACÍ, PODKLADŮ A ZNALOSTÍ PLATNÝCH KE DNI VYDÁNÍ DOKUMENTACE.
DODAVATEL STAVBY MUSÍ DBÁT NA DODRŽOVÁNÍ MONTÁŽNÍCH A TECHNOLOGICKÝCH POKYNŮ PŘÍSLUŠNÝCH VÝROBCŮ STAVEBNÍCH PRVKŮ A KONSTRUKCÍ UVEDENÝCH V TÉTO DOKUMENTACI. DOKUMENTACI JE MOŽNÉ UŽÍVAT VÝHRADNĚ A BEZ VYJÍMKY VE SMYSLU SMLOUVY O DÍLO. DOKUMENTACE JE POVAŽOVÁNA ZA RELEVANTNÍ JEN JAKO CELEK PODLE PLATNÉHO SEZNAMU DOKUMENTACE. NAVRŽENÉ VÝROBKY A MATERIÁLY BUDOU ZHOTOVITELEM PŘEDLOŽENÉ KE SCHVÁLENÍ V RÁMCI VZORKOVÁNÍ. PŘESNÉ UMÍSTĚNÍ KONCOVÝCH PRVKŮ V PODHLEDECH BUDE REALIZOVANÉ PODLE VÝKRESU PODHLEDŮ V ARCHITEKTONICKO-STAVEBNÍ ČÁSTI.
PROJEKT INTERIÉRU JE ŘEŠEN SAMOSTATNOU DOKUMENTACÍ.</t>
  </si>
  <si>
    <t>Systémové zavěšení</t>
  </si>
  <si>
    <t>Pevný SDK podhled</t>
  </si>
  <si>
    <t>Pevný SDK podhled do vlhka</t>
  </si>
  <si>
    <t>F</t>
  </si>
  <si>
    <t>01</t>
  </si>
  <si>
    <t>BYTOVÝ SOUBOR LIBUŠE</t>
  </si>
  <si>
    <t>Vinylové dílce</t>
  </si>
  <si>
    <t>Železobeton</t>
  </si>
  <si>
    <t>Cihelné pásky Terca</t>
  </si>
  <si>
    <t>Jádrová omítka</t>
  </si>
  <si>
    <t>Lepidlo</t>
  </si>
  <si>
    <t>Obvodové zdivo keramické s vloženou minerální vatou</t>
  </si>
  <si>
    <t>keramické tvárnice broušené P+D vyplněné minerální vatou</t>
  </si>
  <si>
    <t>Nosné zdivo keramické akustické</t>
  </si>
  <si>
    <t>suterenní obvodová stěna</t>
  </si>
  <si>
    <t>nadzemní obvodová stěna - zdivo</t>
  </si>
  <si>
    <t>vnitřní nosná stěna - železobeton</t>
  </si>
  <si>
    <t>obvodová stěna - nadezdívky</t>
  </si>
  <si>
    <t>Podkladová cementová deska</t>
  </si>
  <si>
    <t>Hydroizolační fólie</t>
  </si>
  <si>
    <t>Systémová penetrace</t>
  </si>
  <si>
    <t>Ocelové nosné fasádní profily C3 vyplněné tepelnou izolací</t>
  </si>
  <si>
    <t>Nosná ocelová konstrukce vyplněná tepelnou izolací</t>
  </si>
  <si>
    <t>Ocelová konstrukce instalační předstěny vyplněná tepelnou izolací</t>
  </si>
  <si>
    <t>Parozábrana</t>
  </si>
  <si>
    <t>Záklop z podkladových desek</t>
  </si>
  <si>
    <t>Knauf UW50 + CW50</t>
  </si>
  <si>
    <t>Vnitřní SDK záklop dvojitý</t>
  </si>
  <si>
    <t>Lepidlo s výztužnou tkaninou</t>
  </si>
  <si>
    <t>Příčkové zdivo keramické</t>
  </si>
  <si>
    <t>Neomítnutá vnitřní strana instalační šachty</t>
  </si>
  <si>
    <t>střecha sedlová</t>
  </si>
  <si>
    <t>RF</t>
  </si>
  <si>
    <t>Laťování - vzduchová mezera</t>
  </si>
  <si>
    <t>Laťování - provětrávaná mezera</t>
  </si>
  <si>
    <t>Pojistná hydroizolace</t>
  </si>
  <si>
    <t>Ocelové krokve vyplněné minerální izolací</t>
  </si>
  <si>
    <t>vnitřní zdivo instalačních šachet</t>
  </si>
  <si>
    <t>vnitřní příčkové zdivo</t>
  </si>
  <si>
    <t>vnitřní nosná stěna - zdivo</t>
  </si>
  <si>
    <t>vegetační střecha nad suterénem</t>
  </si>
  <si>
    <t>vegetační vrstva</t>
  </si>
  <si>
    <t>Separační textilie</t>
  </si>
  <si>
    <t>Drenážní vrstva</t>
  </si>
  <si>
    <t>Tepelná izolace</t>
  </si>
  <si>
    <t>Spádové klíny</t>
  </si>
  <si>
    <t>Nosná železobetonová deska</t>
  </si>
  <si>
    <t>Asfaltová penetrace</t>
  </si>
  <si>
    <t>terasa nad suterénem</t>
  </si>
  <si>
    <t>Pochozí vrstva na rektifikačních terčích</t>
  </si>
  <si>
    <t>balkony</t>
  </si>
  <si>
    <t>10</t>
  </si>
  <si>
    <t>SBS modifikovaný asfaltový pás celoplošně natavený</t>
  </si>
  <si>
    <t>podlaha na terénu</t>
  </si>
  <si>
    <t>podlaha nad suterénem - dlažba</t>
  </si>
  <si>
    <t>podlaha nad suterénem - vinyl</t>
  </si>
  <si>
    <t>podlaha běžná - dlažba</t>
  </si>
  <si>
    <t>podlaha běžná - vinyl</t>
  </si>
  <si>
    <t>Železobetonová deska</t>
  </si>
  <si>
    <t>Podkladní beton</t>
  </si>
  <si>
    <t>Tepelná izolace z minerální vlny</t>
  </si>
  <si>
    <t>Kročejová izolace</t>
  </si>
  <si>
    <t>Cementový potěr</t>
  </si>
  <si>
    <t xml:space="preserve">Tvar kódu POVRCHU / FINISH Code type </t>
  </si>
  <si>
    <t xml:space="preserve">                   F-00</t>
  </si>
  <si>
    <t xml:space="preserve">Tvar kódu SKLADEB STŘECH / ROOF STRUCTURE Code type </t>
  </si>
  <si>
    <t xml:space="preserve">                   RF-00</t>
  </si>
  <si>
    <t>Omítková stěrka v imitaci betonu</t>
  </si>
  <si>
    <t>podhled chodeb</t>
  </si>
  <si>
    <t>podhled koupelen a wc</t>
  </si>
  <si>
    <t>Cementová deska</t>
  </si>
  <si>
    <t>podhled balkónu a objektových vstupů</t>
  </si>
  <si>
    <t>vnitřní nosná stěn instalační šachty - železobeton</t>
  </si>
  <si>
    <t>Pevný podhled do vlhka</t>
  </si>
  <si>
    <t>viz Stavebně-konstrukční část projektu</t>
  </si>
  <si>
    <t>rampa do garáže</t>
  </si>
  <si>
    <t>Železobetonová pojížděná deska</t>
  </si>
  <si>
    <t>Pochozí dlažba</t>
  </si>
  <si>
    <t>Spádové klíny XPS</t>
  </si>
  <si>
    <t>viz část projektu Komunikace</t>
  </si>
  <si>
    <t>ocelové systémové profily CW75</t>
  </si>
  <si>
    <t>SDK záklop</t>
  </si>
  <si>
    <t>odsazení od zděné stěny</t>
  </si>
  <si>
    <t>ocelové systémové profily CW100</t>
  </si>
  <si>
    <t>střecha nad výtahovou šachtou</t>
  </si>
  <si>
    <t>-</t>
  </si>
  <si>
    <t>Venkovní tenkovrstvý omítkový systém</t>
  </si>
  <si>
    <t>podlaha nad exteriérem</t>
  </si>
  <si>
    <t>Instalační vrstva</t>
  </si>
  <si>
    <t>Liapor Mix</t>
  </si>
  <si>
    <t>Dřevěná terasová prkna</t>
  </si>
  <si>
    <t>Keramická dlažba exteriérová</t>
  </si>
  <si>
    <t>beton C12/15 X0</t>
  </si>
  <si>
    <t>ISOVER Top V Final</t>
  </si>
  <si>
    <t>14</t>
  </si>
  <si>
    <t>Železobeton/zdivo</t>
  </si>
  <si>
    <t>nadzemní obvodová stěna - žb parapet 3.np objektu A</t>
  </si>
  <si>
    <t>chodník nad suterénem - vstupy do objektů</t>
  </si>
  <si>
    <t>ozn. Typu / type mark</t>
  </si>
  <si>
    <t>Jednosložková hmota na bázi cementu pro lepení keramických dlažeb</t>
  </si>
  <si>
    <t>Vyrovnávací vrstva</t>
  </si>
  <si>
    <t>Separece</t>
  </si>
  <si>
    <t>izolační fasádní desky s minerální čedičové vlny,Čedičová vlna λ = 0,040, Pevnost v tahu TR 30 kPa</t>
  </si>
  <si>
    <t>Cementový postřik</t>
  </si>
  <si>
    <t>Cementová malta pro úpravu podkladu</t>
  </si>
  <si>
    <t>Adhézní spojovací můstek</t>
  </si>
  <si>
    <t>Penetrace pro tenkovrstvé omítky</t>
  </si>
  <si>
    <t>Tenkovrstvá pastovitá omítka</t>
  </si>
  <si>
    <t>Železobetonový parapet</t>
  </si>
  <si>
    <t>Výztužná vrstva</t>
  </si>
  <si>
    <t>Keramická pálená krytina skládaná</t>
  </si>
  <si>
    <t>Fólie s hliníkovou vložkou</t>
  </si>
  <si>
    <t>Nadkrokevní dřevěné kontralatě vyplněné minerální izolací</t>
  </si>
  <si>
    <t>Exteriérová tentovrstvá omítka dle vzoru odsouhlaseného architektem</t>
  </si>
  <si>
    <t>Systémová hydroizolační fólie</t>
  </si>
  <si>
    <t>HEB 220 vč. zavětrování - viz Stavebně-konstrukční část projektu, vyplněno tepelnou izolací  z minerální skelné vlny</t>
  </si>
  <si>
    <t>Cementová podkladní deska pro venkovní použití kotvená do pomocných ocelových systémových profilů s protikorozní úpravou min. C3</t>
  </si>
  <si>
    <t>Ocelové nosné fasádní profily s protikorozní úpravou min. C3 vyplněné tepelnou izolací z minerální skelné vlny</t>
  </si>
  <si>
    <t>Systémové ocelové profily vyplněné tepelnou izolací z minerální skelné vlny tl.30mm</t>
  </si>
  <si>
    <t>Knauf UW50/CW50 + Isover Multimax 30</t>
  </si>
  <si>
    <t>substrát - viz Sadové úpravy, tl. 300-400mm</t>
  </si>
  <si>
    <t>Drenážní vrstva z nopové fólie</t>
  </si>
  <si>
    <t>chodník nad suterénem - průchod - upravit dle PD Komunikace 304.900 - 305.450</t>
  </si>
  <si>
    <t>Štěrkové lóže tl.340-710 pro vyrovnání spádu</t>
  </si>
  <si>
    <t>suterenní obvodová stěna - podsoklová část (1,0m pod terén)</t>
  </si>
  <si>
    <t>03</t>
  </si>
  <si>
    <t>nadzemní obvodová stěna - soklové zdivo</t>
  </si>
  <si>
    <t>Hydroizolační vrstva</t>
  </si>
  <si>
    <t>nadzemní obvodová stěna - železobeton štít schodiště k šikmé střeše</t>
  </si>
  <si>
    <t>Povrchová úprava</t>
  </si>
  <si>
    <t>viz Tabulka povrchů</t>
  </si>
  <si>
    <t>viz Tabulka Místností a Tabulka Povrchů</t>
  </si>
  <si>
    <t>nadzemní obvodová stěna u střechy - atika ke hřebeni</t>
  </si>
  <si>
    <t>nadzemní obvodová stěna u střechy - atika k šikmé střeše</t>
  </si>
  <si>
    <t>nadzemní obvodová stěna u střechy - atika obvodová</t>
  </si>
  <si>
    <t>nadzemní obvodová stěna u střechy - k výtahové nebo instalační šachtě</t>
  </si>
  <si>
    <t>17</t>
  </si>
  <si>
    <t>nadzemní obvodová stěna - boky balkónu</t>
  </si>
  <si>
    <t>Podkladová deska srovnávací deska</t>
  </si>
  <si>
    <t>18</t>
  </si>
  <si>
    <t>nadzemní obvodová stěna - zdivo balkónu</t>
  </si>
  <si>
    <t>19</t>
  </si>
  <si>
    <t>Vyzdívka z keramického zdiva</t>
  </si>
  <si>
    <t>nadzemní obvodová stěna - nadpraží balkónu</t>
  </si>
  <si>
    <t>2x keramický překlad</t>
  </si>
  <si>
    <t>GUTTA</t>
  </si>
  <si>
    <t>Rektifikovatelné terče pod dlažbu</t>
  </si>
  <si>
    <t>Rektifikovatelné terče pod prkna</t>
  </si>
  <si>
    <t>Keramické obkladové pásky</t>
  </si>
  <si>
    <t>Keramická pálená skládaná krytina</t>
  </si>
  <si>
    <t>Keramická dlažba</t>
  </si>
  <si>
    <t>Povrch podlahy - společné prostory - nadzemní část</t>
  </si>
  <si>
    <t>Povrch podlahy - bytové jednotky - pobytové místnosti</t>
  </si>
  <si>
    <t>Povrch stěn - společné chodby a schodiště</t>
  </si>
  <si>
    <t>Povrch stěn - bytové jednotky - koupelny a wc</t>
  </si>
  <si>
    <t>Povrch fasády - obklad</t>
  </si>
  <si>
    <t>Povrch podlahy exteriérový - balkóny</t>
  </si>
  <si>
    <t>Povrch podlahy exteriérový - terasy</t>
  </si>
  <si>
    <t>Povrch podlahy 1PP - vjezdová rampa</t>
  </si>
  <si>
    <t>Povrch střešní krytiny</t>
  </si>
  <si>
    <t>Povrch fasády - probarvená omítka</t>
  </si>
  <si>
    <t>Tenkovrstvá pastovitá omítka připravená pro okamžité použití pro vytváření finálních povrchových úprav stěn ve vnějším i vnitřním prostředí. Barevnost SE10 antracitová  - specifikaci potvrdí architekt v rámci vzorkování</t>
  </si>
  <si>
    <t>terasa bytů ve 3.np objektu B</t>
  </si>
  <si>
    <t>Bezprašný nátěr</t>
  </si>
  <si>
    <t>viz část projektu Komunikace - proměnlivá výška upravit podle nivelety chodníku</t>
  </si>
  <si>
    <t>Povrch stěn a stropů - bytové jednotky - pobytové místnosti a obchodní jednotky</t>
  </si>
  <si>
    <t>Povrch stropů 1PP - tepelná izolace</t>
  </si>
  <si>
    <t>SDK předstěna tl.100mm - v.1400mm</t>
  </si>
  <si>
    <t>SDK předstěna tl.150mm - v.1400mm</t>
  </si>
  <si>
    <t>SDK předstěna tl.100mm - v.100mm nad podhled</t>
  </si>
  <si>
    <t>SDK předstěna tl.150mm - v.100mm nad podhled</t>
  </si>
  <si>
    <t>Povrch venkovních cementových desek - balkóny a venkovní podhledy</t>
  </si>
  <si>
    <t>Povrch sádrokartonových konstrukcí - otěruvzdorná výmalba</t>
  </si>
  <si>
    <t>Systémové zavěšení pro venkovní použití se zvýšenou odolností proti korozi</t>
  </si>
  <si>
    <t>Speciální, vodou ředitelný dezinfekční roztok k ošetření ploch, napadených řasami a plísněmi</t>
  </si>
  <si>
    <t>Mezinátěr</t>
  </si>
  <si>
    <t>Plněný, pigmentovaný, organický mezinátěr</t>
  </si>
  <si>
    <t>1komponentní nátěr, na bázi vodní disperze, zvyšující přilnavost následně aplikovaných vrstev k podkladu</t>
  </si>
  <si>
    <t>Základní nátěr</t>
  </si>
  <si>
    <t>Povrch stěn - železobetonové stěny a stropů v 1.PP</t>
  </si>
  <si>
    <t>nadzemní obvodové stěny - věnce</t>
  </si>
  <si>
    <t>Železobetonový věnec</t>
  </si>
  <si>
    <t>90</t>
  </si>
  <si>
    <t>vnitřní zdivo podezdívek van</t>
  </si>
  <si>
    <t>keramické příčkovky broušené P+D na maltu pro tenké spáry</t>
  </si>
  <si>
    <t>Příčkové zdivo pórobetonové pro podezdívky</t>
  </si>
  <si>
    <t>Štěrkové lóže tl.117-207 pro vyrovnání spádu</t>
  </si>
  <si>
    <t>Penetreční polyuretanový nátěr garážové pojezdové plochy, přímopojížděný vícevrstvý polyuretanový systém pro parkovací plochy s překlenutím dodatečných dynamických trhlin (až 0,3 mm), odolávající ropným látkám a solím</t>
  </si>
  <si>
    <t>Penetrační nátěr na bázi akrylátové disperze, spotřeba  0,1–0,3 l směsi/m2, na jednu nátěrovou vrstvu, podle nasákavosti podkladu (při ředění vodou 1 : 3 = 0,025 l–0,075 l/m2)</t>
  </si>
  <si>
    <t>např.Sika CZ</t>
  </si>
  <si>
    <t>např. Rako Extra</t>
  </si>
  <si>
    <t>Ředený podkladní nátěr na bázi akrylátové disperze.</t>
  </si>
  <si>
    <t>Penetrační nátěr a vsyp</t>
  </si>
  <si>
    <t>např. Gerfloor Creation 55</t>
  </si>
  <si>
    <t>např. Weberfloor 4815</t>
  </si>
  <si>
    <t>Vinylové dílce lepené; rozměr 230 x 1500 mm; protiskluznost tř. R 10;  třída reakce na oheň B; třída zátěže min. 31; vč. soklové lišty bílé, dekor viz. architekt</t>
  </si>
  <si>
    <t>Jednosložková samonivelační hmota na bázi cementu; pevnost v tlaku min. 20MPa</t>
  </si>
  <si>
    <t>Otěruvzdorný nátěr</t>
  </si>
  <si>
    <t>Vnitřní disperzní malířský nátěr e 2 vrstvách; světle šedý;  barevný odstín viz. architekt</t>
  </si>
  <si>
    <t>Penetrační nátěr pro disperzní nátěry</t>
  </si>
  <si>
    <t>např. Primalex Inspiro</t>
  </si>
  <si>
    <t>např. Primalex univerzální penetrace</t>
  </si>
  <si>
    <t>Sádrová omítka</t>
  </si>
  <si>
    <t>Můstek</t>
  </si>
  <si>
    <t>např. Cemix spojovací můstek</t>
  </si>
  <si>
    <t>např. Cemix 016 j</t>
  </si>
  <si>
    <t>Sádrová omítka zrnitosti do 0,4mm, zahlazen nerezovým hladítkem, přechody mezi různými materiály a rohy vyztužit síťovinou</t>
  </si>
  <si>
    <t>např. Primalex Polar</t>
  </si>
  <si>
    <t>Vnitřní disperzní malířský nátěr e 2 vrstvách; bílý;  odstín viz. architekt</t>
  </si>
  <si>
    <t>Povrch podlahy - bytové jednotky - koupelny</t>
  </si>
  <si>
    <t>Povrch podlahy - bytové jednotky - chodby a obchodní jednotky</t>
  </si>
  <si>
    <t>Dle použitého sytému</t>
  </si>
  <si>
    <t>např. Cemix penetrace H</t>
  </si>
  <si>
    <t>Dle použitého systému</t>
  </si>
  <si>
    <t>Hydroizolace</t>
  </si>
  <si>
    <t>např. Cemix Cemelastik IN</t>
  </si>
  <si>
    <t>Jednosložková disperzní hydroizoalční stěrka.</t>
  </si>
  <si>
    <t>např. Cemix 082 j</t>
  </si>
  <si>
    <t>např. Cemix Flex Extra Plus 095</t>
  </si>
  <si>
    <t>např. Cemix Flex Extra Plus 045</t>
  </si>
  <si>
    <t>např. Cemix 060</t>
  </si>
  <si>
    <t>např. Cemix lepidlo flex extra 045</t>
  </si>
  <si>
    <t>Flexibilní cementové lepidlou pro lepení keramických dlažeb</t>
  </si>
  <si>
    <t>Jemná jádrová omítka zrnitosti do 1,2mm, povrch zahlazen filcovým hladítkem, max. nerovnosti povrchu do 3mm</t>
  </si>
  <si>
    <t>vsyp pro pancéřové betonové podlahy se střední a vyšší provozní zátěží, směs speciálních cementů, kompatibilních chemických přísad a tříděných tvrdých plniv s vyšším obsahem zrn vysokého lesku, prováděno ve dvou krocích. Celkové množství vsypu 5kg/m2, povrch zdrsněn metličkovou úpravou. Vsyp vč. ošetření čerstvé směsi akrylátovým nátěrem (0,1-0,2l/m2). Zvýšená odolnost povrchu proti vsakování ropných látek a silničních solí. Systémové uzavření dilatačních spar v ploše a na obvodu. Odolnost v obrusu max. 0,04mm.</t>
  </si>
  <si>
    <t>Keramický obklad</t>
  </si>
  <si>
    <t>Flexibilní cementové lepidlo.</t>
  </si>
  <si>
    <t>Dle použitého sytému.</t>
  </si>
  <si>
    <t>např. Rako Quarzit Outdoor</t>
  </si>
  <si>
    <t>Slinutá keramická dlažba kalibrovaná 600x600mm; protiskluznost tř. R 11; Světle šedá; dekor viz. architekt</t>
  </si>
  <si>
    <t>Teleskopické plastové terče pro dlažbu na pryžových podložkách.</t>
  </si>
  <si>
    <t>Ražený keramický obkladový pásek formát 215 x 65mm, vč. spárovací hmoty, dle výběru architekta</t>
  </si>
  <si>
    <t>např. Terca Excelbond, C2TE S1</t>
  </si>
  <si>
    <t>např. Terca + Polyblend S</t>
  </si>
  <si>
    <t>Tenkostěná mrazuvzdorná cementová lepící malta pro obkladové pásky.</t>
  </si>
  <si>
    <t>Dřevěné latě 70x42</t>
  </si>
  <si>
    <t>Nastavitelné kompozitní terče, vč. pryžových podložek.</t>
  </si>
  <si>
    <t>Modřínové podkladní latě pro terasy hloubkově impregnované.</t>
  </si>
  <si>
    <t>Rýhovaná prkna 24 x 136 mm, sibiřský modřín, vč. olejpvého nátěru a nerezových vrutů 5 x 60 mm.</t>
  </si>
  <si>
    <t>např. Asko</t>
  </si>
  <si>
    <t>např. Sikafloor®-359 N</t>
  </si>
  <si>
    <t>Povrch podlahy 1PP - pojezdová plocha garáže</t>
  </si>
  <si>
    <t>např. Křemičitý písek (QS) o zrnitosti 0,3–0,8 mm</t>
  </si>
  <si>
    <t>např. Sikafloor®-3240 + plnivo křem. písek zrnitosti 0,1–0,3 mm, v poměru pryskyřice : písek 1 : 0,5</t>
  </si>
  <si>
    <t>např. Sikafloor®-156</t>
  </si>
  <si>
    <t>Povrch podlahy 1PP - pochozí plocha chodby, sklady, technické místnosti</t>
  </si>
  <si>
    <t>např. Sikafloor®-2540 W</t>
  </si>
  <si>
    <t>např. Sikafloor®-2540 W + 5% vody</t>
  </si>
  <si>
    <t>např. Sika® Level-01 Primer</t>
  </si>
  <si>
    <t>1. Epoxidový nátěr</t>
  </si>
  <si>
    <t>Dvoukomponentní uzavírací barevný nátěr na bázi epoxidové pryskyřice, spotřeba 0,2–0,3 kg/m2</t>
  </si>
  <si>
    <t>2. Epoxidový nátěr</t>
  </si>
  <si>
    <t>Dvoukomponentní barevný uzavírací nátěr na bázi polyuretanové 
pryskyřice, spotřeba 0,7–0,9 kg/m2</t>
  </si>
  <si>
    <t>Kotvicí posyp ze sušeného, tříděného křemičitého písku o zrnitosti 0,3–0,8 mm, spotřeba 6–8 kg/m2</t>
  </si>
  <si>
    <t>Kotvící posyp ze sušeného, tříděného křemičitého písku o zrnitosti 0,3–0,8 mm, spotřeba 0,8 kg/m2</t>
  </si>
  <si>
    <t>Dvoukomponentní barevná samonivelační stěrka na bázi polyuretanové pryskyřice + plnivo, tříděný, sušený křemičitý písek, spotřeba 2 kg/m2 Sikafloor®-3240 + 0,1 kg/m2 plniva</t>
  </si>
  <si>
    <t>Dvoukomponentní nízkoviskózní kotevní nátěr na bázi epoxidové pryskyřice, spotřeba cca 0,3–0,5 kg/m2</t>
  </si>
  <si>
    <t>např. Tondach</t>
  </si>
  <si>
    <t>Bobrovka 19 x 40mm ve 2 vrstvách, vazba šupinová, kulatý řez - specifikaci potvrdí architekt</t>
  </si>
  <si>
    <t>např. Cemix ACTIVCEM</t>
  </si>
  <si>
    <t>Transparentní bezbarvý uzavírací nátěr betonových stěn</t>
  </si>
  <si>
    <t>např. Sikagard®-555 W Elastic</t>
  </si>
  <si>
    <t>např. Sikagard®-552 W Aquaprimer</t>
  </si>
  <si>
    <t>např. Cemix Superfix</t>
  </si>
  <si>
    <t>např. ISOVER Top V Final</t>
  </si>
  <si>
    <t>Bezkotevní cementová lepící hmota.</t>
  </si>
  <si>
    <t>např. StoBetonOptik</t>
  </si>
  <si>
    <t>např. Sto Putzgrund</t>
  </si>
  <si>
    <t>např. StoPrim Fungal</t>
  </si>
  <si>
    <t>Vápenocementová omítka</t>
  </si>
  <si>
    <t>např. Cemix 073</t>
  </si>
  <si>
    <t>Jednovrstvá vápenocementová omítka  zrnitosti do 0,7mm, přechody mezi různými materiály a rohy vyztužit síťovinou</t>
  </si>
  <si>
    <t>Povrch stěn a stropů - suterén - sklepy, tech. místnosti, garáže</t>
  </si>
  <si>
    <t>Povrch podlahy - obchodní jednotky - prodejní plocha, chodby, sklady</t>
  </si>
  <si>
    <t>Povrch podlahy - obchodní jednotky - WC</t>
  </si>
  <si>
    <t>PE folie</t>
  </si>
  <si>
    <t>např. Deksepar</t>
  </si>
  <si>
    <t>např. Cemix 020</t>
  </si>
  <si>
    <t>Cementový potěr třídy pevnosti v tahu při ohybu F5 podle EN 13813, pevnost v tlaku 25 MPa, kari síť 150/150/4, vč. dilatační okrajové pásky, dilatovat v roztečích max. 6x6m nebo při proměru stran větších než 1:2.</t>
  </si>
  <si>
    <t>Roznášecí vrstva s kari sítí</t>
  </si>
  <si>
    <t xml:space="preserve">Minerální hydrofobizovaná vlna, dynamická tuhost 23MN/m3 </t>
  </si>
  <si>
    <t>např. Isover N</t>
  </si>
  <si>
    <t>Polysterén beton PSB 50; max. 400 kg/m3 (v suchém stavu)</t>
  </si>
  <si>
    <t>Zásyp stavební jámy</t>
  </si>
  <si>
    <t>např. Cemix ASN Top</t>
  </si>
  <si>
    <t>Lepící a stěrková hmota vč. výztužné tkaniny</t>
  </si>
  <si>
    <t>SBS asfaltový pás</t>
  </si>
  <si>
    <t>Cihelné pásky</t>
  </si>
  <si>
    <t>Knauf GKB</t>
  </si>
  <si>
    <t>Vodostavebný železobeton, viz Stavebně-konstrukční část projektu</t>
  </si>
  <si>
    <t>např. Glastek 40</t>
  </si>
  <si>
    <t>např. DEKPERIMETER SD 150</t>
  </si>
  <si>
    <t>např. Cemix Comfort 135</t>
  </si>
  <si>
    <t>např. Cemix Kontakt</t>
  </si>
  <si>
    <t>Ochranná vrstva</t>
  </si>
  <si>
    <t>Netkaná geotextilie 300g/m2</t>
  </si>
  <si>
    <t>např. Filtek 300</t>
  </si>
  <si>
    <t>Izolační fasádní desky s minerální čedičové vlny, min. součinitel tel. vodivosti λ = 0,040 W/mK, Pevnost v tahu TR 30 kPa</t>
  </si>
  <si>
    <t>Modifikovaný SBS asfaltový pás s nosnou vložkou ze skelné tkaniny</t>
  </si>
  <si>
    <t>např. Dekprimer</t>
  </si>
  <si>
    <t>Asfaltová penetrační emulze</t>
  </si>
  <si>
    <t xml:space="preserve">Lepící hmota </t>
  </si>
  <si>
    <t>např. Cemix 052</t>
  </si>
  <si>
    <t>např. Porotherm 38TBS Profi</t>
  </si>
  <si>
    <t>např. Cemix 012</t>
  </si>
  <si>
    <t>Vápenocementová jádrová omítka</t>
  </si>
  <si>
    <t>např. Porotherm 44TB Profi</t>
  </si>
  <si>
    <t>Extrudovaný polystaren (XPS) nenasákavý, min. součinitel tel. vodivosti λ = 0,034 W/mK</t>
  </si>
  <si>
    <t>Desky EPS 70 F z expandovaného fasádního pěnového polystyrenu; min. součinitel tel. vodivosti λ = 0,039 W/mK; vč. kotvících hmoždinek</t>
  </si>
  <si>
    <t>Cementová lepící hmota.</t>
  </si>
  <si>
    <t>Adhézní spojovací můstek.</t>
  </si>
  <si>
    <t>SDK desky 2 x 12.5mm, neimpregnované</t>
  </si>
  <si>
    <t>např. systém Knauf</t>
  </si>
  <si>
    <t>např. Knauf GKB</t>
  </si>
  <si>
    <t>např. ISOVER EPS 70F</t>
  </si>
  <si>
    <t>Keramické tvárnice broušené akustické P+D</t>
  </si>
  <si>
    <t>např. Porotherm 25 AKU SYM</t>
  </si>
  <si>
    <t>např. Knauf Aquapanel Outdoor</t>
  </si>
  <si>
    <t>Cementová podkladní deska pro venkovní použití kotvená do pomocných ocelových systémových profilů s protikorozní úpravou min. C3.</t>
  </si>
  <si>
    <t>Flexibilní cementové lepidlo</t>
  </si>
  <si>
    <t>Keramické tvárnice broušené P+D vyplněné minerální vatou</t>
  </si>
  <si>
    <t>např. Porotherm KP11,5</t>
  </si>
  <si>
    <t>např. Knauf Aquapanel Hydroizolace</t>
  </si>
  <si>
    <t>KEW profile 150 + např. Isover Multimax 30</t>
  </si>
  <si>
    <t>ocel + např. Isover Multiplat 35</t>
  </si>
  <si>
    <t>např. Dekfon N AL 170 Special</t>
  </si>
  <si>
    <t>SDK deska 12.5 mm pro vnitřní použití kotvená do pomocných ocelových systémových profilů C3</t>
  </si>
  <si>
    <t>např. Ytong Klasik 50</t>
  </si>
  <si>
    <t>Pórobetonové příčkové tvárnice na lepidlo</t>
  </si>
  <si>
    <t>Profily UW100 + CW100 vč.výztuh a prvků pro kotvení zařizovacích předmětů</t>
  </si>
  <si>
    <t>Profily UW75 + CW75</t>
  </si>
  <si>
    <t>např. Knauf GKBi</t>
  </si>
  <si>
    <t>SDK desky 2 x 12.5mm, impregnované</t>
  </si>
  <si>
    <t>SDK deska 12.5mm, impregnovaná</t>
  </si>
  <si>
    <t>např. Knauf D112</t>
  </si>
  <si>
    <t>např. Knauf</t>
  </si>
  <si>
    <t>např. Knauf Aquapanel</t>
  </si>
  <si>
    <t>SDK deska 12.5mm, neimpregnovaná</t>
  </si>
  <si>
    <t>Systémové zavěšení ve 2 vrstvách, 2 x CD 60x27</t>
  </si>
  <si>
    <t>Netkaná textilie ze 100% polypropylenu, 300 g/m2</t>
  </si>
  <si>
    <t>např. DEKPLAN 77</t>
  </si>
  <si>
    <t>mPVC fólie 1,5mm s výztužnou tkaninou, určená pro zatěžovací vrstvy a odolná prorůstání kořenů</t>
  </si>
  <si>
    <t>např. Glastek AL 40 mineral</t>
  </si>
  <si>
    <t>např. Isover EPS 150</t>
  </si>
  <si>
    <t>Asfaltová vodou ředitelná emulze</t>
  </si>
  <si>
    <t>Stabilizovaný pěnový polystyren EPS 150, spád min.2%, λ = 0,035 W/mK,t rvalá zatížitelnost v tlaku max. 3000 kg/m2 při def. &lt; 2%, tl. 50-150mm</t>
  </si>
  <si>
    <t>např. Filtek 200</t>
  </si>
  <si>
    <t>Netkaná textilie ze 100% polypropylenu, 200 g/m2</t>
  </si>
  <si>
    <t>např. Isover EPS 200</t>
  </si>
  <si>
    <t>Stabilizovaný pěnový polystyren EPS 200, λ = 0,034 W/mK,t rvalá zatížitelnost v tlaku max. 3600 kg/m2 při def. &lt; 2%</t>
  </si>
  <si>
    <t>např. Dekdren T20 garden</t>
  </si>
  <si>
    <t>Perforovaná nopová HDPE folie, tl. stěny 1mm</t>
  </si>
  <si>
    <t>Dřevěné nosné střešní latě 30x40 mm ze smrkového dřeva řádné vysušeného s hloubkovou impregnací</t>
  </si>
  <si>
    <t>Dřevěné kontralatě 30x40 mm ze smrkového dřeva řádné vysušeného s hloubkovou impregnací</t>
  </si>
  <si>
    <t>např. Dekten Multi Pro II</t>
  </si>
  <si>
    <t>Difuzně otevřená fólie lehkého typu, ekvivalentní difuzní tloušťka sd=0,02 m</t>
  </si>
  <si>
    <t>např. Isover Multiplat 35</t>
  </si>
  <si>
    <t>Dřevěné hranoly - viz Stavebně-konstrukční část projektu, připevněné rovnoběžně s krokvemi na nosnou ocelovou konstukci krovu, vyplněno tepelnou izolací  z hydrofobizované minerální skelné vlny; λ = 0,035 W/mK</t>
  </si>
  <si>
    <t>HEB 220 vč. zavětrování - viz Stavebně-konstrukční část projektu, vyplněno tepelnou izolací  z hydrofobizované minerální skelné vlny; λ = 0,035 W/mK</t>
  </si>
  <si>
    <t xml:space="preserve">Fólie s hliníkovou vložkou, ekvivalentní difuzní tloušťka Sd&gt;300 m; přesah ve styku min. 100m a spojen oboustrannou butylkaučukovou páskou </t>
  </si>
  <si>
    <t>např. Knauf D112 + Isover Multiplat 35</t>
  </si>
  <si>
    <t>SDK desky 2 x 12.5mm,</t>
  </si>
  <si>
    <t>např. Dekperimetr SD 150</t>
  </si>
  <si>
    <t>Stabilizovaný pěnový polystyren EPS 150, spád min.2%, λ = 0,035 W/mK, trvalá zatížitelnost v tlaku max. 3000 kg/m2 při def. &lt; 2%, tl. 50-150mm</t>
  </si>
  <si>
    <t>Stabilizovaný pěnový polystyren s uzavřenou povrchovou strukturou; λ = 0,034 W/mK; napětí v tlaku při 10% stlačení 150 kPa</t>
  </si>
  <si>
    <t>Stabilizovaný pěnový polystyren EPS 150, spád min.2%, λ = 0,035 W/mK, trvalá zatížitelnost v tlaku max. 3000 kg/m2 při def. &lt; 2%, tl. 50-325mm</t>
  </si>
  <si>
    <t>Stabilizovaný pěnový polystyren EPS 150, spád min.2%, λ = 0,035 W/mK, trvalá zatížitelnost v tlaku max. 3000 kg/m2 při def. &lt; 2%, tl. 20-40mm</t>
  </si>
  <si>
    <t>mPVC fólie 2mm s výztužnou tkaninou, mechanicky kotvená</t>
  </si>
  <si>
    <t>např. DEKPLAN 76</t>
  </si>
  <si>
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</si>
  <si>
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</si>
  <si>
    <t>Slinutá keramická dlažba; formát 600x600mm; světle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profilů; dilatační spáry max. 6x6 m; dekor viz. architekt</t>
  </si>
  <si>
    <t>Profily CD 60x27 + minerální tepelné izolace tl. 40mm, vč. přímých závěsů</t>
  </si>
  <si>
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</si>
  <si>
    <t>Spádové klíny z polyuretanové tvrdé pěny, spád min.2%, λ = 0,026 W/mK, trvalá zatížitelnost v tlaku max. 3000 kg/m2 při def. &lt; 2%, tl. 20-80mm</t>
  </si>
  <si>
    <t>např. Puren spádové vrstvy NE</t>
  </si>
  <si>
    <t>Polyuretanová tvrdá pěna; λ = 0,022 W/mK; napětí v tlaku při 10% stlačení 150 kPa</t>
  </si>
  <si>
    <t>např. Puren MV</t>
  </si>
  <si>
    <t>Provětrávaná mezera</t>
  </si>
  <si>
    <t>Nosné betonové patky</t>
  </si>
  <si>
    <t>terasa na terénu u objektu D</t>
  </si>
  <si>
    <t>např. Guttatex garden</t>
  </si>
  <si>
    <t>Netkaná mulčovací textilie ze 100% polypropylenu, 90 g/m2, proti prorůstání plevele</t>
  </si>
  <si>
    <t>Mulčovací a drenážní vrstva kameniva</t>
  </si>
  <si>
    <t>slouží pro trvalé větrání terasových prken</t>
  </si>
  <si>
    <t>betonové patky 25cm x 25cm x hl.75cm ve hutněném zásypu stavební jámy h.h. zásypu +1,250m, rozpon patek 40x40cm = 9ks/m2, h.h. patek na úrovni +1,400m</t>
  </si>
  <si>
    <t>mulčovací vrstva z říčního praného kameniva fr.16-32 nedrcený, h.h.vrstva +1,400</t>
  </si>
  <si>
    <t>Neomítnutá strana</t>
  </si>
  <si>
    <t>Nosné zdivo keramické</t>
  </si>
  <si>
    <t>vnitřní nosná podezdívka vyrovnávacího schodiště v 1.PP objektu D</t>
  </si>
  <si>
    <t>nosnou podezdívka z keramické tvárnice broušené zděné na maltu</t>
  </si>
  <si>
    <t>např. Porotherm 17.5 Profi</t>
  </si>
  <si>
    <t>Povrch venkovních betonových konstrukcí - antigraffitový nátěr</t>
  </si>
  <si>
    <t>základní nátěr</t>
  </si>
  <si>
    <t>např. Sikagard® - 850 Primer</t>
  </si>
  <si>
    <t>aktivační nátěr</t>
  </si>
  <si>
    <t>1-komponentní základní nátěr připravený k okamžitému použití pro Sikagard®-850 Clear minerální podklady bez nátěru pro zlepšení aplikace a přilnavosti. Tento produkt je součástí systému Sikagard Anti-graffiti. spotřeba 75–150g /m2, na jednu nátěrovou vrstvu</t>
  </si>
  <si>
    <t>např. Sikagard® - 850 Clear</t>
  </si>
  <si>
    <t>1-komponentní, polomatný, permanentní anti-graffiti a anti-poster nátěr na bázi
polyorganosiloxanu, připravený na okamžité použití. spotřeba 150–250g /m2, na jednu nátěrovou vrstvu</t>
  </si>
  <si>
    <t>Jednosložková disperzní hydroizoalční stěrka. Hydroizolační stěrku vytáhnout min. 300 mm nad podlahu a zároveň po celé výšce za sprchpvým koutem a vanou.</t>
  </si>
  <si>
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 dilatační spáry max. 6x6 m; dekor viz. architekt</t>
  </si>
  <si>
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</si>
  <si>
    <t>podlaha na terénu s hydroizolací proti radonu</t>
  </si>
  <si>
    <t>Povlaková hydroizolace min. z jedné vrstvy asfaltového pásu</t>
  </si>
  <si>
    <t>např. 
GLASTEK 40 SPECIAL MINERAL</t>
  </si>
  <si>
    <t>Hydroizolační vrstva proti radonu</t>
  </si>
  <si>
    <t>Ochranná vrstva hydroizolace proti radonu</t>
  </si>
  <si>
    <t>Povlaková hydroizolace min. z jedné vrstvy asfaltového pásu, hydroizolační vrstvu je nutné provést s přesahem do okolních místností do vzdálenosti 1,0m od úrovně vnějšího líce zdiva vymezující prostor společných prostor</t>
  </si>
  <si>
    <t>např. Porotherm 11.5 AKU Profi</t>
  </si>
  <si>
    <t>30/11/2021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</si>
</sst>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0"/>
  </numFmts>
  <fonts count="53" x14ac:knownFonts="1">
    <font>
      <sz val="12"/>
      <name val="Arial CE"/>
      <charset val="238"/>
    </font>
    <font>
      <sz val="10"/>
      <name val="Arial CE"/>
      <family val="2"/>
      <charset val="238"/>
    </font>
    <font>
      <sz val="12"/>
      <name val="Arial CE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2"/>
      <name val="Arial Black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theme="1"/>
      <name val="Arial"/>
      <family val="2"/>
    </font>
    <font>
      <sz val="10"/>
      <color theme="1"/>
      <name val="Arial"/>
      <family val="2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28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b/>
      <sz val="22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b/>
      <sz val="16"/>
      <color theme="0"/>
      <name val="Calibri"/>
      <family val="2"/>
      <charset val="238"/>
      <scheme val="minor"/>
    </font>
    <font>
      <sz val="12"/>
      <name val="Calibri"/>
      <family val="2"/>
      <scheme val="minor"/>
    </font>
    <font>
      <sz val="8"/>
      <name val="Arial CE"/>
      <charset val="238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theme="0" tint="-0.499984740745262"/>
      <name val="Calibri"/>
      <family val="2"/>
      <charset val="238"/>
      <scheme val="minor"/>
    </font>
    <font>
      <b/>
      <sz val="14"/>
      <name val="Calibri"/>
      <family val="2"/>
      <scheme val="minor"/>
    </font>
    <font>
      <sz val="12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23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0" borderId="2" applyNumberFormat="0" applyFill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4" fillId="24" borderId="0" applyNumberFormat="0" applyBorder="0" applyAlignment="0" applyProtection="0"/>
    <xf numFmtId="0" fontId="2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8" fillId="21" borderId="6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26" fillId="0" borderId="0"/>
    <xf numFmtId="0" fontId="23" fillId="0" borderId="0"/>
    <xf numFmtId="0" fontId="3" fillId="0" borderId="0"/>
    <xf numFmtId="0" fontId="21" fillId="0" borderId="0"/>
    <xf numFmtId="0" fontId="3" fillId="0" borderId="0"/>
    <xf numFmtId="0" fontId="2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23" fillId="0" borderId="0"/>
    <xf numFmtId="0" fontId="22" fillId="0" borderId="0"/>
    <xf numFmtId="0" fontId="23" fillId="0" borderId="0"/>
    <xf numFmtId="0" fontId="3" fillId="0" borderId="0"/>
    <xf numFmtId="0" fontId="2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2" fillId="23" borderId="8" applyNumberFormat="0" applyFont="0" applyAlignment="0" applyProtection="0"/>
    <xf numFmtId="0" fontId="15" fillId="0" borderId="7" applyNumberFormat="0" applyFill="0" applyAlignment="0" applyProtection="0"/>
    <xf numFmtId="0" fontId="10" fillId="4" borderId="0" applyNumberFormat="0" applyBorder="0" applyAlignment="0" applyProtection="0"/>
    <xf numFmtId="0" fontId="20" fillId="0" borderId="0" applyNumberFormat="0" applyFill="0" applyBorder="0" applyAlignment="0" applyProtection="0"/>
    <xf numFmtId="0" fontId="14" fillId="7" borderId="1" applyNumberFormat="0" applyAlignment="0" applyProtection="0"/>
    <xf numFmtId="0" fontId="7" fillId="20" borderId="1" applyNumberFormat="0" applyAlignment="0" applyProtection="0"/>
    <xf numFmtId="0" fontId="17" fillId="20" borderId="9" applyNumberForma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</cellStyleXfs>
  <cellXfs count="218">
    <xf numFmtId="0" fontId="0" fillId="0" borderId="0" xfId="0"/>
    <xf numFmtId="0" fontId="28" fillId="0" borderId="0" xfId="24" applyFont="1" applyFill="1"/>
    <xf numFmtId="0" fontId="28" fillId="0" borderId="0" xfId="24" applyFont="1" applyFill="1" applyBorder="1"/>
    <xf numFmtId="0" fontId="28" fillId="24" borderId="0" xfId="24" applyFont="1"/>
    <xf numFmtId="49" fontId="31" fillId="25" borderId="20" xfId="58" applyNumberFormat="1" applyFont="1" applyFill="1" applyBorder="1" applyAlignment="1">
      <alignment horizontal="right" vertical="center"/>
    </xf>
    <xf numFmtId="49" fontId="31" fillId="25" borderId="0" xfId="58" applyNumberFormat="1" applyFont="1" applyFill="1" applyBorder="1" applyAlignment="1">
      <alignment horizontal="right" vertical="center"/>
    </xf>
    <xf numFmtId="0" fontId="29" fillId="0" borderId="0" xfId="56" applyFont="1"/>
    <xf numFmtId="0" fontId="32" fillId="0" borderId="0" xfId="56" applyFont="1"/>
    <xf numFmtId="0" fontId="33" fillId="0" borderId="0" xfId="56" applyFont="1"/>
    <xf numFmtId="0" fontId="29" fillId="0" borderId="0" xfId="56" applyFont="1" applyFill="1"/>
    <xf numFmtId="0" fontId="34" fillId="0" borderId="0" xfId="56" applyFont="1" applyAlignment="1">
      <alignment horizontal="left"/>
    </xf>
    <xf numFmtId="0" fontId="29" fillId="0" borderId="0" xfId="56" applyFont="1" applyAlignment="1">
      <alignment horizontal="right"/>
    </xf>
    <xf numFmtId="0" fontId="29" fillId="0" borderId="0" xfId="57" applyFont="1" applyFill="1" applyBorder="1" applyAlignment="1">
      <alignment vertical="center" wrapText="1"/>
    </xf>
    <xf numFmtId="49" fontId="29" fillId="0" borderId="0" xfId="57" applyNumberFormat="1" applyFont="1" applyFill="1" applyBorder="1" applyAlignment="1">
      <alignment vertical="center" wrapText="1"/>
    </xf>
    <xf numFmtId="0" fontId="29" fillId="0" borderId="0" xfId="56" applyFont="1" applyAlignment="1">
      <alignment horizontal="left"/>
    </xf>
    <xf numFmtId="0" fontId="32" fillId="0" borderId="0" xfId="56" applyFont="1" applyBorder="1" applyAlignment="1">
      <alignment horizontal="center"/>
    </xf>
    <xf numFmtId="0" fontId="32" fillId="0" borderId="0" xfId="56" applyFont="1" applyFill="1" applyBorder="1" applyAlignment="1">
      <alignment horizontal="left"/>
    </xf>
    <xf numFmtId="0" fontId="29" fillId="0" borderId="0" xfId="56" applyFont="1" applyAlignment="1">
      <alignment wrapText="1"/>
    </xf>
    <xf numFmtId="0" fontId="29" fillId="0" borderId="0" xfId="56" applyFont="1" applyFill="1" applyAlignment="1">
      <alignment wrapText="1"/>
    </xf>
    <xf numFmtId="0" fontId="29" fillId="0" borderId="0" xfId="56" applyFont="1" applyBorder="1" applyAlignment="1">
      <alignment wrapText="1"/>
    </xf>
    <xf numFmtId="0" fontId="29" fillId="0" borderId="0" xfId="56" applyFont="1" applyFill="1" applyBorder="1"/>
    <xf numFmtId="49" fontId="38" fillId="28" borderId="18" xfId="58" applyNumberFormat="1" applyFont="1" applyFill="1" applyBorder="1" applyAlignment="1">
      <alignment horizontal="right" vertical="center"/>
    </xf>
    <xf numFmtId="49" fontId="39" fillId="28" borderId="18" xfId="58" applyNumberFormat="1" applyFont="1" applyFill="1" applyBorder="1" applyAlignment="1">
      <alignment horizontal="left" vertical="center"/>
    </xf>
    <xf numFmtId="49" fontId="36" fillId="27" borderId="19" xfId="58" applyNumberFormat="1" applyFont="1" applyFill="1" applyBorder="1" applyAlignment="1">
      <alignment horizontal="left" vertical="center"/>
    </xf>
    <xf numFmtId="49" fontId="38" fillId="28" borderId="11" xfId="58" applyNumberFormat="1" applyFont="1" applyFill="1" applyBorder="1" applyAlignment="1">
      <alignment horizontal="right" vertical="center"/>
    </xf>
    <xf numFmtId="49" fontId="39" fillId="28" borderId="11" xfId="58" applyNumberFormat="1" applyFont="1" applyFill="1" applyBorder="1" applyAlignment="1">
      <alignment horizontal="left" vertical="center"/>
    </xf>
    <xf numFmtId="164" fontId="36" fillId="28" borderId="11" xfId="58" applyNumberFormat="1" applyFont="1" applyFill="1" applyBorder="1" applyAlignment="1">
      <alignment horizontal="left" vertical="center"/>
    </xf>
    <xf numFmtId="0" fontId="40" fillId="28" borderId="0" xfId="56" applyFont="1" applyFill="1"/>
    <xf numFmtId="0" fontId="36" fillId="28" borderId="0" xfId="56" applyFont="1" applyFill="1"/>
    <xf numFmtId="0" fontId="37" fillId="28" borderId="0" xfId="56" applyFont="1" applyFill="1" applyAlignment="1">
      <alignment vertical="center"/>
    </xf>
    <xf numFmtId="0" fontId="37" fillId="28" borderId="0" xfId="56" applyFont="1" applyFill="1" applyAlignment="1">
      <alignment horizontal="left" vertical="center"/>
    </xf>
    <xf numFmtId="0" fontId="29" fillId="0" borderId="0" xfId="0" applyFont="1"/>
    <xf numFmtId="0" fontId="35" fillId="0" borderId="0" xfId="0" applyNumberFormat="1" applyFont="1" applyFill="1" applyBorder="1" applyAlignment="1">
      <alignment vertical="center"/>
    </xf>
    <xf numFmtId="0" fontId="41" fillId="0" borderId="0" xfId="0" applyNumberFormat="1" applyFont="1" applyFill="1" applyBorder="1" applyAlignment="1">
      <alignment vertical="center"/>
    </xf>
    <xf numFmtId="0" fontId="29" fillId="0" borderId="0" xfId="0" applyFont="1" applyFill="1"/>
    <xf numFmtId="0" fontId="28" fillId="0" borderId="0" xfId="0" applyFont="1"/>
    <xf numFmtId="0" fontId="29" fillId="0" borderId="10" xfId="54" applyNumberFormat="1" applyFont="1" applyFill="1" applyBorder="1" applyAlignment="1">
      <alignment horizontal="left" vertical="center" wrapText="1"/>
    </xf>
    <xf numFmtId="0" fontId="29" fillId="0" borderId="10" xfId="0" applyNumberFormat="1" applyFont="1" applyFill="1" applyBorder="1" applyAlignment="1">
      <alignment horizontal="left" vertical="center" wrapText="1"/>
    </xf>
    <xf numFmtId="0" fontId="43" fillId="0" borderId="0" xfId="0" applyFont="1" applyFill="1" applyAlignment="1">
      <alignment vertical="center"/>
    </xf>
    <xf numFmtId="49" fontId="29" fillId="0" borderId="0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42" fillId="0" borderId="0" xfId="0" applyNumberFormat="1" applyFont="1" applyFill="1" applyBorder="1" applyAlignment="1">
      <alignment horizontal="center" vertical="center" wrapText="1"/>
    </xf>
    <xf numFmtId="49" fontId="31" fillId="0" borderId="0" xfId="0" applyNumberFormat="1" applyFont="1" applyFill="1" applyBorder="1" applyAlignment="1">
      <alignment horizontal="center" vertical="center" wrapText="1"/>
    </xf>
    <xf numFmtId="49" fontId="42" fillId="0" borderId="0" xfId="0" applyNumberFormat="1" applyFont="1" applyFill="1" applyBorder="1" applyAlignment="1">
      <alignment horizontal="center" vertical="center" wrapText="1"/>
    </xf>
    <xf numFmtId="0" fontId="36" fillId="28" borderId="18" xfId="56" applyFont="1" applyFill="1" applyBorder="1" applyAlignment="1">
      <alignment vertical="center"/>
    </xf>
    <xf numFmtId="0" fontId="36" fillId="28" borderId="11" xfId="56" applyFont="1" applyFill="1" applyBorder="1" applyAlignment="1" applyProtection="1">
      <alignment vertical="center"/>
      <protection locked="0"/>
    </xf>
    <xf numFmtId="49" fontId="36" fillId="28" borderId="18" xfId="58" applyNumberFormat="1" applyFont="1" applyFill="1" applyBorder="1" applyAlignment="1" applyProtection="1">
      <alignment horizontal="right" vertical="center"/>
      <protection locked="0"/>
    </xf>
    <xf numFmtId="49" fontId="36" fillId="28" borderId="11" xfId="58" applyNumberFormat="1" applyFont="1" applyFill="1" applyBorder="1" applyAlignment="1" applyProtection="1">
      <alignment horizontal="right" vertical="center"/>
      <protection locked="0"/>
    </xf>
    <xf numFmtId="0" fontId="36" fillId="28" borderId="14" xfId="55" applyNumberFormat="1" applyFont="1" applyFill="1" applyBorder="1" applyAlignment="1">
      <alignment horizontal="right" vertical="center"/>
    </xf>
    <xf numFmtId="0" fontId="36" fillId="28" borderId="11" xfId="55" applyNumberFormat="1" applyFont="1" applyFill="1" applyBorder="1" applyAlignment="1">
      <alignment horizontal="right" vertical="center"/>
    </xf>
    <xf numFmtId="0" fontId="29" fillId="0" borderId="10" xfId="0" applyNumberFormat="1" applyFont="1" applyFill="1" applyBorder="1" applyAlignment="1">
      <alignment horizontal="center" vertical="center" wrapText="1"/>
    </xf>
    <xf numFmtId="0" fontId="37" fillId="28" borderId="0" xfId="56" applyFont="1" applyFill="1"/>
    <xf numFmtId="49" fontId="40" fillId="28" borderId="0" xfId="57" applyNumberFormat="1" applyFont="1" applyFill="1" applyBorder="1" applyAlignment="1">
      <alignment vertical="center" wrapText="1"/>
    </xf>
    <xf numFmtId="49" fontId="37" fillId="28" borderId="11" xfId="58" applyNumberFormat="1" applyFont="1" applyFill="1" applyBorder="1" applyAlignment="1">
      <alignment horizontal="left" vertical="center"/>
    </xf>
    <xf numFmtId="0" fontId="33" fillId="0" borderId="0" xfId="56" applyFont="1" applyFill="1"/>
    <xf numFmtId="1" fontId="36" fillId="28" borderId="15" xfId="58" applyNumberFormat="1" applyFont="1" applyFill="1" applyBorder="1" applyAlignment="1">
      <alignment horizontal="left" vertical="center"/>
    </xf>
    <xf numFmtId="0" fontId="35" fillId="0" borderId="28" xfId="0" applyNumberFormat="1" applyFont="1" applyFill="1" applyBorder="1" applyAlignment="1">
      <alignment vertical="center"/>
    </xf>
    <xf numFmtId="0" fontId="41" fillId="0" borderId="28" xfId="0" applyNumberFormat="1" applyFont="1" applyFill="1" applyBorder="1" applyAlignment="1">
      <alignment vertical="center"/>
    </xf>
    <xf numFmtId="49" fontId="37" fillId="28" borderId="18" xfId="58" applyNumberFormat="1" applyFont="1" applyFill="1" applyBorder="1" applyAlignment="1">
      <alignment horizontal="left" vertical="center"/>
    </xf>
    <xf numFmtId="0" fontId="33" fillId="0" borderId="0" xfId="0" applyNumberFormat="1" applyFont="1" applyFill="1" applyBorder="1" applyAlignment="1">
      <alignment vertical="center" wrapText="1"/>
    </xf>
    <xf numFmtId="0" fontId="29" fillId="0" borderId="10" xfId="54" applyFont="1" applyFill="1" applyBorder="1" applyAlignment="1">
      <alignment horizontal="left" vertical="center" wrapText="1"/>
    </xf>
    <xf numFmtId="0" fontId="29" fillId="0" borderId="10" xfId="54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left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8" fillId="0" borderId="0" xfId="0" applyFont="1" applyFill="1"/>
    <xf numFmtId="0" fontId="45" fillId="0" borderId="10" xfId="0" applyFont="1" applyFill="1" applyBorder="1" applyAlignment="1">
      <alignment horizontal="center" vertical="center" wrapText="1"/>
    </xf>
    <xf numFmtId="0" fontId="43" fillId="0" borderId="0" xfId="0" applyFont="1" applyFill="1" applyAlignment="1">
      <alignment horizontal="left" vertical="center"/>
    </xf>
    <xf numFmtId="0" fontId="43" fillId="0" borderId="12" xfId="0" applyFont="1" applyBorder="1" applyAlignment="1">
      <alignment vertical="top" wrapText="1"/>
    </xf>
    <xf numFmtId="0" fontId="45" fillId="0" borderId="10" xfId="0" applyNumberFormat="1" applyFont="1" applyFill="1" applyBorder="1" applyAlignment="1">
      <alignment horizontal="left" vertical="center" wrapText="1"/>
    </xf>
    <xf numFmtId="0" fontId="45" fillId="0" borderId="10" xfId="0" applyFont="1" applyFill="1" applyBorder="1" applyAlignment="1">
      <alignment horizontal="left" vertical="center" wrapText="1"/>
    </xf>
    <xf numFmtId="0" fontId="33" fillId="0" borderId="13" xfId="0" applyFont="1" applyFill="1" applyBorder="1" applyAlignment="1">
      <alignment horizontal="right" vertical="center" wrapText="1"/>
    </xf>
    <xf numFmtId="165" fontId="33" fillId="0" borderId="15" xfId="0" applyNumberFormat="1" applyFont="1" applyFill="1" applyBorder="1" applyAlignment="1">
      <alignment horizontal="left" vertical="center" wrapText="1"/>
    </xf>
    <xf numFmtId="0" fontId="29" fillId="0" borderId="10" xfId="0" applyFont="1" applyFill="1" applyBorder="1" applyAlignment="1">
      <alignment vertical="center"/>
    </xf>
    <xf numFmtId="0" fontId="45" fillId="0" borderId="10" xfId="54" applyFont="1" applyFill="1" applyBorder="1" applyAlignment="1">
      <alignment horizontal="left" vertical="center" wrapText="1"/>
    </xf>
    <xf numFmtId="14" fontId="29" fillId="0" borderId="0" xfId="0" applyNumberFormat="1" applyFont="1"/>
    <xf numFmtId="0" fontId="45" fillId="0" borderId="10" xfId="54" applyFont="1" applyFill="1" applyBorder="1" applyAlignment="1">
      <alignment horizontal="center" vertical="center"/>
    </xf>
    <xf numFmtId="0" fontId="45" fillId="0" borderId="10" xfId="0" applyFont="1" applyFill="1" applyBorder="1" applyAlignment="1">
      <alignment vertical="center"/>
    </xf>
    <xf numFmtId="0" fontId="33" fillId="0" borderId="12" xfId="0" applyFont="1" applyFill="1" applyBorder="1" applyAlignment="1">
      <alignment horizontal="right" vertical="center" wrapText="1"/>
    </xf>
    <xf numFmtId="165" fontId="33" fillId="0" borderId="17" xfId="0" applyNumberFormat="1" applyFont="1" applyFill="1" applyBorder="1" applyAlignment="1">
      <alignment horizontal="left" vertical="center" wrapText="1"/>
    </xf>
    <xf numFmtId="0" fontId="33" fillId="0" borderId="12" xfId="0" applyNumberFormat="1" applyFont="1" applyFill="1" applyBorder="1" applyAlignment="1">
      <alignment horizontal="right" vertical="center" wrapText="1"/>
    </xf>
    <xf numFmtId="49" fontId="33" fillId="0" borderId="17" xfId="0" applyNumberFormat="1" applyFont="1" applyFill="1" applyBorder="1" applyAlignment="1">
      <alignment horizontal="left" vertical="center" wrapText="1"/>
    </xf>
    <xf numFmtId="0" fontId="29" fillId="0" borderId="0" xfId="0" applyFont="1"/>
    <xf numFmtId="0" fontId="29" fillId="0" borderId="0" xfId="0" applyFont="1" applyFill="1"/>
    <xf numFmtId="0" fontId="28" fillId="0" borderId="0" xfId="0" applyFont="1"/>
    <xf numFmtId="0" fontId="29" fillId="0" borderId="10" xfId="54" applyNumberFormat="1" applyFont="1" applyFill="1" applyBorder="1" applyAlignment="1">
      <alignment horizontal="left" vertical="center" wrapText="1"/>
    </xf>
    <xf numFmtId="0" fontId="29" fillId="0" borderId="10" xfId="0" applyNumberFormat="1" applyFont="1" applyFill="1" applyBorder="1" applyAlignment="1">
      <alignment horizontal="left" vertical="center" wrapText="1"/>
    </xf>
    <xf numFmtId="0" fontId="43" fillId="0" borderId="0" xfId="0" applyFont="1" applyFill="1" applyAlignment="1">
      <alignment vertical="center"/>
    </xf>
    <xf numFmtId="0" fontId="29" fillId="0" borderId="10" xfId="0" applyNumberFormat="1" applyFont="1" applyFill="1" applyBorder="1" applyAlignment="1">
      <alignment horizontal="center" vertical="center" wrapText="1"/>
    </xf>
    <xf numFmtId="0" fontId="29" fillId="0" borderId="10" xfId="54" applyFont="1" applyFill="1" applyBorder="1" applyAlignment="1">
      <alignment horizontal="left" vertical="center" wrapText="1"/>
    </xf>
    <xf numFmtId="0" fontId="29" fillId="0" borderId="10" xfId="54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left" vertical="center" wrapText="1"/>
    </xf>
    <xf numFmtId="0" fontId="45" fillId="0" borderId="10" xfId="0" applyFont="1" applyFill="1" applyBorder="1" applyAlignment="1">
      <alignment horizontal="center" vertical="center" wrapText="1"/>
    </xf>
    <xf numFmtId="0" fontId="43" fillId="0" borderId="0" xfId="0" applyFont="1" applyFill="1" applyAlignment="1">
      <alignment horizontal="left" vertical="center"/>
    </xf>
    <xf numFmtId="0" fontId="45" fillId="0" borderId="10" xfId="0" applyFont="1" applyFill="1" applyBorder="1" applyAlignment="1">
      <alignment horizontal="left" vertical="center" wrapText="1"/>
    </xf>
    <xf numFmtId="0" fontId="33" fillId="0" borderId="12" xfId="0" applyFont="1" applyFill="1" applyBorder="1" applyAlignment="1">
      <alignment horizontal="right" vertical="center" wrapText="1"/>
    </xf>
    <xf numFmtId="165" fontId="33" fillId="0" borderId="17" xfId="0" applyNumberFormat="1" applyFont="1" applyFill="1" applyBorder="1" applyAlignment="1">
      <alignment horizontal="left" vertical="center" wrapText="1"/>
    </xf>
    <xf numFmtId="0" fontId="29" fillId="0" borderId="0" xfId="0" applyFont="1" applyFill="1"/>
    <xf numFmtId="0" fontId="29" fillId="0" borderId="10" xfId="54" applyNumberFormat="1" applyFont="1" applyFill="1" applyBorder="1" applyAlignment="1">
      <alignment horizontal="left" vertical="center" wrapText="1"/>
    </xf>
    <xf numFmtId="0" fontId="29" fillId="0" borderId="10" xfId="0" applyNumberFormat="1" applyFont="1" applyFill="1" applyBorder="1" applyAlignment="1">
      <alignment horizontal="center" vertical="center" wrapText="1"/>
    </xf>
    <xf numFmtId="0" fontId="29" fillId="0" borderId="10" xfId="54" applyFont="1" applyFill="1" applyBorder="1" applyAlignment="1">
      <alignment horizontal="left" vertical="center" wrapText="1"/>
    </xf>
    <xf numFmtId="0" fontId="29" fillId="0" borderId="10" xfId="54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left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45" fillId="0" borderId="10" xfId="0" applyFont="1" applyFill="1" applyBorder="1" applyAlignment="1">
      <alignment horizontal="center" vertical="center" wrapText="1"/>
    </xf>
    <xf numFmtId="0" fontId="43" fillId="0" borderId="0" xfId="0" applyFont="1" applyFill="1" applyAlignment="1">
      <alignment horizontal="left" vertical="center"/>
    </xf>
    <xf numFmtId="0" fontId="33" fillId="0" borderId="13" xfId="0" applyNumberFormat="1" applyFont="1" applyFill="1" applyBorder="1" applyAlignment="1">
      <alignment horizontal="right" vertical="center" wrapText="1"/>
    </xf>
    <xf numFmtId="165" fontId="33" fillId="0" borderId="15" xfId="0" applyNumberFormat="1" applyFont="1" applyFill="1" applyBorder="1" applyAlignment="1">
      <alignment horizontal="left" vertical="center" wrapText="1"/>
    </xf>
    <xf numFmtId="0" fontId="45" fillId="0" borderId="10" xfId="0" applyNumberFormat="1" applyFont="1" applyFill="1" applyBorder="1" applyAlignment="1">
      <alignment horizontal="left" vertical="center" wrapText="1"/>
    </xf>
    <xf numFmtId="0" fontId="45" fillId="0" borderId="10" xfId="0" applyFont="1" applyFill="1" applyBorder="1" applyAlignment="1">
      <alignment horizontal="left" vertical="center" wrapText="1"/>
    </xf>
    <xf numFmtId="0" fontId="36" fillId="29" borderId="10" xfId="0" applyNumberFormat="1" applyFont="1" applyFill="1" applyBorder="1" applyAlignment="1">
      <alignment horizontal="center" vertical="center"/>
    </xf>
    <xf numFmtId="0" fontId="36" fillId="29" borderId="10" xfId="0" applyNumberFormat="1" applyFont="1" applyFill="1" applyBorder="1" applyAlignment="1">
      <alignment horizontal="center" vertical="center" wrapText="1"/>
    </xf>
    <xf numFmtId="165" fontId="33" fillId="0" borderId="15" xfId="0" applyNumberFormat="1" applyFont="1" applyFill="1" applyBorder="1" applyAlignment="1">
      <alignment horizontal="left" vertical="center" wrapText="1"/>
    </xf>
    <xf numFmtId="0" fontId="33" fillId="0" borderId="13" xfId="0" applyNumberFormat="1" applyFont="1" applyFill="1" applyBorder="1" applyAlignment="1">
      <alignment horizontal="right" vertical="center" wrapText="1"/>
    </xf>
    <xf numFmtId="0" fontId="33" fillId="0" borderId="0" xfId="0" applyNumberFormat="1" applyFont="1" applyFill="1" applyBorder="1" applyAlignment="1">
      <alignment horizontal="right" vertical="center" wrapText="1"/>
    </xf>
    <xf numFmtId="165" fontId="33" fillId="0" borderId="0" xfId="0" applyNumberFormat="1" applyFont="1" applyFill="1" applyBorder="1" applyAlignment="1">
      <alignment horizontal="left" vertical="center" wrapText="1"/>
    </xf>
    <xf numFmtId="0" fontId="33" fillId="0" borderId="13" xfId="0" applyFont="1" applyFill="1" applyBorder="1" applyAlignment="1">
      <alignment horizontal="right" vertical="center" wrapText="1"/>
    </xf>
    <xf numFmtId="0" fontId="33" fillId="0" borderId="12" xfId="0" applyFont="1" applyFill="1" applyBorder="1" applyAlignment="1">
      <alignment horizontal="right" vertical="center" wrapText="1"/>
    </xf>
    <xf numFmtId="165" fontId="33" fillId="0" borderId="15" xfId="0" applyNumberFormat="1" applyFont="1" applyFill="1" applyBorder="1" applyAlignment="1">
      <alignment horizontal="left" vertical="center" wrapText="1"/>
    </xf>
    <xf numFmtId="165" fontId="33" fillId="0" borderId="17" xfId="0" applyNumberFormat="1" applyFont="1" applyFill="1" applyBorder="1" applyAlignment="1">
      <alignment horizontal="left" vertical="center" wrapText="1"/>
    </xf>
    <xf numFmtId="0" fontId="33" fillId="0" borderId="13" xfId="0" applyNumberFormat="1" applyFont="1" applyFill="1" applyBorder="1" applyAlignment="1">
      <alignment horizontal="right" vertical="center" wrapText="1"/>
    </xf>
    <xf numFmtId="0" fontId="33" fillId="0" borderId="12" xfId="0" applyNumberFormat="1" applyFont="1" applyFill="1" applyBorder="1" applyAlignment="1">
      <alignment horizontal="right" vertical="center" wrapText="1"/>
    </xf>
    <xf numFmtId="165" fontId="33" fillId="0" borderId="27" xfId="0" applyNumberFormat="1" applyFont="1" applyFill="1" applyBorder="1" applyAlignment="1">
      <alignment horizontal="left" vertical="center" wrapText="1"/>
    </xf>
    <xf numFmtId="0" fontId="33" fillId="0" borderId="26" xfId="0" applyNumberFormat="1" applyFont="1" applyFill="1" applyBorder="1" applyAlignment="1">
      <alignment horizontal="right" vertical="center" wrapText="1"/>
    </xf>
    <xf numFmtId="0" fontId="47" fillId="0" borderId="12" xfId="0" applyNumberFormat="1" applyFont="1" applyFill="1" applyBorder="1" applyAlignment="1">
      <alignment horizontal="right" vertical="center" wrapText="1"/>
    </xf>
    <xf numFmtId="0" fontId="47" fillId="0" borderId="26" xfId="0" applyNumberFormat="1" applyFont="1" applyFill="1" applyBorder="1" applyAlignment="1">
      <alignment horizontal="right" vertical="center" wrapText="1"/>
    </xf>
    <xf numFmtId="165" fontId="47" fillId="0" borderId="17" xfId="0" applyNumberFormat="1" applyFont="1" applyFill="1" applyBorder="1" applyAlignment="1">
      <alignment horizontal="left" vertical="center" wrapText="1"/>
    </xf>
    <xf numFmtId="165" fontId="47" fillId="0" borderId="27" xfId="0" applyNumberFormat="1" applyFont="1" applyFill="1" applyBorder="1" applyAlignment="1">
      <alignment horizontal="left" vertical="center" wrapText="1"/>
    </xf>
    <xf numFmtId="0" fontId="33" fillId="0" borderId="26" xfId="0" applyFont="1" applyFill="1" applyBorder="1" applyAlignment="1">
      <alignment horizontal="right" vertical="center" wrapText="1"/>
    </xf>
    <xf numFmtId="0" fontId="49" fillId="0" borderId="10" xfId="54" applyFont="1" applyFill="1" applyBorder="1" applyAlignment="1">
      <alignment horizontal="left" vertical="center" wrapText="1"/>
    </xf>
    <xf numFmtId="0" fontId="49" fillId="0" borderId="10" xfId="54" applyFont="1" applyFill="1" applyBorder="1" applyAlignment="1">
      <alignment horizontal="center" vertical="center"/>
    </xf>
    <xf numFmtId="0" fontId="50" fillId="0" borderId="10" xfId="54" applyFont="1" applyFill="1" applyBorder="1" applyAlignment="1">
      <alignment horizontal="left" vertical="center" wrapText="1"/>
    </xf>
    <xf numFmtId="0" fontId="50" fillId="0" borderId="10" xfId="54" applyFont="1" applyFill="1" applyBorder="1" applyAlignment="1">
      <alignment horizontal="center" vertical="center"/>
    </xf>
    <xf numFmtId="0" fontId="49" fillId="0" borderId="10" xfId="0" applyFont="1" applyFill="1" applyBorder="1" applyAlignment="1">
      <alignment vertical="center"/>
    </xf>
    <xf numFmtId="0" fontId="49" fillId="0" borderId="10" xfId="0" applyFont="1" applyFill="1" applyBorder="1" applyAlignment="1">
      <alignment horizontal="left" vertical="center" wrapText="1"/>
    </xf>
    <xf numFmtId="0" fontId="50" fillId="0" borderId="10" xfId="0" applyFont="1" applyFill="1" applyBorder="1" applyAlignment="1">
      <alignment vertical="center"/>
    </xf>
    <xf numFmtId="0" fontId="50" fillId="0" borderId="10" xfId="0" applyNumberFormat="1" applyFont="1" applyFill="1" applyBorder="1" applyAlignment="1">
      <alignment horizontal="center" vertical="center" wrapText="1"/>
    </xf>
    <xf numFmtId="0" fontId="49" fillId="0" borderId="10" xfId="0" applyNumberFormat="1" applyFont="1" applyFill="1" applyBorder="1" applyAlignment="1">
      <alignment horizontal="center" vertical="center" wrapText="1"/>
    </xf>
    <xf numFmtId="0" fontId="50" fillId="0" borderId="10" xfId="0" applyFont="1" applyFill="1" applyBorder="1" applyAlignment="1">
      <alignment horizontal="left" vertical="center" wrapText="1"/>
    </xf>
    <xf numFmtId="0" fontId="50" fillId="0" borderId="10" xfId="0" applyNumberFormat="1" applyFont="1" applyFill="1" applyBorder="1" applyAlignment="1">
      <alignment horizontal="left" vertical="center" wrapText="1"/>
    </xf>
    <xf numFmtId="0" fontId="47" fillId="0" borderId="13" xfId="0" applyNumberFormat="1" applyFont="1" applyFill="1" applyBorder="1" applyAlignment="1">
      <alignment horizontal="right" vertical="center" wrapText="1"/>
    </xf>
    <xf numFmtId="165" fontId="47" fillId="0" borderId="15" xfId="0" applyNumberFormat="1" applyFont="1" applyFill="1" applyBorder="1" applyAlignment="1">
      <alignment horizontal="left" vertical="center" wrapText="1"/>
    </xf>
    <xf numFmtId="0" fontId="45" fillId="0" borderId="10" xfId="54" applyNumberFormat="1" applyFont="1" applyFill="1" applyBorder="1" applyAlignment="1">
      <alignment horizontal="left" vertical="center" wrapText="1"/>
    </xf>
    <xf numFmtId="0" fontId="47" fillId="0" borderId="12" xfId="0" applyFont="1" applyFill="1" applyBorder="1" applyAlignment="1">
      <alignment horizontal="right" vertical="center" wrapText="1"/>
    </xf>
    <xf numFmtId="0" fontId="45" fillId="0" borderId="10" xfId="0" applyNumberFormat="1" applyFont="1" applyFill="1" applyBorder="1" applyAlignment="1">
      <alignment horizontal="center" vertical="center" wrapText="1"/>
    </xf>
    <xf numFmtId="0" fontId="47" fillId="0" borderId="26" xfId="0" applyFont="1" applyFill="1" applyBorder="1" applyAlignment="1">
      <alignment horizontal="right" vertical="center" wrapText="1"/>
    </xf>
    <xf numFmtId="165" fontId="33" fillId="0" borderId="17" xfId="0" applyNumberFormat="1" applyFont="1" applyFill="1" applyBorder="1" applyAlignment="1">
      <alignment horizontal="left" vertical="center" wrapText="1"/>
    </xf>
    <xf numFmtId="0" fontId="33" fillId="0" borderId="12" xfId="0" applyNumberFormat="1" applyFont="1" applyFill="1" applyBorder="1" applyAlignment="1">
      <alignment horizontal="right" vertical="center" wrapText="1"/>
    </xf>
    <xf numFmtId="165" fontId="33" fillId="0" borderId="15" xfId="0" applyNumberFormat="1" applyFont="1" applyFill="1" applyBorder="1" applyAlignment="1">
      <alignment horizontal="left" vertical="center" wrapText="1"/>
    </xf>
    <xf numFmtId="0" fontId="33" fillId="0" borderId="13" xfId="0" applyNumberFormat="1" applyFont="1" applyFill="1" applyBorder="1" applyAlignment="1">
      <alignment horizontal="right" vertical="center" wrapText="1"/>
    </xf>
    <xf numFmtId="165" fontId="33" fillId="0" borderId="27" xfId="0" applyNumberFormat="1" applyFont="1" applyFill="1" applyBorder="1" applyAlignment="1">
      <alignment horizontal="left" vertical="center" wrapText="1"/>
    </xf>
    <xf numFmtId="0" fontId="33" fillId="0" borderId="26" xfId="0" applyNumberFormat="1" applyFont="1" applyFill="1" applyBorder="1" applyAlignment="1">
      <alignment horizontal="right" vertical="center" wrapText="1"/>
    </xf>
    <xf numFmtId="0" fontId="29" fillId="30" borderId="10" xfId="54" applyFont="1" applyFill="1" applyBorder="1" applyAlignment="1">
      <alignment horizontal="left" vertical="center" wrapText="1"/>
    </xf>
    <xf numFmtId="0" fontId="29" fillId="30" borderId="10" xfId="54" applyFont="1" applyFill="1" applyBorder="1" applyAlignment="1">
      <alignment horizontal="center" vertical="center"/>
    </xf>
    <xf numFmtId="0" fontId="45" fillId="30" borderId="10" xfId="0" applyFont="1" applyFill="1" applyBorder="1" applyAlignment="1">
      <alignment horizontal="left" vertical="center" wrapText="1"/>
    </xf>
    <xf numFmtId="0" fontId="29" fillId="30" borderId="10" xfId="0" applyNumberFormat="1" applyFont="1" applyFill="1" applyBorder="1" applyAlignment="1">
      <alignment horizontal="center" vertical="center" wrapText="1"/>
    </xf>
    <xf numFmtId="0" fontId="50" fillId="30" borderId="10" xfId="54" applyFont="1" applyFill="1" applyBorder="1" applyAlignment="1">
      <alignment horizontal="left" vertical="center" wrapText="1"/>
    </xf>
    <xf numFmtId="0" fontId="50" fillId="30" borderId="10" xfId="54" applyFont="1" applyFill="1" applyBorder="1" applyAlignment="1">
      <alignment horizontal="center" vertical="center"/>
    </xf>
    <xf numFmtId="0" fontId="50" fillId="30" borderId="10" xfId="0" applyFont="1" applyFill="1" applyBorder="1" applyAlignment="1">
      <alignment vertical="center"/>
    </xf>
    <xf numFmtId="0" fontId="29" fillId="30" borderId="10" xfId="0" applyNumberFormat="1" applyFont="1" applyFill="1" applyBorder="1" applyAlignment="1">
      <alignment horizontal="left" vertical="center" wrapText="1"/>
    </xf>
    <xf numFmtId="0" fontId="29" fillId="30" borderId="10" xfId="0" applyFont="1" applyFill="1" applyBorder="1" applyAlignment="1">
      <alignment horizontal="left" vertical="center" wrapText="1"/>
    </xf>
    <xf numFmtId="0" fontId="50" fillId="30" borderId="10" xfId="0" applyFont="1" applyFill="1" applyBorder="1" applyAlignment="1">
      <alignment horizontal="left" vertical="center" wrapText="1"/>
    </xf>
    <xf numFmtId="0" fontId="52" fillId="0" borderId="10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top" wrapText="1"/>
    </xf>
    <xf numFmtId="0" fontId="29" fillId="0" borderId="0" xfId="0" applyFont="1" applyFill="1" applyAlignment="1">
      <alignment vertical="top" wrapText="1"/>
    </xf>
    <xf numFmtId="0" fontId="32" fillId="0" borderId="0" xfId="56" applyFont="1" applyAlignment="1">
      <alignment horizontal="left" wrapText="1"/>
    </xf>
    <xf numFmtId="0" fontId="32" fillId="0" borderId="0" xfId="56" applyFont="1" applyAlignment="1">
      <alignment horizontal="left"/>
    </xf>
    <xf numFmtId="0" fontId="36" fillId="28" borderId="13" xfId="56" applyFont="1" applyFill="1" applyBorder="1" applyAlignment="1">
      <alignment horizontal="right" vertical="center" wrapText="1"/>
    </xf>
    <xf numFmtId="0" fontId="36" fillId="28" borderId="14" xfId="56" applyFont="1" applyFill="1" applyBorder="1" applyAlignment="1">
      <alignment horizontal="right" vertical="center" wrapText="1"/>
    </xf>
    <xf numFmtId="49" fontId="39" fillId="28" borderId="14" xfId="0" applyNumberFormat="1" applyFont="1" applyFill="1" applyBorder="1" applyAlignment="1">
      <alignment horizontal="left" vertical="center" wrapText="1"/>
    </xf>
    <xf numFmtId="0" fontId="36" fillId="28" borderId="16" xfId="56" applyFont="1" applyFill="1" applyBorder="1" applyAlignment="1">
      <alignment horizontal="right" vertical="center" wrapText="1"/>
    </xf>
    <xf numFmtId="0" fontId="36" fillId="28" borderId="11" xfId="56" applyFont="1" applyFill="1" applyBorder="1" applyAlignment="1">
      <alignment horizontal="right" vertical="center" wrapText="1"/>
    </xf>
    <xf numFmtId="49" fontId="44" fillId="28" borderId="11" xfId="0" applyNumberFormat="1" applyFont="1" applyFill="1" applyBorder="1" applyAlignment="1">
      <alignment horizontal="left" vertical="center"/>
    </xf>
    <xf numFmtId="0" fontId="36" fillId="29" borderId="24" xfId="0" applyNumberFormat="1" applyFont="1" applyFill="1" applyBorder="1" applyAlignment="1">
      <alignment horizontal="center" vertical="center" wrapText="1"/>
    </xf>
    <xf numFmtId="0" fontId="36" fillId="29" borderId="25" xfId="0" applyNumberFormat="1" applyFont="1" applyFill="1" applyBorder="1" applyAlignment="1">
      <alignment horizontal="center" vertical="center" wrapText="1"/>
    </xf>
    <xf numFmtId="0" fontId="30" fillId="26" borderId="10" xfId="0" applyNumberFormat="1" applyFont="1" applyFill="1" applyBorder="1" applyAlignment="1">
      <alignment horizontal="left" vertical="center" wrapText="1"/>
    </xf>
    <xf numFmtId="0" fontId="30" fillId="26" borderId="24" xfId="0" applyNumberFormat="1" applyFont="1" applyFill="1" applyBorder="1" applyAlignment="1">
      <alignment horizontal="left" vertical="center" wrapText="1"/>
    </xf>
    <xf numFmtId="0" fontId="30" fillId="26" borderId="29" xfId="0" applyNumberFormat="1" applyFont="1" applyFill="1" applyBorder="1" applyAlignment="1">
      <alignment horizontal="left" vertical="center" wrapText="1"/>
    </xf>
    <xf numFmtId="0" fontId="30" fillId="26" borderId="25" xfId="0" applyNumberFormat="1" applyFont="1" applyFill="1" applyBorder="1" applyAlignment="1">
      <alignment horizontal="left" vertical="center" wrapText="1"/>
    </xf>
    <xf numFmtId="0" fontId="30" fillId="26" borderId="10" xfId="0" applyFont="1" applyFill="1" applyBorder="1" applyAlignment="1">
      <alignment horizontal="left" vertical="center" wrapText="1"/>
    </xf>
    <xf numFmtId="0" fontId="30" fillId="26" borderId="24" xfId="0" applyFont="1" applyFill="1" applyBorder="1" applyAlignment="1">
      <alignment horizontal="left" vertical="center" wrapText="1"/>
    </xf>
    <xf numFmtId="0" fontId="30" fillId="26" borderId="29" xfId="0" applyFont="1" applyFill="1" applyBorder="1" applyAlignment="1">
      <alignment horizontal="left" vertical="center" wrapText="1"/>
    </xf>
    <xf numFmtId="0" fontId="30" fillId="26" borderId="25" xfId="0" applyFont="1" applyFill="1" applyBorder="1" applyAlignment="1">
      <alignment horizontal="left" vertical="center" wrapText="1"/>
    </xf>
    <xf numFmtId="0" fontId="51" fillId="26" borderId="24" xfId="0" applyNumberFormat="1" applyFont="1" applyFill="1" applyBorder="1" applyAlignment="1">
      <alignment horizontal="left" vertical="center" wrapText="1"/>
    </xf>
    <xf numFmtId="0" fontId="51" fillId="26" borderId="29" xfId="0" applyNumberFormat="1" applyFont="1" applyFill="1" applyBorder="1" applyAlignment="1">
      <alignment horizontal="left" vertical="center" wrapText="1"/>
    </xf>
    <xf numFmtId="0" fontId="51" fillId="26" borderId="25" xfId="0" applyNumberFormat="1" applyFont="1" applyFill="1" applyBorder="1" applyAlignment="1">
      <alignment horizontal="left" vertical="center" wrapText="1"/>
    </xf>
    <xf numFmtId="0" fontId="51" fillId="26" borderId="10" xfId="0" applyFont="1" applyFill="1" applyBorder="1" applyAlignment="1">
      <alignment horizontal="left" vertical="center" wrapText="1"/>
    </xf>
    <xf numFmtId="0" fontId="33" fillId="0" borderId="13" xfId="0" applyFont="1" applyFill="1" applyBorder="1" applyAlignment="1">
      <alignment horizontal="right" vertical="center" wrapText="1"/>
    </xf>
    <xf numFmtId="0" fontId="33" fillId="0" borderId="12" xfId="0" applyFont="1" applyFill="1" applyBorder="1" applyAlignment="1">
      <alignment horizontal="right" vertical="center" wrapText="1"/>
    </xf>
    <xf numFmtId="165" fontId="33" fillId="0" borderId="15" xfId="0" applyNumberFormat="1" applyFont="1" applyFill="1" applyBorder="1" applyAlignment="1">
      <alignment horizontal="left" vertical="center" wrapText="1"/>
    </xf>
    <xf numFmtId="165" fontId="33" fillId="0" borderId="17" xfId="0" applyNumberFormat="1" applyFont="1" applyFill="1" applyBorder="1" applyAlignment="1">
      <alignment horizontal="left" vertical="center" wrapText="1"/>
    </xf>
    <xf numFmtId="0" fontId="32" fillId="0" borderId="10" xfId="0" applyFont="1" applyFill="1" applyBorder="1" applyAlignment="1">
      <alignment horizontal="center" vertical="center" wrapText="1"/>
    </xf>
    <xf numFmtId="0" fontId="33" fillId="30" borderId="13" xfId="0" applyFont="1" applyFill="1" applyBorder="1" applyAlignment="1">
      <alignment horizontal="right" vertical="center" wrapText="1"/>
    </xf>
    <xf numFmtId="0" fontId="33" fillId="30" borderId="12" xfId="0" applyFont="1" applyFill="1" applyBorder="1" applyAlignment="1">
      <alignment horizontal="right" vertical="center" wrapText="1"/>
    </xf>
    <xf numFmtId="165" fontId="33" fillId="30" borderId="15" xfId="0" applyNumberFormat="1" applyFont="1" applyFill="1" applyBorder="1" applyAlignment="1">
      <alignment horizontal="left" vertical="center" wrapText="1"/>
    </xf>
    <xf numFmtId="165" fontId="33" fillId="30" borderId="17" xfId="0" applyNumberFormat="1" applyFont="1" applyFill="1" applyBorder="1" applyAlignment="1">
      <alignment horizontal="left" vertical="center" wrapText="1"/>
    </xf>
    <xf numFmtId="0" fontId="32" fillId="30" borderId="10" xfId="0" applyFont="1" applyFill="1" applyBorder="1" applyAlignment="1">
      <alignment horizontal="center" vertical="center" wrapText="1"/>
    </xf>
    <xf numFmtId="49" fontId="39" fillId="28" borderId="14" xfId="0" applyNumberFormat="1" applyFont="1" applyFill="1" applyBorder="1" applyAlignment="1">
      <alignment horizontal="center" vertical="center" wrapText="1"/>
    </xf>
    <xf numFmtId="0" fontId="33" fillId="0" borderId="12" xfId="0" applyNumberFormat="1" applyFont="1" applyFill="1" applyBorder="1" applyAlignment="1">
      <alignment horizontal="right" vertical="center" wrapText="1"/>
    </xf>
    <xf numFmtId="0" fontId="33" fillId="0" borderId="26" xfId="0" applyNumberFormat="1" applyFont="1" applyFill="1" applyBorder="1" applyAlignment="1">
      <alignment horizontal="right" vertical="center" wrapText="1"/>
    </xf>
    <xf numFmtId="165" fontId="33" fillId="0" borderId="27" xfId="0" applyNumberFormat="1" applyFont="1" applyFill="1" applyBorder="1" applyAlignment="1">
      <alignment horizontal="left" vertical="center" wrapText="1"/>
    </xf>
    <xf numFmtId="0" fontId="32" fillId="0" borderId="22" xfId="0" applyNumberFormat="1" applyFont="1" applyFill="1" applyBorder="1" applyAlignment="1">
      <alignment horizontal="center" vertical="center" wrapText="1"/>
    </xf>
    <xf numFmtId="0" fontId="32" fillId="0" borderId="23" xfId="0" applyNumberFormat="1" applyFont="1" applyFill="1" applyBorder="1" applyAlignment="1">
      <alignment horizontal="center" vertical="center" wrapText="1"/>
    </xf>
    <xf numFmtId="0" fontId="32" fillId="0" borderId="10" xfId="0" applyNumberFormat="1" applyFont="1" applyFill="1" applyBorder="1" applyAlignment="1">
      <alignment horizontal="center" vertical="center" wrapText="1"/>
    </xf>
    <xf numFmtId="0" fontId="32" fillId="0" borderId="22" xfId="0" applyFont="1" applyFill="1" applyBorder="1" applyAlignment="1">
      <alignment horizontal="center" vertical="center" wrapText="1"/>
    </xf>
    <xf numFmtId="0" fontId="32" fillId="0" borderId="23" xfId="0" applyFont="1" applyFill="1" applyBorder="1" applyAlignment="1">
      <alignment horizontal="center" vertical="center" wrapText="1"/>
    </xf>
    <xf numFmtId="0" fontId="33" fillId="0" borderId="13" xfId="0" applyNumberFormat="1" applyFont="1" applyFill="1" applyBorder="1" applyAlignment="1">
      <alignment horizontal="right" vertical="center" wrapText="1"/>
    </xf>
    <xf numFmtId="49" fontId="33" fillId="0" borderId="15" xfId="0" applyNumberFormat="1" applyFont="1" applyFill="1" applyBorder="1" applyAlignment="1">
      <alignment horizontal="left" vertical="center" wrapText="1"/>
    </xf>
    <xf numFmtId="49" fontId="33" fillId="0" borderId="17" xfId="0" applyNumberFormat="1" applyFont="1" applyFill="1" applyBorder="1" applyAlignment="1">
      <alignment horizontal="left" vertical="center" wrapText="1"/>
    </xf>
    <xf numFmtId="0" fontId="32" fillId="0" borderId="21" xfId="0" applyFont="1" applyFill="1" applyBorder="1" applyAlignment="1">
      <alignment horizontal="center" vertical="center" wrapText="1"/>
    </xf>
    <xf numFmtId="49" fontId="33" fillId="0" borderId="27" xfId="0" applyNumberFormat="1" applyFont="1" applyFill="1" applyBorder="1" applyAlignment="1">
      <alignment horizontal="left" vertical="center" wrapText="1"/>
    </xf>
    <xf numFmtId="0" fontId="32" fillId="0" borderId="21" xfId="0" applyNumberFormat="1" applyFont="1" applyFill="1" applyBorder="1" applyAlignment="1">
      <alignment horizontal="center" vertical="center" wrapText="1"/>
    </xf>
    <xf numFmtId="0" fontId="47" fillId="0" borderId="12" xfId="0" applyNumberFormat="1" applyFont="1" applyFill="1" applyBorder="1" applyAlignment="1">
      <alignment horizontal="right" vertical="center" wrapText="1"/>
    </xf>
    <xf numFmtId="0" fontId="47" fillId="0" borderId="26" xfId="0" applyNumberFormat="1" applyFont="1" applyFill="1" applyBorder="1" applyAlignment="1">
      <alignment horizontal="right" vertical="center" wrapText="1"/>
    </xf>
    <xf numFmtId="165" fontId="47" fillId="0" borderId="17" xfId="0" applyNumberFormat="1" applyFont="1" applyFill="1" applyBorder="1" applyAlignment="1">
      <alignment horizontal="left" vertical="center" wrapText="1"/>
    </xf>
    <xf numFmtId="165" fontId="47" fillId="0" borderId="27" xfId="0" applyNumberFormat="1" applyFont="1" applyFill="1" applyBorder="1" applyAlignment="1">
      <alignment horizontal="left" vertical="center" wrapText="1"/>
    </xf>
    <xf numFmtId="0" fontId="48" fillId="0" borderId="22" xfId="0" applyNumberFormat="1" applyFont="1" applyFill="1" applyBorder="1" applyAlignment="1">
      <alignment horizontal="center" vertical="center" wrapText="1"/>
    </xf>
    <xf numFmtId="0" fontId="48" fillId="0" borderId="23" xfId="0" applyNumberFormat="1" applyFont="1" applyFill="1" applyBorder="1" applyAlignment="1">
      <alignment horizontal="center" vertical="center" wrapText="1"/>
    </xf>
    <xf numFmtId="0" fontId="33" fillId="0" borderId="26" xfId="0" applyFont="1" applyFill="1" applyBorder="1" applyAlignment="1">
      <alignment horizontal="right" vertical="center" wrapText="1"/>
    </xf>
  </cellXfs>
  <cellStyles count="73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Chybně 2" xfId="26" xr:uid="{00000000-0005-0000-0000-000018000000}"/>
    <cellStyle name="fnRegressQ" xfId="20" xr:uid="{00000000-0005-0000-0000-000013000000}"/>
    <cellStyle name="fnRegressQ 2" xfId="21" xr:uid="{00000000-0005-0000-0000-000014000000}"/>
    <cellStyle name="fnRegressQ 2 2" xfId="22" xr:uid="{00000000-0005-0000-0000-000015000000}"/>
    <cellStyle name="fnRegressQ 3" xfId="23" xr:uid="{00000000-0005-0000-0000-000016000000}"/>
    <cellStyle name="Good" xfId="24" builtinId="26"/>
    <cellStyle name="Hyperlink 2" xfId="25" xr:uid="{00000000-0005-0000-0000-000017000000}"/>
    <cellStyle name="Kontrolní buňka 2" xfId="27" xr:uid="{00000000-0005-0000-0000-000019000000}"/>
    <cellStyle name="Nadpis 1 2" xfId="28" xr:uid="{00000000-0005-0000-0000-00001A000000}"/>
    <cellStyle name="Nadpis 2 2" xfId="29" xr:uid="{00000000-0005-0000-0000-00001B000000}"/>
    <cellStyle name="Nadpis 3 2" xfId="30" xr:uid="{00000000-0005-0000-0000-00001C000000}"/>
    <cellStyle name="Nadpis 4 2" xfId="31" xr:uid="{00000000-0005-0000-0000-00001D000000}"/>
    <cellStyle name="Název 2" xfId="32" xr:uid="{00000000-0005-0000-0000-00001E000000}"/>
    <cellStyle name="Neutrální 2" xfId="33" xr:uid="{00000000-0005-0000-0000-00001F000000}"/>
    <cellStyle name="Normal" xfId="0" builtinId="0"/>
    <cellStyle name="Normal 2" xfId="34" xr:uid="{00000000-0005-0000-0000-000020000000}"/>
    <cellStyle name="normální 2" xfId="35" xr:uid="{00000000-0005-0000-0000-000022000000}"/>
    <cellStyle name="Normální 2 10" xfId="36" xr:uid="{00000000-0005-0000-0000-000023000000}"/>
    <cellStyle name="normální 2 2" xfId="37" xr:uid="{00000000-0005-0000-0000-000024000000}"/>
    <cellStyle name="normální 2 2 2" xfId="38" xr:uid="{00000000-0005-0000-0000-000025000000}"/>
    <cellStyle name="normální 2 2 3" xfId="39" xr:uid="{00000000-0005-0000-0000-000026000000}"/>
    <cellStyle name="normální 2 3" xfId="40" xr:uid="{00000000-0005-0000-0000-000027000000}"/>
    <cellStyle name="Normální 2 4" xfId="41" xr:uid="{00000000-0005-0000-0000-000028000000}"/>
    <cellStyle name="Normální 2 5" xfId="42" xr:uid="{00000000-0005-0000-0000-000029000000}"/>
    <cellStyle name="Normální 2 6" xfId="43" xr:uid="{00000000-0005-0000-0000-00002A000000}"/>
    <cellStyle name="Normální 2 7" xfId="44" xr:uid="{00000000-0005-0000-0000-00002B000000}"/>
    <cellStyle name="Normální 2 8" xfId="45" xr:uid="{00000000-0005-0000-0000-00002C000000}"/>
    <cellStyle name="Normální 2 9" xfId="46" xr:uid="{00000000-0005-0000-0000-00002D000000}"/>
    <cellStyle name="normální 3" xfId="47" xr:uid="{00000000-0005-0000-0000-00002E000000}"/>
    <cellStyle name="Normální 3 2" xfId="48" xr:uid="{00000000-0005-0000-0000-00002F000000}"/>
    <cellStyle name="Normální 4" xfId="49" xr:uid="{00000000-0005-0000-0000-000030000000}"/>
    <cellStyle name="Normální 4 2" xfId="50" xr:uid="{00000000-0005-0000-0000-000031000000}"/>
    <cellStyle name="Normální 5" xfId="51" xr:uid="{00000000-0005-0000-0000-000032000000}"/>
    <cellStyle name="Normální 6" xfId="52" xr:uid="{00000000-0005-0000-0000-000033000000}"/>
    <cellStyle name="Normální 7" xfId="53" xr:uid="{00000000-0005-0000-0000-000034000000}"/>
    <cellStyle name="normální_01_ARS_12_tbz_00" xfId="54" xr:uid="{00000000-0005-0000-0000-000035000000}"/>
    <cellStyle name="normální_manual_tab_mist" xfId="55" xr:uid="{00000000-0005-0000-0000-000036000000}"/>
    <cellStyle name="normální_manual_tab_mist 2" xfId="56" xr:uid="{00000000-0005-0000-0000-000037000000}"/>
    <cellStyle name="normální_sa_SO11B_111_tbd_00" xfId="57" xr:uid="{00000000-0005-0000-0000-000038000000}"/>
    <cellStyle name="normální_skladba_rev32-prac 2" xfId="58" xr:uid="{00000000-0005-0000-0000-000039000000}"/>
    <cellStyle name="Poznámka 2" xfId="59" xr:uid="{00000000-0005-0000-0000-00003A000000}"/>
    <cellStyle name="Propojená buňka 2" xfId="60" xr:uid="{00000000-0005-0000-0000-00003B000000}"/>
    <cellStyle name="Správně 2" xfId="61" xr:uid="{00000000-0005-0000-0000-00003D000000}"/>
    <cellStyle name="Text upozornění 2" xfId="62" xr:uid="{00000000-0005-0000-0000-00003E000000}"/>
    <cellStyle name="Vstup 2" xfId="63" xr:uid="{00000000-0005-0000-0000-00003F000000}"/>
    <cellStyle name="Výpočet 2" xfId="64" xr:uid="{00000000-0005-0000-0000-000040000000}"/>
    <cellStyle name="Výstup 2" xfId="65" xr:uid="{00000000-0005-0000-0000-000041000000}"/>
    <cellStyle name="Vysvětlující text 2" xfId="66" xr:uid="{00000000-0005-0000-0000-000042000000}"/>
    <cellStyle name="Zvýraznění 1 2" xfId="67" xr:uid="{00000000-0005-0000-0000-000043000000}"/>
    <cellStyle name="Zvýraznění 2 2" xfId="68" xr:uid="{00000000-0005-0000-0000-000044000000}"/>
    <cellStyle name="Zvýraznění 3 2" xfId="69" xr:uid="{00000000-0005-0000-0000-000045000000}"/>
    <cellStyle name="Zvýraznění 4 2" xfId="70" xr:uid="{00000000-0005-0000-0000-000046000000}"/>
    <cellStyle name="Zvýraznění 5 2" xfId="71" xr:uid="{00000000-0005-0000-0000-000047000000}"/>
    <cellStyle name="Zvýraznění 6 2" xfId="72" xr:uid="{00000000-0005-0000-0000-00004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2276475</xdr:colOff>
      <xdr:row>10</xdr:row>
      <xdr:rowOff>456481</xdr:rowOff>
    </xdr:from>
    <xdr:to>
      <xdr:col>1</xdr:col>
      <xdr:colOff>2276475</xdr:colOff>
      <xdr:row>15</xdr:row>
      <xdr:rowOff>7188</xdr:rowOff>
    </xdr:to>
    <xdr:sp macro="" textlink="">
      <xdr:nvSpPr>
        <xdr:cNvPr id="1402" name="Line 5">
          <a:extLst>
            <a:ext uri="{FF2B5EF4-FFF2-40B4-BE49-F238E27FC236}">
              <a16:creationId xmlns:a16="http://schemas.microsoft.com/office/drawing/2014/main" id="{8620FF8E-D7A2-4088-9A06-969F179B2FF9}"/>
            </a:ext>
          </a:extLst>
        </xdr:cNvPr>
        <xdr:cNvSpPr>
          <a:spLocks noChangeShapeType="1"/>
        </xdr:cNvSpPr>
      </xdr:nvSpPr>
      <xdr:spPr bwMode="auto">
        <a:xfrm>
          <a:off x="5324475" y="3127075"/>
          <a:ext cx="0" cy="81232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1809750</xdr:colOff>
      <xdr:row>13</xdr:row>
      <xdr:rowOff>0</xdr:rowOff>
    </xdr:to>
    <xdr:sp macro="" textlink="">
      <xdr:nvSpPr>
        <xdr:cNvPr id="1405" name="Line 2">
          <a:extLst>
            <a:ext uri="{FF2B5EF4-FFF2-40B4-BE49-F238E27FC236}">
              <a16:creationId xmlns:a16="http://schemas.microsoft.com/office/drawing/2014/main" id="{5D5D133F-F808-4C24-B9F5-63AF47CD254D}"/>
            </a:ext>
          </a:extLst>
        </xdr:cNvPr>
        <xdr:cNvSpPr>
          <a:spLocks noChangeShapeType="1"/>
        </xdr:cNvSpPr>
      </xdr:nvSpPr>
      <xdr:spPr bwMode="auto">
        <a:xfrm>
          <a:off x="3048000" y="3524250"/>
          <a:ext cx="180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2336</xdr:colOff>
      <xdr:row>15</xdr:row>
      <xdr:rowOff>0</xdr:rowOff>
    </xdr:from>
    <xdr:to>
      <xdr:col>1</xdr:col>
      <xdr:colOff>2278811</xdr:colOff>
      <xdr:row>15</xdr:row>
      <xdr:rowOff>0</xdr:rowOff>
    </xdr:to>
    <xdr:sp macro="" textlink="">
      <xdr:nvSpPr>
        <xdr:cNvPr id="1407" name="Line 6">
          <a:extLst>
            <a:ext uri="{FF2B5EF4-FFF2-40B4-BE49-F238E27FC236}">
              <a16:creationId xmlns:a16="http://schemas.microsoft.com/office/drawing/2014/main" id="{8A5DB423-39C2-47EE-987D-21B61D7DD221}"/>
            </a:ext>
          </a:extLst>
        </xdr:cNvPr>
        <xdr:cNvSpPr>
          <a:spLocks noChangeShapeType="1"/>
        </xdr:cNvSpPr>
      </xdr:nvSpPr>
      <xdr:spPr bwMode="auto">
        <a:xfrm>
          <a:off x="3050336" y="3932208"/>
          <a:ext cx="2276475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1807953</xdr:colOff>
      <xdr:row>10</xdr:row>
      <xdr:rowOff>438151</xdr:rowOff>
    </xdr:from>
    <xdr:to>
      <xdr:col>1</xdr:col>
      <xdr:colOff>1809749</xdr:colOff>
      <xdr:row>13</xdr:row>
      <xdr:rowOff>3594</xdr:rowOff>
    </xdr:to>
    <xdr:sp macro="" textlink="">
      <xdr:nvSpPr>
        <xdr:cNvPr id="1408" name="Line 3">
          <a:extLst>
            <a:ext uri="{FF2B5EF4-FFF2-40B4-BE49-F238E27FC236}">
              <a16:creationId xmlns:a16="http://schemas.microsoft.com/office/drawing/2014/main" id="{28BF0A7F-12CD-4AD6-9361-C1AD35BCD20E}"/>
            </a:ext>
          </a:extLst>
        </xdr:cNvPr>
        <xdr:cNvSpPr>
          <a:spLocks noChangeShapeType="1"/>
        </xdr:cNvSpPr>
      </xdr:nvSpPr>
      <xdr:spPr bwMode="auto">
        <a:xfrm flipH="1">
          <a:off x="4855953" y="3108745"/>
          <a:ext cx="1796" cy="424491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"/>
  <sheetViews>
    <sheetView view="pageBreakPreview" zoomScale="40" zoomScaleNormal="100" zoomScaleSheetLayoutView="40" workbookViewId="0">
      <selection activeCell="G11" sqref="G11"/>
    </sheetView>
  </sheetViews>
  <sheetFormatPr defaultColWidth="9.33203125" defaultRowHeight="15.75" x14ac:dyDescent="0.25"/>
  <cols>
    <col min="1" max="1" width="35.5546875" style="7" customWidth="1"/>
    <col min="2" max="2" width="45.109375" style="6" customWidth="1"/>
    <col min="3" max="3" width="6.109375" style="6" customWidth="1"/>
    <col min="4" max="4" width="10.77734375" style="6" customWidth="1"/>
    <col min="5" max="6" width="25.77734375" style="6" customWidth="1"/>
    <col min="7" max="7" width="16.109375" style="6" customWidth="1"/>
    <col min="8" max="16384" width="9.33203125" style="6"/>
  </cols>
  <sheetData>
    <row r="1" spans="1:12" ht="23.25" x14ac:dyDescent="0.25">
      <c r="A1" s="44" t="s">
        <v>3</v>
      </c>
      <c r="B1" s="58" t="s">
        <v>34</v>
      </c>
      <c r="C1" s="21"/>
      <c r="D1" s="22"/>
      <c r="E1" s="22"/>
      <c r="F1" s="46" t="s">
        <v>4</v>
      </c>
      <c r="G1" s="23" t="s">
        <v>33</v>
      </c>
      <c r="H1" s="4"/>
      <c r="I1" s="5"/>
      <c r="J1" s="5"/>
      <c r="K1" s="5"/>
      <c r="L1" s="5"/>
    </row>
    <row r="2" spans="1:12" ht="24" thickBot="1" x14ac:dyDescent="0.3">
      <c r="A2" s="45" t="s">
        <v>0</v>
      </c>
      <c r="B2" s="53" t="s">
        <v>23</v>
      </c>
      <c r="C2" s="24"/>
      <c r="D2" s="25"/>
      <c r="E2" s="25"/>
      <c r="F2" s="47" t="s">
        <v>5</v>
      </c>
      <c r="G2" s="26" t="s">
        <v>438</v>
      </c>
      <c r="H2" s="4"/>
      <c r="I2" s="5"/>
      <c r="J2" s="5"/>
      <c r="K2" s="5"/>
      <c r="L2" s="5"/>
    </row>
    <row r="3" spans="1:12" ht="9" customHeight="1" x14ac:dyDescent="0.25"/>
    <row r="4" spans="1:12" ht="23.25" x14ac:dyDescent="0.25">
      <c r="A4" s="29" t="s">
        <v>6</v>
      </c>
      <c r="B4" s="27"/>
      <c r="C4" s="27"/>
      <c r="D4" s="27"/>
      <c r="E4" s="27"/>
      <c r="F4" s="27"/>
      <c r="G4" s="27"/>
    </row>
    <row r="5" spans="1:12" s="8" customFormat="1" ht="21" x14ac:dyDescent="0.35"/>
    <row r="7" spans="1:12" s="9" customFormat="1" ht="18" customHeight="1" x14ac:dyDescent="0.35">
      <c r="A7" s="54" t="s">
        <v>92</v>
      </c>
    </row>
    <row r="8" spans="1:12" ht="36" x14ac:dyDescent="0.55000000000000004">
      <c r="B8" s="10" t="s">
        <v>93</v>
      </c>
    </row>
    <row r="9" spans="1:12" ht="21.75" customHeight="1" x14ac:dyDescent="0.25">
      <c r="A9" s="12"/>
      <c r="B9" s="13"/>
      <c r="C9" s="9"/>
    </row>
    <row r="10" spans="1:12" s="9" customFormat="1" ht="18" customHeight="1" x14ac:dyDescent="0.35">
      <c r="A10" s="54" t="s">
        <v>24</v>
      </c>
    </row>
    <row r="11" spans="1:12" ht="36" x14ac:dyDescent="0.55000000000000004">
      <c r="B11" s="10" t="s">
        <v>13</v>
      </c>
    </row>
    <row r="12" spans="1:12" x14ac:dyDescent="0.25">
      <c r="C12" s="9"/>
    </row>
    <row r="13" spans="1:12" x14ac:dyDescent="0.25">
      <c r="A13" s="11"/>
      <c r="B13" s="6" t="s">
        <v>127</v>
      </c>
      <c r="C13" s="9"/>
    </row>
    <row r="14" spans="1:12" x14ac:dyDescent="0.25">
      <c r="A14" s="11"/>
      <c r="C14" s="9"/>
    </row>
    <row r="15" spans="1:12" x14ac:dyDescent="0.25">
      <c r="B15" s="6" t="s">
        <v>21</v>
      </c>
      <c r="C15" s="9"/>
    </row>
    <row r="16" spans="1:12" x14ac:dyDescent="0.25">
      <c r="A16" s="11"/>
      <c r="C16" s="9"/>
    </row>
    <row r="17" spans="1:7" x14ac:dyDescent="0.25">
      <c r="A17" s="11"/>
      <c r="C17" s="9"/>
    </row>
    <row r="18" spans="1:7" s="9" customFormat="1" ht="18" customHeight="1" x14ac:dyDescent="0.35">
      <c r="A18" s="54" t="s">
        <v>25</v>
      </c>
    </row>
    <row r="19" spans="1:7" ht="36" x14ac:dyDescent="0.55000000000000004">
      <c r="B19" s="10" t="s">
        <v>14</v>
      </c>
    </row>
    <row r="20" spans="1:7" ht="21.75" customHeight="1" x14ac:dyDescent="0.25">
      <c r="A20" s="12"/>
      <c r="B20" s="13"/>
      <c r="C20" s="9"/>
    </row>
    <row r="21" spans="1:7" s="9" customFormat="1" ht="18" customHeight="1" x14ac:dyDescent="0.35">
      <c r="A21" s="54" t="s">
        <v>94</v>
      </c>
    </row>
    <row r="22" spans="1:7" ht="36" x14ac:dyDescent="0.55000000000000004">
      <c r="B22" s="10" t="s">
        <v>95</v>
      </c>
    </row>
    <row r="23" spans="1:7" ht="21.75" customHeight="1" x14ac:dyDescent="0.25">
      <c r="A23" s="12"/>
      <c r="B23" s="13"/>
      <c r="C23" s="9"/>
    </row>
    <row r="24" spans="1:7" s="9" customFormat="1" ht="18" customHeight="1" x14ac:dyDescent="0.35">
      <c r="A24" s="54" t="s">
        <v>26</v>
      </c>
    </row>
    <row r="25" spans="1:7" ht="36" x14ac:dyDescent="0.55000000000000004">
      <c r="B25" s="10" t="s">
        <v>20</v>
      </c>
    </row>
    <row r="26" spans="1:7" ht="21.75" customHeight="1" x14ac:dyDescent="0.25">
      <c r="A26" s="12"/>
      <c r="B26" s="13"/>
      <c r="C26" s="9"/>
    </row>
    <row r="27" spans="1:7" ht="23.25" x14ac:dyDescent="0.25">
      <c r="A27" s="30" t="s">
        <v>27</v>
      </c>
      <c r="B27" s="28"/>
      <c r="C27" s="27"/>
      <c r="D27" s="27"/>
      <c r="E27" s="27"/>
      <c r="F27" s="27"/>
      <c r="G27" s="27"/>
    </row>
    <row r="28" spans="1:7" ht="21.75" customHeight="1" x14ac:dyDescent="0.25">
      <c r="A28" s="12"/>
      <c r="B28" s="13"/>
      <c r="C28" s="9"/>
    </row>
    <row r="29" spans="1:7" ht="21.75" customHeight="1" x14ac:dyDescent="0.25">
      <c r="A29" s="12"/>
      <c r="B29" s="13"/>
      <c r="C29" s="9"/>
    </row>
    <row r="30" spans="1:7" ht="21.75" customHeight="1" x14ac:dyDescent="0.35">
      <c r="A30" s="51" t="s">
        <v>22</v>
      </c>
      <c r="B30" s="52"/>
      <c r="C30" s="27"/>
      <c r="D30" s="27"/>
      <c r="E30" s="27"/>
      <c r="F30" s="27"/>
      <c r="G30" s="27"/>
    </row>
    <row r="31" spans="1:7" ht="167.25" customHeight="1" x14ac:dyDescent="0.25">
      <c r="A31" s="164" t="s">
        <v>28</v>
      </c>
      <c r="B31" s="165"/>
      <c r="C31" s="165"/>
      <c r="D31" s="165"/>
      <c r="E31" s="165"/>
      <c r="F31" s="165"/>
      <c r="G31" s="165"/>
    </row>
    <row r="32" spans="1:7" x14ac:dyDescent="0.25">
      <c r="A32" s="14"/>
      <c r="C32" s="9"/>
    </row>
    <row r="33" spans="1:7" x14ac:dyDescent="0.25">
      <c r="A33" s="162"/>
      <c r="B33" s="162"/>
      <c r="C33" s="163"/>
      <c r="D33" s="162"/>
      <c r="E33" s="162"/>
      <c r="F33" s="162"/>
      <c r="G33" s="162"/>
    </row>
    <row r="34" spans="1:7" x14ac:dyDescent="0.25">
      <c r="A34" s="15"/>
      <c r="B34" s="9"/>
      <c r="C34" s="9"/>
    </row>
    <row r="35" spans="1:7" ht="17.25" customHeight="1" x14ac:dyDescent="0.25">
      <c r="A35" s="16"/>
      <c r="B35" s="9"/>
      <c r="C35" s="1"/>
    </row>
    <row r="36" spans="1:7" x14ac:dyDescent="0.25">
      <c r="C36" s="1"/>
    </row>
    <row r="37" spans="1:7" x14ac:dyDescent="0.25">
      <c r="C37" s="1"/>
      <c r="F37" s="17"/>
    </row>
    <row r="38" spans="1:7" x14ac:dyDescent="0.25">
      <c r="C38" s="9"/>
    </row>
    <row r="39" spans="1:7" ht="17.25" customHeight="1" x14ac:dyDescent="0.25">
      <c r="C39" s="1"/>
    </row>
    <row r="40" spans="1:7" ht="17.25" customHeight="1" x14ac:dyDescent="0.25">
      <c r="C40" s="1"/>
    </row>
    <row r="41" spans="1:7" x14ac:dyDescent="0.25">
      <c r="C41" s="1"/>
    </row>
    <row r="42" spans="1:7" x14ac:dyDescent="0.25">
      <c r="C42" s="1"/>
      <c r="F42" s="17"/>
    </row>
    <row r="43" spans="1:7" x14ac:dyDescent="0.25">
      <c r="C43" s="1"/>
    </row>
    <row r="44" spans="1:7" x14ac:dyDescent="0.25">
      <c r="C44" s="1"/>
      <c r="F44" s="9"/>
      <c r="G44" s="9"/>
    </row>
    <row r="45" spans="1:7" ht="17.25" customHeight="1" x14ac:dyDescent="0.25">
      <c r="F45" s="9"/>
      <c r="G45" s="9"/>
    </row>
    <row r="46" spans="1:7" x14ac:dyDescent="0.25">
      <c r="C46" s="9"/>
      <c r="F46" s="18"/>
      <c r="G46" s="9"/>
    </row>
    <row r="47" spans="1:7" x14ac:dyDescent="0.25">
      <c r="C47" s="1"/>
      <c r="D47" s="7"/>
      <c r="E47" s="7"/>
      <c r="F47" s="9"/>
    </row>
    <row r="48" spans="1:7" x14ac:dyDescent="0.25">
      <c r="C48" s="9"/>
      <c r="G48" s="9"/>
    </row>
    <row r="49" spans="1:7" x14ac:dyDescent="0.25">
      <c r="C49" s="9"/>
      <c r="F49" s="9"/>
      <c r="G49" s="9"/>
    </row>
    <row r="50" spans="1:7" x14ac:dyDescent="0.25">
      <c r="C50" s="1"/>
      <c r="D50" s="7"/>
      <c r="E50" s="7"/>
    </row>
    <row r="51" spans="1:7" x14ac:dyDescent="0.25">
      <c r="C51" s="1"/>
      <c r="F51" s="9"/>
      <c r="G51" s="9"/>
    </row>
    <row r="52" spans="1:7" x14ac:dyDescent="0.25">
      <c r="C52" s="2"/>
      <c r="F52" s="19"/>
    </row>
    <row r="53" spans="1:7" s="9" customFormat="1" ht="30.75" customHeight="1" x14ac:dyDescent="0.25">
      <c r="A53" s="7"/>
      <c r="B53" s="6"/>
      <c r="C53" s="2"/>
      <c r="F53" s="20"/>
    </row>
    <row r="54" spans="1:7" x14ac:dyDescent="0.25">
      <c r="C54" s="1"/>
    </row>
    <row r="55" spans="1:7" x14ac:dyDescent="0.25">
      <c r="C55" s="1"/>
    </row>
    <row r="56" spans="1:7" x14ac:dyDescent="0.25">
      <c r="C56" s="1"/>
    </row>
    <row r="57" spans="1:7" x14ac:dyDescent="0.25">
      <c r="C57" s="1"/>
    </row>
    <row r="58" spans="1:7" x14ac:dyDescent="0.25">
      <c r="C58" s="1"/>
    </row>
    <row r="59" spans="1:7" x14ac:dyDescent="0.25">
      <c r="C59" s="1"/>
    </row>
    <row r="60" spans="1:7" x14ac:dyDescent="0.25">
      <c r="C60" s="1"/>
    </row>
    <row r="61" spans="1:7" x14ac:dyDescent="0.25">
      <c r="C61" s="1"/>
    </row>
    <row r="62" spans="1:7" x14ac:dyDescent="0.25">
      <c r="C62" s="9"/>
    </row>
    <row r="63" spans="1:7" x14ac:dyDescent="0.25">
      <c r="C63" s="1"/>
    </row>
    <row r="64" spans="1:7" x14ac:dyDescent="0.25">
      <c r="C64" s="1"/>
    </row>
    <row r="65" spans="3:3" x14ac:dyDescent="0.25">
      <c r="C65" s="9"/>
    </row>
    <row r="66" spans="3:3" x14ac:dyDescent="0.25">
      <c r="C66" s="9"/>
    </row>
    <row r="67" spans="3:3" x14ac:dyDescent="0.25">
      <c r="C67" s="1"/>
    </row>
    <row r="68" spans="3:3" x14ac:dyDescent="0.25">
      <c r="C68" s="1"/>
    </row>
    <row r="69" spans="3:3" x14ac:dyDescent="0.25">
      <c r="C69" s="9"/>
    </row>
    <row r="70" spans="3:3" x14ac:dyDescent="0.25">
      <c r="C70" s="1"/>
    </row>
    <row r="71" spans="3:3" x14ac:dyDescent="0.25">
      <c r="C71" s="1"/>
    </row>
    <row r="72" spans="3:3" x14ac:dyDescent="0.25">
      <c r="C72" s="3"/>
    </row>
    <row r="73" spans="3:3" x14ac:dyDescent="0.25">
      <c r="C73" s="3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9"/>
    </row>
    <row r="79" spans="3:3" x14ac:dyDescent="0.25">
      <c r="C79" s="9"/>
    </row>
    <row r="80" spans="3:3" x14ac:dyDescent="0.25">
      <c r="C80" s="9"/>
    </row>
    <row r="81" spans="3:15" x14ac:dyDescent="0.25">
      <c r="C81" s="1"/>
    </row>
    <row r="82" spans="3:15" x14ac:dyDescent="0.25">
      <c r="C82" s="1"/>
    </row>
    <row r="83" spans="3:15" x14ac:dyDescent="0.25">
      <c r="C83" s="9"/>
    </row>
    <row r="84" spans="3:15" x14ac:dyDescent="0.25">
      <c r="C84" s="9"/>
    </row>
    <row r="85" spans="3:15" x14ac:dyDescent="0.25">
      <c r="C85" s="9"/>
    </row>
    <row r="86" spans="3:15" x14ac:dyDescent="0.25">
      <c r="C86" s="9"/>
    </row>
    <row r="87" spans="3:15" x14ac:dyDescent="0.25">
      <c r="C87" s="9"/>
    </row>
    <row r="88" spans="3:15" x14ac:dyDescent="0.25">
      <c r="C88" s="9"/>
    </row>
    <row r="89" spans="3:15" x14ac:dyDescent="0.25">
      <c r="C89" s="9"/>
    </row>
    <row r="90" spans="3:15" x14ac:dyDescent="0.25">
      <c r="C90" s="9"/>
    </row>
    <row r="92" spans="3:15" x14ac:dyDescent="0.25">
      <c r="C92" s="9"/>
    </row>
    <row r="93" spans="3:15" x14ac:dyDescent="0.25">
      <c r="C93" s="9"/>
    </row>
    <row r="94" spans="3:15" x14ac:dyDescent="0.25">
      <c r="C94" s="9"/>
      <c r="F94" s="17"/>
    </row>
    <row r="95" spans="3:15" x14ac:dyDescent="0.25">
      <c r="C95" s="9"/>
    </row>
    <row r="96" spans="3:15" x14ac:dyDescent="0.25">
      <c r="C96" s="9"/>
      <c r="O96" s="9"/>
    </row>
    <row r="97" spans="3:3" x14ac:dyDescent="0.25">
      <c r="C97" s="9"/>
    </row>
    <row r="98" spans="3:3" x14ac:dyDescent="0.25">
      <c r="C98" s="9"/>
    </row>
    <row r="99" spans="3:3" x14ac:dyDescent="0.25">
      <c r="C99" s="9"/>
    </row>
    <row r="100" spans="3:3" x14ac:dyDescent="0.25">
      <c r="C100" s="9"/>
    </row>
    <row r="101" spans="3:3" x14ac:dyDescent="0.25">
      <c r="C101" s="9"/>
    </row>
    <row r="103" spans="3:3" x14ac:dyDescent="0.25">
      <c r="C103" s="9"/>
    </row>
    <row r="104" spans="3:3" x14ac:dyDescent="0.25">
      <c r="C104" s="9"/>
    </row>
  </sheetData>
  <mergeCells count="2">
    <mergeCell ref="A33:G33"/>
    <mergeCell ref="A31:G31"/>
  </mergeCells>
  <pageMargins left="0.70866141732283472" right="0.70866141732283472" top="0.86614173228346458" bottom="0.74803149606299213" header="0.19685039370078741" footer="0.31496062992125984"/>
  <pageSetup paperSize="9" scale="59" orientation="landscape" r:id="rId1"/>
  <headerFooter>
    <oddHeader>&amp;L&amp;G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6D39-A464-49BE-A25F-EE38AD17236B}">
  <sheetPr>
    <pageSetUpPr fitToPage="1"/>
  </sheetPr>
  <dimension ref="A1:G95"/>
  <sheetViews>
    <sheetView view="pageBreakPreview" topLeftCell="A28" zoomScale="70" zoomScaleNormal="70" zoomScaleSheetLayoutView="70" workbookViewId="0">
      <selection activeCell="E2" sqref="E2"/>
    </sheetView>
  </sheetViews>
  <sheetFormatPr defaultColWidth="8.77734375" defaultRowHeight="15.75" x14ac:dyDescent="0.25"/>
  <cols>
    <col min="1" max="2" width="7.77734375" style="39" customWidth="1"/>
    <col min="3" max="3" width="57.5546875" style="40" customWidth="1"/>
    <col min="4" max="4" width="13.44140625" style="41" customWidth="1"/>
    <col min="5" max="5" width="64" style="42" customWidth="1"/>
    <col min="6" max="6" width="20.5546875" style="43" customWidth="1"/>
    <col min="7" max="7" width="27.33203125" style="31" customWidth="1"/>
    <col min="8" max="8" width="26.21875" style="31" customWidth="1"/>
    <col min="9" max="16384" width="8.77734375" style="31"/>
  </cols>
  <sheetData>
    <row r="1" spans="1:7" ht="30" customHeight="1" x14ac:dyDescent="0.25">
      <c r="A1" s="166" t="s">
        <v>1</v>
      </c>
      <c r="B1" s="167"/>
      <c r="C1" s="168" t="str">
        <f>'systém kódování'!B1</f>
        <v>BYTOVÝ SOUBOR LIBUŠE</v>
      </c>
      <c r="D1" s="168"/>
      <c r="E1" s="48" t="s">
        <v>4</v>
      </c>
      <c r="F1" s="55" t="str">
        <f>'systém kódování'!$G$1</f>
        <v>01</v>
      </c>
    </row>
    <row r="2" spans="1:7" ht="30" customHeight="1" thickBot="1" x14ac:dyDescent="0.3">
      <c r="A2" s="169" t="s">
        <v>0</v>
      </c>
      <c r="B2" s="170"/>
      <c r="C2" s="171" t="str">
        <f>'systém kódování'!B2</f>
        <v>TABULKA SKLADEB A POVRCHŮ /  SURFACES AND STRUCTURES TABLE</v>
      </c>
      <c r="D2" s="171"/>
      <c r="E2" s="49" t="s">
        <v>5</v>
      </c>
      <c r="F2" s="26" t="str">
        <f>'systém kódování'!$G$2</f>
        <v>30/11/2021</v>
      </c>
      <c r="G2" s="74"/>
    </row>
    <row r="3" spans="1:7" s="34" customFormat="1" ht="16.5" customHeight="1" x14ac:dyDescent="0.25">
      <c r="A3" s="56"/>
      <c r="B3" s="32"/>
      <c r="C3" s="32"/>
      <c r="D3" s="33"/>
      <c r="E3" s="33"/>
      <c r="F3" s="33"/>
    </row>
    <row r="4" spans="1:7" ht="31.5" x14ac:dyDescent="0.25">
      <c r="A4" s="172" t="s">
        <v>2</v>
      </c>
      <c r="B4" s="173"/>
      <c r="C4" s="109" t="s">
        <v>7</v>
      </c>
      <c r="D4" s="110" t="s">
        <v>9</v>
      </c>
      <c r="E4" s="110" t="s">
        <v>8</v>
      </c>
      <c r="F4" s="110" t="s">
        <v>10</v>
      </c>
      <c r="G4" s="35"/>
    </row>
    <row r="5" spans="1:7" s="34" customFormat="1" ht="18" customHeight="1" x14ac:dyDescent="0.25">
      <c r="A5" s="174" t="s">
        <v>187</v>
      </c>
      <c r="B5" s="174"/>
      <c r="C5" s="174"/>
      <c r="D5" s="174"/>
      <c r="E5" s="174"/>
      <c r="F5" s="174"/>
    </row>
    <row r="6" spans="1:7" s="34" customFormat="1" ht="110.25" x14ac:dyDescent="0.25">
      <c r="A6" s="70" t="s">
        <v>32</v>
      </c>
      <c r="B6" s="71">
        <v>0</v>
      </c>
      <c r="C6" s="60" t="s">
        <v>221</v>
      </c>
      <c r="D6" s="61">
        <v>2</v>
      </c>
      <c r="E6" s="69" t="s">
        <v>253</v>
      </c>
      <c r="F6" s="102" t="s">
        <v>218</v>
      </c>
      <c r="G6" s="66"/>
    </row>
    <row r="7" spans="1:7" s="34" customFormat="1" ht="18" customHeight="1" x14ac:dyDescent="0.25">
      <c r="A7" s="174" t="s">
        <v>180</v>
      </c>
      <c r="B7" s="174"/>
      <c r="C7" s="174"/>
      <c r="D7" s="174"/>
      <c r="E7" s="174"/>
      <c r="F7" s="174"/>
    </row>
    <row r="8" spans="1:7" s="34" customFormat="1" ht="78.75" x14ac:dyDescent="0.25">
      <c r="A8" s="115" t="s">
        <v>32</v>
      </c>
      <c r="B8" s="117">
        <v>1</v>
      </c>
      <c r="C8" s="60" t="s">
        <v>179</v>
      </c>
      <c r="D8" s="61">
        <v>10</v>
      </c>
      <c r="E8" s="69" t="s">
        <v>398</v>
      </c>
      <c r="F8" s="63" t="s">
        <v>219</v>
      </c>
      <c r="G8" s="66"/>
    </row>
    <row r="9" spans="1:7" s="34" customFormat="1" ht="31.5" x14ac:dyDescent="0.25">
      <c r="A9" s="116"/>
      <c r="B9" s="118"/>
      <c r="C9" s="88" t="s">
        <v>39</v>
      </c>
      <c r="D9" s="100">
        <v>5</v>
      </c>
      <c r="E9" s="85" t="s">
        <v>251</v>
      </c>
      <c r="F9" s="87" t="s">
        <v>250</v>
      </c>
      <c r="G9" s="66"/>
    </row>
    <row r="10" spans="1:7" s="96" customFormat="1" ht="21" x14ac:dyDescent="0.25">
      <c r="A10" s="127"/>
      <c r="B10" s="121"/>
      <c r="C10" s="99" t="s">
        <v>17</v>
      </c>
      <c r="D10" s="100" t="s">
        <v>114</v>
      </c>
      <c r="E10" s="85" t="s">
        <v>240</v>
      </c>
      <c r="F10" s="98" t="s">
        <v>241</v>
      </c>
      <c r="G10" s="104"/>
    </row>
    <row r="11" spans="1:7" s="34" customFormat="1" ht="18" customHeight="1" x14ac:dyDescent="0.25">
      <c r="A11" s="178" t="s">
        <v>239</v>
      </c>
      <c r="B11" s="178"/>
      <c r="C11" s="178"/>
      <c r="D11" s="178"/>
      <c r="E11" s="178"/>
      <c r="F11" s="178"/>
    </row>
    <row r="12" spans="1:7" s="34" customFormat="1" ht="78.75" x14ac:dyDescent="0.25">
      <c r="A12" s="119" t="s">
        <v>32</v>
      </c>
      <c r="B12" s="117">
        <v>2</v>
      </c>
      <c r="C12" s="36" t="s">
        <v>179</v>
      </c>
      <c r="D12" s="61">
        <v>10</v>
      </c>
      <c r="E12" s="107" t="s">
        <v>399</v>
      </c>
      <c r="F12" s="102" t="s">
        <v>219</v>
      </c>
      <c r="G12" s="66"/>
    </row>
    <row r="13" spans="1:7" s="96" customFormat="1" ht="31.5" x14ac:dyDescent="0.25">
      <c r="A13" s="116"/>
      <c r="B13" s="118"/>
      <c r="C13" s="99" t="s">
        <v>39</v>
      </c>
      <c r="D13" s="100">
        <v>5</v>
      </c>
      <c r="E13" s="85" t="s">
        <v>251</v>
      </c>
      <c r="F13" s="98" t="s">
        <v>250</v>
      </c>
      <c r="G13" s="104"/>
    </row>
    <row r="14" spans="1:7" s="96" customFormat="1" ht="21" x14ac:dyDescent="0.25">
      <c r="A14" s="127"/>
      <c r="B14" s="121"/>
      <c r="C14" s="99" t="s">
        <v>17</v>
      </c>
      <c r="D14" s="100" t="s">
        <v>114</v>
      </c>
      <c r="E14" s="85" t="s">
        <v>240</v>
      </c>
      <c r="F14" s="98" t="s">
        <v>241</v>
      </c>
      <c r="G14" s="104"/>
    </row>
    <row r="15" spans="1:7" s="34" customFormat="1" ht="18" customHeight="1" x14ac:dyDescent="0.25">
      <c r="A15" s="178" t="s">
        <v>181</v>
      </c>
      <c r="B15" s="178"/>
      <c r="C15" s="178"/>
      <c r="D15" s="178"/>
      <c r="E15" s="178"/>
      <c r="F15" s="178"/>
    </row>
    <row r="16" spans="1:7" s="34" customFormat="1" ht="31.5" x14ac:dyDescent="0.25">
      <c r="A16" s="119" t="s">
        <v>32</v>
      </c>
      <c r="B16" s="117">
        <v>3</v>
      </c>
      <c r="C16" s="60" t="s">
        <v>35</v>
      </c>
      <c r="D16" s="61">
        <v>2.5</v>
      </c>
      <c r="E16" s="69" t="s">
        <v>224</v>
      </c>
      <c r="F16" s="50" t="s">
        <v>222</v>
      </c>
      <c r="G16" s="66"/>
    </row>
    <row r="17" spans="1:7" s="34" customFormat="1" ht="21" x14ac:dyDescent="0.25">
      <c r="A17" s="120"/>
      <c r="B17" s="118"/>
      <c r="C17" s="60" t="s">
        <v>39</v>
      </c>
      <c r="D17" s="61" t="s">
        <v>114</v>
      </c>
      <c r="E17" s="37" t="s">
        <v>16</v>
      </c>
      <c r="F17" s="50" t="s">
        <v>223</v>
      </c>
      <c r="G17" s="66"/>
    </row>
    <row r="18" spans="1:7" s="96" customFormat="1" ht="21" x14ac:dyDescent="0.25">
      <c r="A18" s="120"/>
      <c r="B18" s="118"/>
      <c r="C18" s="99" t="s">
        <v>17</v>
      </c>
      <c r="D18" s="100" t="s">
        <v>114</v>
      </c>
      <c r="E18" s="85" t="s">
        <v>240</v>
      </c>
      <c r="F18" s="98" t="s">
        <v>241</v>
      </c>
      <c r="G18" s="104"/>
    </row>
    <row r="19" spans="1:7" s="34" customFormat="1" ht="21" x14ac:dyDescent="0.25">
      <c r="A19" s="120"/>
      <c r="B19" s="118"/>
      <c r="C19" s="60" t="s">
        <v>129</v>
      </c>
      <c r="D19" s="61">
        <v>4.5</v>
      </c>
      <c r="E19" s="37" t="s">
        <v>225</v>
      </c>
      <c r="F19" s="50" t="s">
        <v>249</v>
      </c>
      <c r="G19" s="66"/>
    </row>
    <row r="20" spans="1:7" s="34" customFormat="1" ht="18" customHeight="1" x14ac:dyDescent="0.25">
      <c r="A20" s="175" t="s">
        <v>182</v>
      </c>
      <c r="B20" s="176"/>
      <c r="C20" s="176"/>
      <c r="D20" s="176"/>
      <c r="E20" s="176"/>
      <c r="F20" s="177"/>
    </row>
    <row r="21" spans="1:7" s="34" customFormat="1" ht="31.5" x14ac:dyDescent="0.25">
      <c r="A21" s="119" t="s">
        <v>32</v>
      </c>
      <c r="B21" s="117">
        <v>4</v>
      </c>
      <c r="C21" s="36" t="s">
        <v>226</v>
      </c>
      <c r="D21" s="61">
        <v>1</v>
      </c>
      <c r="E21" s="68" t="s">
        <v>227</v>
      </c>
      <c r="F21" s="63" t="s">
        <v>229</v>
      </c>
      <c r="G21" s="66"/>
    </row>
    <row r="22" spans="1:7" s="96" customFormat="1" ht="31.5" x14ac:dyDescent="0.25">
      <c r="A22" s="120"/>
      <c r="B22" s="118"/>
      <c r="C22" s="97" t="s">
        <v>17</v>
      </c>
      <c r="D22" s="100" t="s">
        <v>114</v>
      </c>
      <c r="E22" s="107" t="s">
        <v>228</v>
      </c>
      <c r="F22" s="102" t="s">
        <v>230</v>
      </c>
      <c r="G22" s="104"/>
    </row>
    <row r="23" spans="1:7" s="96" customFormat="1" ht="31.5" x14ac:dyDescent="0.25">
      <c r="A23" s="120"/>
      <c r="B23" s="118"/>
      <c r="C23" s="97" t="s">
        <v>231</v>
      </c>
      <c r="D23" s="100">
        <v>10</v>
      </c>
      <c r="E23" s="107" t="s">
        <v>235</v>
      </c>
      <c r="F23" s="102" t="s">
        <v>234</v>
      </c>
      <c r="G23" s="104"/>
    </row>
    <row r="24" spans="1:7" s="34" customFormat="1" ht="31.5" x14ac:dyDescent="0.25">
      <c r="A24" s="122"/>
      <c r="B24" s="121"/>
      <c r="C24" s="97" t="s">
        <v>232</v>
      </c>
      <c r="D24" s="61" t="s">
        <v>114</v>
      </c>
      <c r="E24" s="101" t="s">
        <v>242</v>
      </c>
      <c r="F24" s="103" t="s">
        <v>233</v>
      </c>
      <c r="G24" s="66"/>
    </row>
    <row r="25" spans="1:7" s="34" customFormat="1" ht="18" customHeight="1" x14ac:dyDescent="0.25">
      <c r="A25" s="175" t="s">
        <v>194</v>
      </c>
      <c r="B25" s="176"/>
      <c r="C25" s="176"/>
      <c r="D25" s="176"/>
      <c r="E25" s="176"/>
      <c r="F25" s="177"/>
    </row>
    <row r="26" spans="1:7" s="34" customFormat="1" ht="21" x14ac:dyDescent="0.25">
      <c r="A26" s="119" t="s">
        <v>32</v>
      </c>
      <c r="B26" s="117">
        <v>5</v>
      </c>
      <c r="C26" s="97" t="s">
        <v>226</v>
      </c>
      <c r="D26" s="100">
        <v>1</v>
      </c>
      <c r="E26" s="107" t="s">
        <v>237</v>
      </c>
      <c r="F26" s="102" t="s">
        <v>236</v>
      </c>
      <c r="G26" s="66"/>
    </row>
    <row r="27" spans="1:7" s="96" customFormat="1" ht="31.5" x14ac:dyDescent="0.25">
      <c r="A27" s="120"/>
      <c r="B27" s="118"/>
      <c r="C27" s="97" t="s">
        <v>17</v>
      </c>
      <c r="D27" s="100" t="s">
        <v>114</v>
      </c>
      <c r="E27" s="107" t="s">
        <v>228</v>
      </c>
      <c r="F27" s="102" t="s">
        <v>230</v>
      </c>
      <c r="G27" s="104"/>
    </row>
    <row r="28" spans="1:7" s="96" customFormat="1" ht="31.5" x14ac:dyDescent="0.25">
      <c r="A28" s="120"/>
      <c r="B28" s="118"/>
      <c r="C28" s="97" t="s">
        <v>231</v>
      </c>
      <c r="D28" s="100">
        <v>10</v>
      </c>
      <c r="E28" s="107" t="s">
        <v>235</v>
      </c>
      <c r="F28" s="102" t="s">
        <v>234</v>
      </c>
      <c r="G28" s="104"/>
    </row>
    <row r="29" spans="1:7" s="34" customFormat="1" ht="31.5" x14ac:dyDescent="0.25">
      <c r="A29" s="122"/>
      <c r="B29" s="121"/>
      <c r="C29" s="97" t="s">
        <v>232</v>
      </c>
      <c r="D29" s="100" t="s">
        <v>114</v>
      </c>
      <c r="E29" s="101" t="s">
        <v>242</v>
      </c>
      <c r="F29" s="103" t="s">
        <v>233</v>
      </c>
      <c r="G29" s="66"/>
    </row>
    <row r="30" spans="1:7" s="34" customFormat="1" ht="18" customHeight="1" x14ac:dyDescent="0.25">
      <c r="A30" s="175" t="s">
        <v>183</v>
      </c>
      <c r="B30" s="176"/>
      <c r="C30" s="176"/>
      <c r="D30" s="176"/>
      <c r="E30" s="176"/>
      <c r="F30" s="177"/>
    </row>
    <row r="31" spans="1:7" s="34" customFormat="1" ht="63" x14ac:dyDescent="0.25">
      <c r="A31" s="119" t="s">
        <v>32</v>
      </c>
      <c r="B31" s="117">
        <v>6</v>
      </c>
      <c r="C31" s="36" t="s">
        <v>254</v>
      </c>
      <c r="D31" s="61">
        <v>10</v>
      </c>
      <c r="E31" s="68" t="s">
        <v>430</v>
      </c>
      <c r="F31" s="102" t="s">
        <v>219</v>
      </c>
      <c r="G31" s="66"/>
    </row>
    <row r="32" spans="1:7" s="82" customFormat="1" ht="31.5" x14ac:dyDescent="0.25">
      <c r="A32" s="120"/>
      <c r="B32" s="118"/>
      <c r="C32" s="84" t="s">
        <v>39</v>
      </c>
      <c r="D32" s="89">
        <v>5</v>
      </c>
      <c r="E32" s="101" t="s">
        <v>255</v>
      </c>
      <c r="F32" s="98" t="s">
        <v>248</v>
      </c>
      <c r="G32" s="92"/>
    </row>
    <row r="33" spans="1:7" s="96" customFormat="1" ht="31.5" x14ac:dyDescent="0.25">
      <c r="A33" s="146"/>
      <c r="B33" s="145"/>
      <c r="C33" s="73" t="s">
        <v>243</v>
      </c>
      <c r="D33" s="75" t="s">
        <v>114</v>
      </c>
      <c r="E33" s="107" t="s">
        <v>428</v>
      </c>
      <c r="F33" s="143" t="s">
        <v>244</v>
      </c>
      <c r="G33" s="104"/>
    </row>
    <row r="34" spans="1:7" s="34" customFormat="1" ht="21" x14ac:dyDescent="0.25">
      <c r="A34" s="120"/>
      <c r="B34" s="118"/>
      <c r="C34" s="36" t="s">
        <v>17</v>
      </c>
      <c r="D34" s="61" t="s">
        <v>114</v>
      </c>
      <c r="E34" s="85" t="s">
        <v>256</v>
      </c>
      <c r="F34" s="98" t="s">
        <v>241</v>
      </c>
      <c r="G34" s="66"/>
    </row>
    <row r="35" spans="1:7" s="96" customFormat="1" ht="31.5" x14ac:dyDescent="0.25">
      <c r="A35" s="122"/>
      <c r="B35" s="121"/>
      <c r="C35" s="97" t="s">
        <v>38</v>
      </c>
      <c r="D35" s="100">
        <v>10</v>
      </c>
      <c r="E35" s="101" t="s">
        <v>252</v>
      </c>
      <c r="F35" s="103" t="s">
        <v>246</v>
      </c>
      <c r="G35" s="104"/>
    </row>
    <row r="36" spans="1:7" s="34" customFormat="1" ht="18" customHeight="1" x14ac:dyDescent="0.25">
      <c r="A36" s="175" t="s">
        <v>185</v>
      </c>
      <c r="B36" s="176"/>
      <c r="C36" s="176"/>
      <c r="D36" s="176"/>
      <c r="E36" s="176"/>
      <c r="F36" s="177"/>
    </row>
    <row r="37" spans="1:7" s="34" customFormat="1" ht="31.5" x14ac:dyDescent="0.25">
      <c r="A37" s="119" t="s">
        <v>32</v>
      </c>
      <c r="B37" s="117">
        <v>7</v>
      </c>
      <c r="C37" s="36" t="s">
        <v>120</v>
      </c>
      <c r="D37" s="61">
        <v>20</v>
      </c>
      <c r="E37" s="68" t="s">
        <v>258</v>
      </c>
      <c r="F37" s="102" t="s">
        <v>257</v>
      </c>
      <c r="G37" s="66"/>
    </row>
    <row r="38" spans="1:7" s="34" customFormat="1" ht="21" x14ac:dyDescent="0.25">
      <c r="A38" s="122"/>
      <c r="B38" s="121"/>
      <c r="C38" s="97" t="s">
        <v>175</v>
      </c>
      <c r="D38" s="100">
        <v>18</v>
      </c>
      <c r="E38" s="107" t="s">
        <v>259</v>
      </c>
      <c r="F38" s="102" t="s">
        <v>174</v>
      </c>
      <c r="G38" s="66"/>
    </row>
    <row r="39" spans="1:7" s="96" customFormat="1" ht="18.75" x14ac:dyDescent="0.25">
      <c r="A39" s="175" t="s">
        <v>184</v>
      </c>
      <c r="B39" s="176"/>
      <c r="C39" s="176"/>
      <c r="D39" s="176"/>
      <c r="E39" s="176"/>
      <c r="F39" s="177"/>
      <c r="G39" s="104"/>
    </row>
    <row r="40" spans="1:7" s="96" customFormat="1" ht="31.5" x14ac:dyDescent="0.25">
      <c r="A40" s="119" t="s">
        <v>32</v>
      </c>
      <c r="B40" s="117">
        <v>8</v>
      </c>
      <c r="C40" s="97" t="s">
        <v>177</v>
      </c>
      <c r="D40" s="100">
        <v>25</v>
      </c>
      <c r="E40" s="107" t="s">
        <v>260</v>
      </c>
      <c r="F40" s="102" t="s">
        <v>262</v>
      </c>
      <c r="G40" s="104"/>
    </row>
    <row r="41" spans="1:7" s="96" customFormat="1" ht="31.5" x14ac:dyDescent="0.25">
      <c r="A41" s="122"/>
      <c r="B41" s="121"/>
      <c r="C41" s="97" t="s">
        <v>39</v>
      </c>
      <c r="D41" s="100">
        <v>5</v>
      </c>
      <c r="E41" s="107" t="s">
        <v>263</v>
      </c>
      <c r="F41" s="102" t="s">
        <v>261</v>
      </c>
      <c r="G41" s="104"/>
    </row>
    <row r="42" spans="1:7" s="34" customFormat="1" ht="18" customHeight="1" x14ac:dyDescent="0.25">
      <c r="A42" s="175" t="s">
        <v>186</v>
      </c>
      <c r="B42" s="176"/>
      <c r="C42" s="176"/>
      <c r="D42" s="176"/>
      <c r="E42" s="176"/>
      <c r="F42" s="177"/>
    </row>
    <row r="43" spans="1:7" s="34" customFormat="1" ht="31.5" x14ac:dyDescent="0.25">
      <c r="A43" s="119" t="s">
        <v>32</v>
      </c>
      <c r="B43" s="117">
        <v>9</v>
      </c>
      <c r="C43" s="36" t="s">
        <v>119</v>
      </c>
      <c r="D43" s="61">
        <v>24</v>
      </c>
      <c r="E43" s="68" t="s">
        <v>267</v>
      </c>
      <c r="F43" s="63" t="s">
        <v>268</v>
      </c>
      <c r="G43" s="66"/>
    </row>
    <row r="44" spans="1:7" s="96" customFormat="1" ht="21" x14ac:dyDescent="0.25">
      <c r="A44" s="120"/>
      <c r="B44" s="118"/>
      <c r="C44" s="97" t="s">
        <v>264</v>
      </c>
      <c r="D44" s="100">
        <v>42</v>
      </c>
      <c r="E44" s="107" t="s">
        <v>266</v>
      </c>
      <c r="F44" s="102" t="s">
        <v>268</v>
      </c>
      <c r="G44" s="104"/>
    </row>
    <row r="45" spans="1:7" s="34" customFormat="1" ht="21" x14ac:dyDescent="0.25">
      <c r="A45" s="122"/>
      <c r="B45" s="121"/>
      <c r="C45" s="97" t="s">
        <v>176</v>
      </c>
      <c r="D45" s="100">
        <v>35</v>
      </c>
      <c r="E45" s="107" t="s">
        <v>265</v>
      </c>
      <c r="F45" s="102" t="s">
        <v>268</v>
      </c>
      <c r="G45" s="66"/>
    </row>
    <row r="46" spans="1:7" s="34" customFormat="1" ht="18" customHeight="1" x14ac:dyDescent="0.25">
      <c r="A46" s="174" t="s">
        <v>270</v>
      </c>
      <c r="B46" s="174"/>
      <c r="C46" s="174"/>
      <c r="D46" s="174"/>
      <c r="E46" s="174"/>
      <c r="F46" s="174"/>
    </row>
    <row r="47" spans="1:7" s="34" customFormat="1" ht="63" x14ac:dyDescent="0.25">
      <c r="A47" s="119" t="s">
        <v>32</v>
      </c>
      <c r="B47" s="117">
        <v>10</v>
      </c>
      <c r="C47" s="36" t="s">
        <v>216</v>
      </c>
      <c r="D47" s="61" t="s">
        <v>114</v>
      </c>
      <c r="E47" s="68" t="s">
        <v>281</v>
      </c>
      <c r="F47" s="102" t="s">
        <v>269</v>
      </c>
      <c r="G47" s="66"/>
    </row>
    <row r="48" spans="1:7" s="96" customFormat="1" ht="31.5" x14ac:dyDescent="0.25">
      <c r="A48" s="120"/>
      <c r="B48" s="118"/>
      <c r="C48" s="97"/>
      <c r="D48" s="100">
        <v>2</v>
      </c>
      <c r="E48" s="107" t="s">
        <v>282</v>
      </c>
      <c r="F48" s="102" t="s">
        <v>271</v>
      </c>
      <c r="G48" s="104"/>
    </row>
    <row r="49" spans="1:7" s="96" customFormat="1" ht="63" x14ac:dyDescent="0.25">
      <c r="A49" s="120"/>
      <c r="B49" s="118"/>
      <c r="C49" s="97"/>
      <c r="D49" s="100">
        <v>1.8</v>
      </c>
      <c r="E49" s="107" t="s">
        <v>284</v>
      </c>
      <c r="F49" s="102" t="s">
        <v>272</v>
      </c>
      <c r="G49" s="104"/>
    </row>
    <row r="50" spans="1:7" s="96" customFormat="1" ht="31.5" x14ac:dyDescent="0.25">
      <c r="A50" s="120"/>
      <c r="B50" s="118"/>
      <c r="C50" s="97"/>
      <c r="D50" s="100" t="s">
        <v>114</v>
      </c>
      <c r="E50" s="107" t="s">
        <v>283</v>
      </c>
      <c r="F50" s="102" t="s">
        <v>271</v>
      </c>
      <c r="G50" s="104"/>
    </row>
    <row r="51" spans="1:7" s="96" customFormat="1" ht="31.5" x14ac:dyDescent="0.25">
      <c r="A51" s="122"/>
      <c r="B51" s="121"/>
      <c r="C51" s="97"/>
      <c r="D51" s="100" t="s">
        <v>114</v>
      </c>
      <c r="E51" s="107" t="s">
        <v>285</v>
      </c>
      <c r="F51" s="102" t="s">
        <v>273</v>
      </c>
      <c r="G51" s="104"/>
    </row>
    <row r="52" spans="1:7" s="34" customFormat="1" ht="18" customHeight="1" x14ac:dyDescent="0.25">
      <c r="A52" s="174" t="s">
        <v>274</v>
      </c>
      <c r="B52" s="174"/>
      <c r="C52" s="174"/>
      <c r="D52" s="174"/>
      <c r="E52" s="174"/>
      <c r="F52" s="174"/>
    </row>
    <row r="53" spans="1:7" s="34" customFormat="1" ht="31.5" x14ac:dyDescent="0.25">
      <c r="A53" s="119" t="s">
        <v>32</v>
      </c>
      <c r="B53" s="117">
        <v>11</v>
      </c>
      <c r="C53" s="36" t="s">
        <v>280</v>
      </c>
      <c r="D53" s="61">
        <v>0.2</v>
      </c>
      <c r="E53" s="68" t="s">
        <v>279</v>
      </c>
      <c r="F53" s="63" t="s">
        <v>275</v>
      </c>
      <c r="G53" s="66"/>
    </row>
    <row r="54" spans="1:7" s="96" customFormat="1" ht="31.5" x14ac:dyDescent="0.25">
      <c r="A54" s="120"/>
      <c r="B54" s="118"/>
      <c r="C54" s="97" t="s">
        <v>278</v>
      </c>
      <c r="D54" s="100">
        <v>0.1</v>
      </c>
      <c r="E54" s="107" t="s">
        <v>279</v>
      </c>
      <c r="F54" s="102" t="s">
        <v>276</v>
      </c>
      <c r="G54" s="104"/>
    </row>
    <row r="55" spans="1:7" s="96" customFormat="1" ht="47.25" x14ac:dyDescent="0.25">
      <c r="A55" s="122"/>
      <c r="B55" s="121"/>
      <c r="C55" s="97" t="s">
        <v>17</v>
      </c>
      <c r="D55" s="100" t="s">
        <v>114</v>
      </c>
      <c r="E55" s="107" t="s">
        <v>217</v>
      </c>
      <c r="F55" s="102" t="s">
        <v>277</v>
      </c>
      <c r="G55" s="104"/>
    </row>
    <row r="56" spans="1:7" s="96" customFormat="1" ht="18" customHeight="1" x14ac:dyDescent="0.25">
      <c r="A56" s="175" t="s">
        <v>188</v>
      </c>
      <c r="B56" s="176"/>
      <c r="C56" s="176"/>
      <c r="D56" s="176"/>
      <c r="E56" s="176"/>
      <c r="F56" s="177"/>
    </row>
    <row r="57" spans="1:7" s="96" customFormat="1" ht="31.5" x14ac:dyDescent="0.25">
      <c r="A57" s="105" t="s">
        <v>32</v>
      </c>
      <c r="B57" s="106">
        <v>12</v>
      </c>
      <c r="C57" s="97" t="s">
        <v>178</v>
      </c>
      <c r="D57" s="100">
        <v>30</v>
      </c>
      <c r="E57" s="107" t="s">
        <v>287</v>
      </c>
      <c r="F57" s="102" t="s">
        <v>286</v>
      </c>
      <c r="G57" s="104"/>
    </row>
    <row r="58" spans="1:7" s="96" customFormat="1" ht="18" customHeight="1" x14ac:dyDescent="0.25">
      <c r="A58" s="175" t="s">
        <v>189</v>
      </c>
      <c r="B58" s="176"/>
      <c r="C58" s="176"/>
      <c r="D58" s="176"/>
      <c r="E58" s="176"/>
      <c r="F58" s="177"/>
    </row>
    <row r="59" spans="1:7" s="96" customFormat="1" ht="47.25" x14ac:dyDescent="0.25">
      <c r="A59" s="119" t="s">
        <v>32</v>
      </c>
      <c r="B59" s="117">
        <v>13</v>
      </c>
      <c r="C59" s="101" t="s">
        <v>136</v>
      </c>
      <c r="D59" s="100">
        <v>1</v>
      </c>
      <c r="E59" s="101" t="s">
        <v>190</v>
      </c>
      <c r="F59" s="98" t="s">
        <v>288</v>
      </c>
      <c r="G59" s="104"/>
    </row>
    <row r="60" spans="1:7" s="96" customFormat="1" ht="21" x14ac:dyDescent="0.25">
      <c r="A60" s="122"/>
      <c r="B60" s="121"/>
      <c r="C60" s="101" t="s">
        <v>135</v>
      </c>
      <c r="D60" s="100">
        <v>0</v>
      </c>
      <c r="E60" s="101" t="s">
        <v>135</v>
      </c>
      <c r="F60" s="98" t="s">
        <v>313</v>
      </c>
      <c r="G60" s="104"/>
    </row>
    <row r="61" spans="1:7" s="96" customFormat="1" ht="18" customHeight="1" x14ac:dyDescent="0.25">
      <c r="A61" s="175" t="s">
        <v>208</v>
      </c>
      <c r="B61" s="176"/>
      <c r="C61" s="176"/>
      <c r="D61" s="176"/>
      <c r="E61" s="176"/>
      <c r="F61" s="177"/>
    </row>
    <row r="62" spans="1:7" s="96" customFormat="1" ht="31.5" x14ac:dyDescent="0.25">
      <c r="A62" s="119" t="s">
        <v>32</v>
      </c>
      <c r="B62" s="117">
        <v>14</v>
      </c>
      <c r="C62" s="97" t="s">
        <v>192</v>
      </c>
      <c r="D62" s="100">
        <v>1</v>
      </c>
      <c r="E62" s="107" t="s">
        <v>289</v>
      </c>
      <c r="F62" s="102" t="s">
        <v>290</v>
      </c>
      <c r="G62" s="104"/>
    </row>
    <row r="63" spans="1:7" s="96" customFormat="1" ht="31.5" x14ac:dyDescent="0.25">
      <c r="A63" s="122"/>
      <c r="B63" s="121"/>
      <c r="C63" s="97" t="s">
        <v>207</v>
      </c>
      <c r="D63" s="100" t="s">
        <v>114</v>
      </c>
      <c r="E63" s="107" t="s">
        <v>206</v>
      </c>
      <c r="F63" s="102" t="s">
        <v>291</v>
      </c>
      <c r="G63" s="104"/>
    </row>
    <row r="64" spans="1:7" s="96" customFormat="1" ht="18" customHeight="1" x14ac:dyDescent="0.25">
      <c r="A64" s="175" t="s">
        <v>195</v>
      </c>
      <c r="B64" s="176"/>
      <c r="C64" s="176"/>
      <c r="D64" s="176"/>
      <c r="E64" s="176"/>
      <c r="F64" s="177"/>
    </row>
    <row r="65" spans="1:7" s="96" customFormat="1" ht="31.5" x14ac:dyDescent="0.25">
      <c r="A65" s="119" t="s">
        <v>32</v>
      </c>
      <c r="B65" s="117">
        <v>15</v>
      </c>
      <c r="C65" s="99" t="s">
        <v>89</v>
      </c>
      <c r="D65" s="100">
        <v>100</v>
      </c>
      <c r="E65" s="85" t="s">
        <v>326</v>
      </c>
      <c r="F65" s="98" t="s">
        <v>293</v>
      </c>
      <c r="G65" s="104"/>
    </row>
    <row r="66" spans="1:7" s="96" customFormat="1" ht="21" x14ac:dyDescent="0.25">
      <c r="A66" s="122"/>
      <c r="B66" s="121"/>
      <c r="C66" s="99" t="s">
        <v>39</v>
      </c>
      <c r="D66" s="100">
        <v>5</v>
      </c>
      <c r="E66" s="85" t="s">
        <v>294</v>
      </c>
      <c r="F66" s="98" t="s">
        <v>292</v>
      </c>
      <c r="G66" s="104"/>
    </row>
    <row r="67" spans="1:7" s="96" customFormat="1" ht="18" customHeight="1" x14ac:dyDescent="0.25">
      <c r="A67" s="175" t="s">
        <v>200</v>
      </c>
      <c r="B67" s="176"/>
      <c r="C67" s="176"/>
      <c r="D67" s="176"/>
      <c r="E67" s="176"/>
      <c r="F67" s="177"/>
    </row>
    <row r="68" spans="1:7" s="96" customFormat="1" ht="21" x14ac:dyDescent="0.25">
      <c r="A68" s="112" t="s">
        <v>32</v>
      </c>
      <c r="B68" s="111">
        <v>16</v>
      </c>
      <c r="C68" s="99" t="s">
        <v>96</v>
      </c>
      <c r="D68" s="100">
        <v>1</v>
      </c>
      <c r="E68" s="101" t="s">
        <v>142</v>
      </c>
      <c r="F68" s="102" t="s">
        <v>295</v>
      </c>
      <c r="G68" s="104"/>
    </row>
    <row r="69" spans="1:7" s="96" customFormat="1" ht="21" x14ac:dyDescent="0.25">
      <c r="A69" s="113"/>
      <c r="B69" s="114"/>
      <c r="C69" s="99" t="s">
        <v>204</v>
      </c>
      <c r="D69" s="100" t="s">
        <v>114</v>
      </c>
      <c r="E69" s="101" t="s">
        <v>205</v>
      </c>
      <c r="F69" s="102" t="s">
        <v>296</v>
      </c>
      <c r="G69" s="104"/>
    </row>
    <row r="70" spans="1:7" s="81" customFormat="1" ht="31.5" x14ac:dyDescent="0.25">
      <c r="A70" s="39"/>
      <c r="B70" s="39"/>
      <c r="C70" s="99" t="s">
        <v>17</v>
      </c>
      <c r="D70" s="100" t="s">
        <v>114</v>
      </c>
      <c r="E70" s="101" t="s">
        <v>203</v>
      </c>
      <c r="F70" s="98" t="s">
        <v>297</v>
      </c>
    </row>
    <row r="71" spans="1:7" s="96" customFormat="1" ht="18" customHeight="1" x14ac:dyDescent="0.25">
      <c r="A71" s="175" t="s">
        <v>201</v>
      </c>
      <c r="B71" s="176"/>
      <c r="C71" s="176"/>
      <c r="D71" s="176"/>
      <c r="E71" s="176"/>
      <c r="F71" s="177"/>
    </row>
    <row r="72" spans="1:7" s="96" customFormat="1" ht="21" x14ac:dyDescent="0.25">
      <c r="A72" s="112" t="s">
        <v>32</v>
      </c>
      <c r="B72" s="111">
        <v>17</v>
      </c>
      <c r="C72" s="97" t="s">
        <v>226</v>
      </c>
      <c r="D72" s="100">
        <v>1</v>
      </c>
      <c r="E72" s="107" t="s">
        <v>237</v>
      </c>
      <c r="F72" s="102" t="s">
        <v>236</v>
      </c>
      <c r="G72" s="104"/>
    </row>
    <row r="73" spans="1:7" ht="31.5" x14ac:dyDescent="0.25">
      <c r="C73" s="97" t="s">
        <v>17</v>
      </c>
      <c r="D73" s="100" t="s">
        <v>114</v>
      </c>
      <c r="E73" s="107" t="s">
        <v>228</v>
      </c>
      <c r="F73" s="102" t="s">
        <v>230</v>
      </c>
    </row>
    <row r="74" spans="1:7" s="96" customFormat="1" ht="18" customHeight="1" x14ac:dyDescent="0.25">
      <c r="A74" s="179" t="s">
        <v>238</v>
      </c>
      <c r="B74" s="180"/>
      <c r="C74" s="180"/>
      <c r="D74" s="180"/>
      <c r="E74" s="180"/>
      <c r="F74" s="181"/>
    </row>
    <row r="75" spans="1:7" s="96" customFormat="1" ht="78.75" x14ac:dyDescent="0.25">
      <c r="A75" s="139" t="s">
        <v>32</v>
      </c>
      <c r="B75" s="140">
        <v>18</v>
      </c>
      <c r="C75" s="141" t="s">
        <v>179</v>
      </c>
      <c r="D75" s="75">
        <v>10</v>
      </c>
      <c r="E75" s="107" t="s">
        <v>402</v>
      </c>
      <c r="F75" s="103" t="s">
        <v>219</v>
      </c>
      <c r="G75" s="104"/>
    </row>
    <row r="76" spans="1:7" s="96" customFormat="1" ht="31.5" x14ac:dyDescent="0.25">
      <c r="A76" s="142"/>
      <c r="B76" s="125"/>
      <c r="C76" s="73" t="s">
        <v>39</v>
      </c>
      <c r="D76" s="75">
        <v>5</v>
      </c>
      <c r="E76" s="107" t="s">
        <v>128</v>
      </c>
      <c r="F76" s="143" t="s">
        <v>248</v>
      </c>
      <c r="G76" s="104"/>
    </row>
    <row r="77" spans="1:7" s="96" customFormat="1" ht="21" x14ac:dyDescent="0.25">
      <c r="A77" s="142"/>
      <c r="B77" s="125"/>
      <c r="C77" s="73" t="s">
        <v>243</v>
      </c>
      <c r="D77" s="75" t="s">
        <v>114</v>
      </c>
      <c r="E77" s="107" t="s">
        <v>245</v>
      </c>
      <c r="F77" s="143" t="s">
        <v>244</v>
      </c>
      <c r="G77" s="104"/>
    </row>
    <row r="78" spans="1:7" s="96" customFormat="1" ht="21" x14ac:dyDescent="0.25">
      <c r="A78" s="144"/>
      <c r="B78" s="126"/>
      <c r="C78" s="73" t="s">
        <v>17</v>
      </c>
      <c r="D78" s="75" t="s">
        <v>114</v>
      </c>
      <c r="E78" s="107" t="s">
        <v>220</v>
      </c>
      <c r="F78" s="143" t="s">
        <v>241</v>
      </c>
      <c r="G78" s="104"/>
    </row>
    <row r="79" spans="1:7" s="96" customFormat="1" ht="18" customHeight="1" x14ac:dyDescent="0.25">
      <c r="A79" s="182" t="s">
        <v>301</v>
      </c>
      <c r="B79" s="183"/>
      <c r="C79" s="183"/>
      <c r="D79" s="183"/>
      <c r="E79" s="183"/>
      <c r="F79" s="184"/>
    </row>
    <row r="80" spans="1:7" s="96" customFormat="1" ht="21" x14ac:dyDescent="0.25">
      <c r="A80" s="139" t="s">
        <v>32</v>
      </c>
      <c r="B80" s="140">
        <v>19</v>
      </c>
      <c r="C80" s="141" t="s">
        <v>226</v>
      </c>
      <c r="D80" s="75">
        <v>1</v>
      </c>
      <c r="E80" s="107" t="s">
        <v>237</v>
      </c>
      <c r="F80" s="103" t="s">
        <v>236</v>
      </c>
      <c r="G80" s="104"/>
    </row>
    <row r="81" spans="1:7" s="96" customFormat="1" ht="31.5" x14ac:dyDescent="0.25">
      <c r="A81" s="123"/>
      <c r="B81" s="125"/>
      <c r="C81" s="141" t="s">
        <v>17</v>
      </c>
      <c r="D81" s="75" t="s">
        <v>114</v>
      </c>
      <c r="E81" s="107" t="s">
        <v>228</v>
      </c>
      <c r="F81" s="103" t="s">
        <v>230</v>
      </c>
      <c r="G81" s="104"/>
    </row>
    <row r="82" spans="1:7" s="96" customFormat="1" ht="31.5" x14ac:dyDescent="0.25">
      <c r="A82" s="123"/>
      <c r="B82" s="125"/>
      <c r="C82" s="141" t="s">
        <v>298</v>
      </c>
      <c r="D82" s="75">
        <v>10</v>
      </c>
      <c r="E82" s="107" t="s">
        <v>300</v>
      </c>
      <c r="F82" s="103" t="s">
        <v>299</v>
      </c>
      <c r="G82" s="104"/>
    </row>
    <row r="83" spans="1:7" s="96" customFormat="1" ht="31.5" x14ac:dyDescent="0.25">
      <c r="A83" s="124"/>
      <c r="B83" s="126"/>
      <c r="C83" s="141" t="s">
        <v>232</v>
      </c>
      <c r="D83" s="75" t="s">
        <v>114</v>
      </c>
      <c r="E83" s="108" t="s">
        <v>242</v>
      </c>
      <c r="F83" s="103" t="s">
        <v>233</v>
      </c>
      <c r="G83" s="104"/>
    </row>
    <row r="84" spans="1:7" s="96" customFormat="1" ht="18" customHeight="1" x14ac:dyDescent="0.25">
      <c r="A84" s="185" t="s">
        <v>302</v>
      </c>
      <c r="B84" s="185"/>
      <c r="C84" s="185"/>
      <c r="D84" s="185"/>
      <c r="E84" s="185"/>
      <c r="F84" s="185"/>
    </row>
    <row r="85" spans="1:7" s="96" customFormat="1" ht="78.75" x14ac:dyDescent="0.25">
      <c r="A85" s="139" t="s">
        <v>32</v>
      </c>
      <c r="B85" s="140">
        <v>21</v>
      </c>
      <c r="C85" s="141" t="s">
        <v>179</v>
      </c>
      <c r="D85" s="75">
        <v>10</v>
      </c>
      <c r="E85" s="107" t="s">
        <v>400</v>
      </c>
      <c r="F85" s="103" t="s">
        <v>219</v>
      </c>
      <c r="G85" s="104"/>
    </row>
    <row r="86" spans="1:7" s="96" customFormat="1" ht="31.5" x14ac:dyDescent="0.25">
      <c r="A86" s="142"/>
      <c r="B86" s="125"/>
      <c r="C86" s="73" t="s">
        <v>39</v>
      </c>
      <c r="D86" s="75">
        <v>5</v>
      </c>
      <c r="E86" s="107" t="s">
        <v>251</v>
      </c>
      <c r="F86" s="143" t="s">
        <v>250</v>
      </c>
      <c r="G86" s="104"/>
    </row>
    <row r="87" spans="1:7" s="96" customFormat="1" ht="21" x14ac:dyDescent="0.25">
      <c r="A87" s="144"/>
      <c r="B87" s="126"/>
      <c r="C87" s="73" t="s">
        <v>17</v>
      </c>
      <c r="D87" s="75" t="s">
        <v>114</v>
      </c>
      <c r="E87" s="107" t="s">
        <v>240</v>
      </c>
      <c r="F87" s="143" t="s">
        <v>241</v>
      </c>
      <c r="G87" s="104"/>
    </row>
    <row r="88" spans="1:7" s="96" customFormat="1" ht="18" customHeight="1" x14ac:dyDescent="0.25">
      <c r="A88" s="185" t="s">
        <v>303</v>
      </c>
      <c r="B88" s="185"/>
      <c r="C88" s="185"/>
      <c r="D88" s="185"/>
      <c r="E88" s="185"/>
      <c r="F88" s="185"/>
    </row>
    <row r="89" spans="1:7" s="96" customFormat="1" ht="78.75" x14ac:dyDescent="0.25">
      <c r="A89" s="139" t="s">
        <v>32</v>
      </c>
      <c r="B89" s="140">
        <v>22</v>
      </c>
      <c r="C89" s="141" t="s">
        <v>179</v>
      </c>
      <c r="D89" s="75">
        <v>10</v>
      </c>
      <c r="E89" s="107" t="s">
        <v>429</v>
      </c>
      <c r="F89" s="103" t="s">
        <v>219</v>
      </c>
      <c r="G89" s="104"/>
    </row>
    <row r="90" spans="1:7" s="96" customFormat="1" ht="31.5" x14ac:dyDescent="0.25">
      <c r="A90" s="142"/>
      <c r="B90" s="125"/>
      <c r="C90" s="73" t="s">
        <v>39</v>
      </c>
      <c r="D90" s="75">
        <v>5</v>
      </c>
      <c r="E90" s="107" t="s">
        <v>128</v>
      </c>
      <c r="F90" s="143" t="s">
        <v>248</v>
      </c>
      <c r="G90" s="104"/>
    </row>
    <row r="91" spans="1:7" s="96" customFormat="1" ht="21" x14ac:dyDescent="0.25">
      <c r="A91" s="142"/>
      <c r="B91" s="125"/>
      <c r="C91" s="73" t="s">
        <v>243</v>
      </c>
      <c r="D91" s="75" t="s">
        <v>114</v>
      </c>
      <c r="E91" s="107" t="s">
        <v>245</v>
      </c>
      <c r="F91" s="143" t="s">
        <v>244</v>
      </c>
      <c r="G91" s="104"/>
    </row>
    <row r="92" spans="1:7" s="96" customFormat="1" ht="21" x14ac:dyDescent="0.25">
      <c r="A92" s="144"/>
      <c r="B92" s="126"/>
      <c r="C92" s="73" t="s">
        <v>17</v>
      </c>
      <c r="D92" s="75" t="s">
        <v>114</v>
      </c>
      <c r="E92" s="107" t="s">
        <v>220</v>
      </c>
      <c r="F92" s="143" t="s">
        <v>241</v>
      </c>
      <c r="G92" s="104"/>
    </row>
    <row r="93" spans="1:7" s="96" customFormat="1" ht="18" customHeight="1" x14ac:dyDescent="0.25">
      <c r="A93" s="174" t="s">
        <v>421</v>
      </c>
      <c r="B93" s="174"/>
      <c r="C93" s="174"/>
      <c r="D93" s="174"/>
      <c r="E93" s="174"/>
      <c r="F93" s="174"/>
    </row>
    <row r="94" spans="1:7" s="96" customFormat="1" ht="47.25" x14ac:dyDescent="0.25">
      <c r="A94" s="148" t="s">
        <v>32</v>
      </c>
      <c r="B94" s="147">
        <v>23</v>
      </c>
      <c r="C94" s="97" t="s">
        <v>424</v>
      </c>
      <c r="D94" s="100">
        <v>0.2</v>
      </c>
      <c r="E94" s="107" t="s">
        <v>427</v>
      </c>
      <c r="F94" s="102" t="s">
        <v>426</v>
      </c>
      <c r="G94" s="104"/>
    </row>
    <row r="95" spans="1:7" s="96" customFormat="1" ht="63" x14ac:dyDescent="0.25">
      <c r="A95" s="150"/>
      <c r="B95" s="149"/>
      <c r="C95" s="97" t="s">
        <v>422</v>
      </c>
      <c r="D95" s="100" t="s">
        <v>114</v>
      </c>
      <c r="E95" s="107" t="s">
        <v>425</v>
      </c>
      <c r="F95" s="102" t="s">
        <v>423</v>
      </c>
      <c r="G95" s="104"/>
    </row>
  </sheetData>
  <mergeCells count="28">
    <mergeCell ref="A42:F42"/>
    <mergeCell ref="A56:F56"/>
    <mergeCell ref="A64:F64"/>
    <mergeCell ref="A61:F61"/>
    <mergeCell ref="A93:F93"/>
    <mergeCell ref="A74:F74"/>
    <mergeCell ref="A79:F79"/>
    <mergeCell ref="A84:F84"/>
    <mergeCell ref="A88:F88"/>
    <mergeCell ref="A71:F71"/>
    <mergeCell ref="A67:F67"/>
    <mergeCell ref="A58:F58"/>
    <mergeCell ref="A52:F52"/>
    <mergeCell ref="A46:F46"/>
    <mergeCell ref="A5:F5"/>
    <mergeCell ref="A39:F39"/>
    <mergeCell ref="A30:F30"/>
    <mergeCell ref="A36:F36"/>
    <mergeCell ref="A20:F20"/>
    <mergeCell ref="A25:F25"/>
    <mergeCell ref="A15:F15"/>
    <mergeCell ref="A11:F11"/>
    <mergeCell ref="A7:F7"/>
    <mergeCell ref="A1:B1"/>
    <mergeCell ref="C1:D1"/>
    <mergeCell ref="A2:B2"/>
    <mergeCell ref="C2:D2"/>
    <mergeCell ref="A4:B4"/>
  </mergeCells>
  <pageMargins left="0.25" right="0.25" top="0.75" bottom="0.75" header="0.3" footer="0.3"/>
  <pageSetup paperSize="9" scale="69" firstPageNumber="2" fitToHeight="0" orientation="landscape" r:id="rId1"/>
  <headerFooter>
    <oddHeader>&amp;L&amp;G</oddHeader>
  </headerFooter>
  <rowBreaks count="5" manualBreakCount="5">
    <brk id="19" max="5" man="1"/>
    <brk id="35" max="5" man="1"/>
    <brk id="51" max="5" man="1"/>
    <brk id="70" max="5" man="1"/>
    <brk id="87" max="5" man="1"/>
  </rowBreaks>
  <colBreaks count="1" manualBreakCount="1">
    <brk id="5" max="94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4"/>
  <sheetViews>
    <sheetView tabSelected="1" view="pageBreakPreview" zoomScale="70" zoomScaleNormal="70" zoomScaleSheetLayoutView="70" workbookViewId="0">
      <selection activeCell="F18" sqref="F18"/>
    </sheetView>
  </sheetViews>
  <sheetFormatPr defaultColWidth="8.77734375" defaultRowHeight="15.75" x14ac:dyDescent="0.25"/>
  <cols>
    <col min="1" max="2" width="7.77734375" style="39" customWidth="1"/>
    <col min="3" max="3" width="52.109375" style="40" bestFit="1" customWidth="1"/>
    <col min="4" max="5" width="12.33203125" style="41" customWidth="1"/>
    <col min="6" max="6" width="64" style="42" customWidth="1"/>
    <col min="7" max="7" width="20.5546875" style="43" customWidth="1"/>
    <col min="8" max="8" width="27.33203125" style="31" customWidth="1"/>
    <col min="9" max="9" width="26.21875" style="31" customWidth="1"/>
    <col min="10" max="16384" width="8.77734375" style="31"/>
  </cols>
  <sheetData>
    <row r="1" spans="1:8" ht="30" customHeight="1" x14ac:dyDescent="0.25">
      <c r="A1" s="166" t="s">
        <v>1</v>
      </c>
      <c r="B1" s="167"/>
      <c r="C1" s="196" t="str">
        <f>'systém kódování'!B1</f>
        <v>BYTOVÝ SOUBOR LIBUŠE</v>
      </c>
      <c r="D1" s="196"/>
      <c r="E1" s="196"/>
      <c r="F1" s="48" t="s">
        <v>4</v>
      </c>
      <c r="G1" s="55" t="str">
        <f>'systém kódování'!$G$1</f>
        <v>01</v>
      </c>
    </row>
    <row r="2" spans="1:8" ht="30" customHeight="1" thickBot="1" x14ac:dyDescent="0.3">
      <c r="A2" s="169" t="s">
        <v>0</v>
      </c>
      <c r="B2" s="170"/>
      <c r="C2" s="171" t="str">
        <f>'systém kódování'!B2</f>
        <v>TABULKA SKLADEB A POVRCHŮ /  SURFACES AND STRUCTURES TABLE</v>
      </c>
      <c r="D2" s="171"/>
      <c r="E2" s="171"/>
      <c r="F2" s="49" t="s">
        <v>5</v>
      </c>
      <c r="G2" s="26" t="str">
        <f>'systém kódování'!$G$2</f>
        <v>30/11/2021</v>
      </c>
    </row>
    <row r="3" spans="1:8" s="34" customFormat="1" ht="16.5" customHeight="1" x14ac:dyDescent="0.25">
      <c r="A3" s="56"/>
      <c r="B3" s="32"/>
      <c r="C3" s="32"/>
      <c r="D3" s="33"/>
      <c r="E3" s="33"/>
      <c r="F3" s="33"/>
      <c r="G3" s="33"/>
    </row>
    <row r="4" spans="1:8" ht="47.25" x14ac:dyDescent="0.25">
      <c r="A4" s="172" t="s">
        <v>2</v>
      </c>
      <c r="B4" s="173"/>
      <c r="C4" s="109" t="s">
        <v>7</v>
      </c>
      <c r="D4" s="110" t="s">
        <v>9</v>
      </c>
      <c r="E4" s="110" t="s">
        <v>11</v>
      </c>
      <c r="F4" s="110" t="s">
        <v>8</v>
      </c>
      <c r="G4" s="110" t="s">
        <v>10</v>
      </c>
      <c r="H4" s="35"/>
    </row>
    <row r="5" spans="1:8" s="34" customFormat="1" ht="18" customHeight="1" x14ac:dyDescent="0.25">
      <c r="A5" s="174" t="s">
        <v>82</v>
      </c>
      <c r="B5" s="174"/>
      <c r="C5" s="174"/>
      <c r="D5" s="174"/>
      <c r="E5" s="174"/>
      <c r="F5" s="174"/>
      <c r="G5" s="174"/>
    </row>
    <row r="6" spans="1:8" s="34" customFormat="1" x14ac:dyDescent="0.25">
      <c r="A6" s="186" t="s">
        <v>12</v>
      </c>
      <c r="B6" s="188">
        <v>1</v>
      </c>
      <c r="C6" s="60" t="s">
        <v>158</v>
      </c>
      <c r="D6" s="61">
        <v>3.8</v>
      </c>
      <c r="E6" s="190">
        <f>SUM(D6:D8)</f>
        <v>3.8</v>
      </c>
      <c r="F6" s="69" t="s">
        <v>159</v>
      </c>
      <c r="G6" s="50"/>
      <c r="H6" s="66"/>
    </row>
    <row r="7" spans="1:8" s="34" customFormat="1" ht="18" customHeight="1" x14ac:dyDescent="0.25">
      <c r="A7" s="187"/>
      <c r="B7" s="189"/>
      <c r="C7" s="130" t="s">
        <v>87</v>
      </c>
      <c r="D7" s="131"/>
      <c r="E7" s="190"/>
      <c r="F7" s="134" t="s">
        <v>103</v>
      </c>
      <c r="G7" s="50"/>
    </row>
    <row r="8" spans="1:8" s="34" customFormat="1" ht="18" customHeight="1" x14ac:dyDescent="0.25">
      <c r="A8" s="187"/>
      <c r="B8" s="189"/>
      <c r="C8" s="130" t="s">
        <v>88</v>
      </c>
      <c r="D8" s="131"/>
      <c r="E8" s="190"/>
      <c r="F8" s="137" t="s">
        <v>121</v>
      </c>
      <c r="G8" s="50"/>
    </row>
    <row r="9" spans="1:8" s="34" customFormat="1" ht="18" customHeight="1" x14ac:dyDescent="0.25">
      <c r="A9" s="174" t="s">
        <v>104</v>
      </c>
      <c r="B9" s="174"/>
      <c r="C9" s="174"/>
      <c r="D9" s="174"/>
      <c r="E9" s="174"/>
      <c r="F9" s="174"/>
      <c r="G9" s="174"/>
    </row>
    <row r="10" spans="1:8" s="34" customFormat="1" x14ac:dyDescent="0.25">
      <c r="A10" s="186" t="s">
        <v>12</v>
      </c>
      <c r="B10" s="188">
        <v>2</v>
      </c>
      <c r="C10" s="60" t="s">
        <v>158</v>
      </c>
      <c r="D10" s="61">
        <v>2</v>
      </c>
      <c r="E10" s="190">
        <f>SUM(D10:D12)</f>
        <v>2</v>
      </c>
      <c r="F10" s="69" t="s">
        <v>159</v>
      </c>
      <c r="G10" s="50"/>
      <c r="H10" s="66"/>
    </row>
    <row r="11" spans="1:8" s="34" customFormat="1" ht="18" customHeight="1" x14ac:dyDescent="0.25">
      <c r="A11" s="187"/>
      <c r="B11" s="189"/>
      <c r="C11" s="130" t="s">
        <v>105</v>
      </c>
      <c r="D11" s="131"/>
      <c r="E11" s="190"/>
      <c r="F11" s="134" t="s">
        <v>103</v>
      </c>
      <c r="G11" s="50"/>
    </row>
    <row r="12" spans="1:8" s="34" customFormat="1" ht="18" customHeight="1" x14ac:dyDescent="0.25">
      <c r="A12" s="187"/>
      <c r="B12" s="189"/>
      <c r="C12" s="130" t="s">
        <v>88</v>
      </c>
      <c r="D12" s="131"/>
      <c r="E12" s="190"/>
      <c r="F12" s="137" t="s">
        <v>121</v>
      </c>
      <c r="G12" s="50"/>
    </row>
    <row r="13" spans="1:8" s="96" customFormat="1" ht="18" customHeight="1" x14ac:dyDescent="0.25">
      <c r="A13" s="174" t="s">
        <v>431</v>
      </c>
      <c r="B13" s="174"/>
      <c r="C13" s="174"/>
      <c r="D13" s="174"/>
      <c r="E13" s="174"/>
      <c r="F13" s="174"/>
      <c r="G13" s="174"/>
    </row>
    <row r="14" spans="1:8" s="96" customFormat="1" x14ac:dyDescent="0.25">
      <c r="A14" s="191" t="s">
        <v>12</v>
      </c>
      <c r="B14" s="193">
        <v>3</v>
      </c>
      <c r="C14" s="151" t="s">
        <v>158</v>
      </c>
      <c r="D14" s="152">
        <v>3.8</v>
      </c>
      <c r="E14" s="195">
        <f>SUM(D14:D19)</f>
        <v>11.8</v>
      </c>
      <c r="F14" s="153" t="s">
        <v>159</v>
      </c>
      <c r="G14" s="154"/>
      <c r="H14" s="104"/>
    </row>
    <row r="15" spans="1:8" s="96" customFormat="1" ht="18" customHeight="1" x14ac:dyDescent="0.25">
      <c r="A15" s="192"/>
      <c r="B15" s="194"/>
      <c r="C15" s="155" t="s">
        <v>87</v>
      </c>
      <c r="D15" s="156"/>
      <c r="E15" s="195"/>
      <c r="F15" s="157" t="s">
        <v>103</v>
      </c>
      <c r="G15" s="154"/>
    </row>
    <row r="16" spans="1:8" s="96" customFormat="1" ht="47.25" x14ac:dyDescent="0.25">
      <c r="A16" s="192"/>
      <c r="B16" s="194"/>
      <c r="C16" s="151" t="s">
        <v>435</v>
      </c>
      <c r="D16" s="156">
        <v>4</v>
      </c>
      <c r="E16" s="195"/>
      <c r="F16" s="158" t="s">
        <v>432</v>
      </c>
      <c r="G16" s="154" t="s">
        <v>433</v>
      </c>
    </row>
    <row r="17" spans="1:8" s="96" customFormat="1" ht="47.25" x14ac:dyDescent="0.25">
      <c r="A17" s="192"/>
      <c r="B17" s="194"/>
      <c r="C17" s="151" t="s">
        <v>434</v>
      </c>
      <c r="D17" s="152">
        <v>4</v>
      </c>
      <c r="E17" s="195"/>
      <c r="F17" s="158" t="s">
        <v>436</v>
      </c>
      <c r="G17" s="154" t="s">
        <v>433</v>
      </c>
    </row>
    <row r="18" spans="1:8" s="96" customFormat="1" x14ac:dyDescent="0.25">
      <c r="A18" s="192"/>
      <c r="B18" s="194"/>
      <c r="C18" s="151" t="s">
        <v>17</v>
      </c>
      <c r="D18" s="152">
        <v>0</v>
      </c>
      <c r="E18" s="195"/>
      <c r="F18" s="159" t="s">
        <v>329</v>
      </c>
      <c r="G18" s="154" t="s">
        <v>328</v>
      </c>
    </row>
    <row r="19" spans="1:8" s="96" customFormat="1" ht="18" customHeight="1" x14ac:dyDescent="0.25">
      <c r="A19" s="192"/>
      <c r="B19" s="194"/>
      <c r="C19" s="155" t="s">
        <v>88</v>
      </c>
      <c r="D19" s="156"/>
      <c r="E19" s="195"/>
      <c r="F19" s="160" t="s">
        <v>121</v>
      </c>
      <c r="G19" s="154"/>
    </row>
    <row r="20" spans="1:8" s="34" customFormat="1" ht="18" customHeight="1" x14ac:dyDescent="0.25">
      <c r="A20" s="178" t="s">
        <v>116</v>
      </c>
      <c r="B20" s="178"/>
      <c r="C20" s="178"/>
      <c r="D20" s="178"/>
      <c r="E20" s="178"/>
      <c r="F20" s="178"/>
      <c r="G20" s="178"/>
    </row>
    <row r="21" spans="1:8" s="34" customFormat="1" x14ac:dyDescent="0.25">
      <c r="A21" s="186" t="s">
        <v>12</v>
      </c>
      <c r="B21" s="188">
        <v>10</v>
      </c>
      <c r="C21" s="60" t="s">
        <v>158</v>
      </c>
      <c r="D21" s="61">
        <v>10</v>
      </c>
      <c r="E21" s="190">
        <f>SUM(D21:D27)</f>
        <v>130</v>
      </c>
      <c r="F21" s="69" t="s">
        <v>159</v>
      </c>
      <c r="G21" s="50"/>
      <c r="H21" s="66"/>
    </row>
    <row r="22" spans="1:8" s="34" customFormat="1" ht="47.25" x14ac:dyDescent="0.25">
      <c r="A22" s="187"/>
      <c r="B22" s="189"/>
      <c r="C22" s="60" t="s">
        <v>308</v>
      </c>
      <c r="D22" s="61">
        <v>55</v>
      </c>
      <c r="E22" s="190"/>
      <c r="F22" s="37" t="s">
        <v>307</v>
      </c>
      <c r="G22" s="50" t="s">
        <v>306</v>
      </c>
    </row>
    <row r="23" spans="1:8" s="34" customFormat="1" ht="18" customHeight="1" x14ac:dyDescent="0.25">
      <c r="A23" s="187"/>
      <c r="B23" s="189"/>
      <c r="C23" s="60" t="s">
        <v>130</v>
      </c>
      <c r="D23" s="61" t="s">
        <v>114</v>
      </c>
      <c r="E23" s="190"/>
      <c r="F23" s="62" t="s">
        <v>304</v>
      </c>
      <c r="G23" s="50" t="s">
        <v>305</v>
      </c>
    </row>
    <row r="24" spans="1:8" s="34" customFormat="1" ht="18" customHeight="1" x14ac:dyDescent="0.25">
      <c r="A24" s="187"/>
      <c r="B24" s="189"/>
      <c r="C24" s="60" t="s">
        <v>90</v>
      </c>
      <c r="D24" s="61">
        <v>25</v>
      </c>
      <c r="E24" s="190"/>
      <c r="F24" s="62" t="s">
        <v>309</v>
      </c>
      <c r="G24" s="50" t="s">
        <v>310</v>
      </c>
    </row>
    <row r="25" spans="1:8" s="34" customFormat="1" ht="18" customHeight="1" x14ac:dyDescent="0.25">
      <c r="A25" s="187"/>
      <c r="B25" s="189"/>
      <c r="C25" s="60" t="s">
        <v>117</v>
      </c>
      <c r="D25" s="61">
        <v>40</v>
      </c>
      <c r="E25" s="190"/>
      <c r="F25" s="101" t="s">
        <v>311</v>
      </c>
      <c r="G25" s="50"/>
    </row>
    <row r="26" spans="1:8" s="34" customFormat="1" ht="18" customHeight="1" x14ac:dyDescent="0.25">
      <c r="A26" s="187"/>
      <c r="B26" s="189"/>
      <c r="C26" s="128" t="s">
        <v>15</v>
      </c>
      <c r="D26" s="61"/>
      <c r="E26" s="190"/>
      <c r="F26" s="134" t="s">
        <v>103</v>
      </c>
      <c r="G26" s="135"/>
    </row>
    <row r="27" spans="1:8" s="34" customFormat="1" ht="31.5" x14ac:dyDescent="0.25">
      <c r="A27" s="187"/>
      <c r="B27" s="189"/>
      <c r="C27" s="128" t="s">
        <v>89</v>
      </c>
      <c r="D27" s="61"/>
      <c r="E27" s="190"/>
      <c r="F27" s="138" t="s">
        <v>131</v>
      </c>
      <c r="G27" s="135" t="s">
        <v>122</v>
      </c>
    </row>
    <row r="28" spans="1:8" s="34" customFormat="1" ht="18" customHeight="1" x14ac:dyDescent="0.25">
      <c r="A28" s="178" t="s">
        <v>83</v>
      </c>
      <c r="B28" s="178"/>
      <c r="C28" s="178"/>
      <c r="D28" s="178"/>
      <c r="E28" s="178"/>
      <c r="F28" s="178"/>
      <c r="G28" s="178"/>
    </row>
    <row r="29" spans="1:8" s="34" customFormat="1" x14ac:dyDescent="0.25">
      <c r="A29" s="186" t="s">
        <v>12</v>
      </c>
      <c r="B29" s="188">
        <v>20</v>
      </c>
      <c r="C29" s="60" t="s">
        <v>158</v>
      </c>
      <c r="D29" s="61">
        <v>15</v>
      </c>
      <c r="E29" s="190">
        <f>SUM(D29:D35)</f>
        <v>130</v>
      </c>
      <c r="F29" s="69" t="s">
        <v>159</v>
      </c>
      <c r="G29" s="50"/>
      <c r="H29" s="66"/>
    </row>
    <row r="30" spans="1:8" s="34" customFormat="1" ht="47.25" x14ac:dyDescent="0.25">
      <c r="A30" s="187"/>
      <c r="B30" s="189"/>
      <c r="C30" s="99" t="s">
        <v>308</v>
      </c>
      <c r="D30" s="61">
        <v>50</v>
      </c>
      <c r="E30" s="190"/>
      <c r="F30" s="85" t="s">
        <v>307</v>
      </c>
      <c r="G30" s="98" t="s">
        <v>306</v>
      </c>
    </row>
    <row r="31" spans="1:8" s="34" customFormat="1" ht="18" customHeight="1" x14ac:dyDescent="0.25">
      <c r="A31" s="187"/>
      <c r="B31" s="189"/>
      <c r="C31" s="60" t="s">
        <v>130</v>
      </c>
      <c r="D31" s="61" t="s">
        <v>114</v>
      </c>
      <c r="E31" s="190"/>
      <c r="F31" s="101" t="s">
        <v>304</v>
      </c>
      <c r="G31" s="98" t="s">
        <v>305</v>
      </c>
    </row>
    <row r="32" spans="1:8" s="34" customFormat="1" ht="18" customHeight="1" x14ac:dyDescent="0.25">
      <c r="A32" s="187"/>
      <c r="B32" s="189"/>
      <c r="C32" s="60" t="s">
        <v>90</v>
      </c>
      <c r="D32" s="61">
        <v>25</v>
      </c>
      <c r="E32" s="190"/>
      <c r="F32" s="101" t="s">
        <v>309</v>
      </c>
      <c r="G32" s="98" t="s">
        <v>310</v>
      </c>
    </row>
    <row r="33" spans="1:8" s="34" customFormat="1" ht="18" customHeight="1" x14ac:dyDescent="0.25">
      <c r="A33" s="187"/>
      <c r="B33" s="189"/>
      <c r="C33" s="60" t="s">
        <v>117</v>
      </c>
      <c r="D33" s="61">
        <v>40</v>
      </c>
      <c r="E33" s="190"/>
      <c r="F33" s="101" t="s">
        <v>311</v>
      </c>
      <c r="G33" s="63"/>
    </row>
    <row r="34" spans="1:8" s="34" customFormat="1" ht="18" customHeight="1" x14ac:dyDescent="0.25">
      <c r="A34" s="187"/>
      <c r="B34" s="189"/>
      <c r="C34" s="128" t="s">
        <v>15</v>
      </c>
      <c r="D34" s="61"/>
      <c r="E34" s="190"/>
      <c r="F34" s="132" t="s">
        <v>103</v>
      </c>
      <c r="G34" s="136"/>
    </row>
    <row r="35" spans="1:8" s="34" customFormat="1" x14ac:dyDescent="0.25">
      <c r="A35" s="187"/>
      <c r="B35" s="189"/>
      <c r="C35" s="128" t="s">
        <v>158</v>
      </c>
      <c r="D35" s="61"/>
      <c r="E35" s="190"/>
      <c r="F35" s="133" t="s">
        <v>159</v>
      </c>
      <c r="G35" s="136"/>
    </row>
    <row r="36" spans="1:8" s="34" customFormat="1" ht="18" customHeight="1" x14ac:dyDescent="0.25">
      <c r="A36" s="178" t="s">
        <v>84</v>
      </c>
      <c r="B36" s="178"/>
      <c r="C36" s="178"/>
      <c r="D36" s="178"/>
      <c r="E36" s="178"/>
      <c r="F36" s="178"/>
      <c r="G36" s="178"/>
    </row>
    <row r="37" spans="1:8" s="34" customFormat="1" x14ac:dyDescent="0.25">
      <c r="A37" s="186" t="s">
        <v>12</v>
      </c>
      <c r="B37" s="188">
        <v>21</v>
      </c>
      <c r="C37" s="60" t="s">
        <v>158</v>
      </c>
      <c r="D37" s="61">
        <v>7</v>
      </c>
      <c r="E37" s="190">
        <f>SUM(D37:D43)</f>
        <v>130</v>
      </c>
      <c r="F37" s="69" t="s">
        <v>159</v>
      </c>
      <c r="G37" s="50"/>
      <c r="H37" s="66"/>
    </row>
    <row r="38" spans="1:8" s="34" customFormat="1" ht="47.25" x14ac:dyDescent="0.25">
      <c r="A38" s="187"/>
      <c r="B38" s="189"/>
      <c r="C38" s="99" t="s">
        <v>308</v>
      </c>
      <c r="D38" s="61">
        <v>58</v>
      </c>
      <c r="E38" s="190"/>
      <c r="F38" s="85" t="s">
        <v>307</v>
      </c>
      <c r="G38" s="98" t="s">
        <v>306</v>
      </c>
    </row>
    <row r="39" spans="1:8" s="34" customFormat="1" ht="18" customHeight="1" x14ac:dyDescent="0.25">
      <c r="A39" s="187"/>
      <c r="B39" s="189"/>
      <c r="C39" s="60" t="s">
        <v>130</v>
      </c>
      <c r="D39" s="61" t="s">
        <v>114</v>
      </c>
      <c r="E39" s="190"/>
      <c r="F39" s="101" t="s">
        <v>304</v>
      </c>
      <c r="G39" s="98" t="s">
        <v>305</v>
      </c>
    </row>
    <row r="40" spans="1:8" s="34" customFormat="1" ht="18" customHeight="1" x14ac:dyDescent="0.25">
      <c r="A40" s="187"/>
      <c r="B40" s="189"/>
      <c r="C40" s="60" t="s">
        <v>90</v>
      </c>
      <c r="D40" s="61">
        <v>25</v>
      </c>
      <c r="E40" s="190"/>
      <c r="F40" s="101" t="s">
        <v>309</v>
      </c>
      <c r="G40" s="98" t="s">
        <v>310</v>
      </c>
    </row>
    <row r="41" spans="1:8" s="34" customFormat="1" ht="18" customHeight="1" x14ac:dyDescent="0.25">
      <c r="A41" s="187"/>
      <c r="B41" s="189"/>
      <c r="C41" s="60" t="s">
        <v>117</v>
      </c>
      <c r="D41" s="61">
        <v>40</v>
      </c>
      <c r="E41" s="190"/>
      <c r="F41" s="101" t="s">
        <v>311</v>
      </c>
      <c r="G41" s="63" t="s">
        <v>118</v>
      </c>
    </row>
    <row r="42" spans="1:8" s="34" customFormat="1" ht="18" customHeight="1" x14ac:dyDescent="0.25">
      <c r="A42" s="187"/>
      <c r="B42" s="189"/>
      <c r="C42" s="128" t="s">
        <v>15</v>
      </c>
      <c r="D42" s="129"/>
      <c r="E42" s="190"/>
      <c r="F42" s="132" t="s">
        <v>103</v>
      </c>
      <c r="G42" s="136"/>
    </row>
    <row r="43" spans="1:8" s="34" customFormat="1" x14ac:dyDescent="0.25">
      <c r="A43" s="187"/>
      <c r="B43" s="189"/>
      <c r="C43" s="130" t="s">
        <v>158</v>
      </c>
      <c r="D43" s="131"/>
      <c r="E43" s="190"/>
      <c r="F43" s="133" t="s">
        <v>159</v>
      </c>
      <c r="G43" s="136"/>
    </row>
    <row r="44" spans="1:8" s="34" customFormat="1" ht="18" customHeight="1" x14ac:dyDescent="0.25">
      <c r="A44" s="178" t="s">
        <v>85</v>
      </c>
      <c r="B44" s="178"/>
      <c r="C44" s="178"/>
      <c r="D44" s="178"/>
      <c r="E44" s="178"/>
      <c r="F44" s="178"/>
      <c r="G44" s="178"/>
    </row>
    <row r="45" spans="1:8" s="34" customFormat="1" x14ac:dyDescent="0.25">
      <c r="A45" s="186" t="s">
        <v>12</v>
      </c>
      <c r="B45" s="188">
        <v>30</v>
      </c>
      <c r="C45" s="60" t="s">
        <v>158</v>
      </c>
      <c r="D45" s="61">
        <v>15</v>
      </c>
      <c r="E45" s="190">
        <f>SUM(D45:D50)</f>
        <v>130</v>
      </c>
      <c r="F45" s="108" t="s">
        <v>159</v>
      </c>
      <c r="G45" s="50"/>
      <c r="H45" s="66"/>
    </row>
    <row r="46" spans="1:8" s="34" customFormat="1" ht="47.25" x14ac:dyDescent="0.25">
      <c r="A46" s="187"/>
      <c r="B46" s="189"/>
      <c r="C46" s="99" t="s">
        <v>308</v>
      </c>
      <c r="D46" s="61">
        <v>50</v>
      </c>
      <c r="E46" s="190"/>
      <c r="F46" s="85" t="s">
        <v>307</v>
      </c>
      <c r="G46" s="98" t="s">
        <v>306</v>
      </c>
    </row>
    <row r="47" spans="1:8" s="96" customFormat="1" x14ac:dyDescent="0.25">
      <c r="A47" s="187"/>
      <c r="B47" s="189"/>
      <c r="C47" s="99" t="s">
        <v>130</v>
      </c>
      <c r="D47" s="100" t="s">
        <v>114</v>
      </c>
      <c r="E47" s="190"/>
      <c r="F47" s="101" t="s">
        <v>304</v>
      </c>
      <c r="G47" s="98" t="s">
        <v>305</v>
      </c>
    </row>
    <row r="48" spans="1:8" s="34" customFormat="1" ht="18" customHeight="1" x14ac:dyDescent="0.25">
      <c r="A48" s="187"/>
      <c r="B48" s="189"/>
      <c r="C48" s="60" t="s">
        <v>90</v>
      </c>
      <c r="D48" s="61">
        <v>25</v>
      </c>
      <c r="E48" s="190"/>
      <c r="F48" s="101" t="s">
        <v>309</v>
      </c>
      <c r="G48" s="98" t="s">
        <v>310</v>
      </c>
    </row>
    <row r="49" spans="1:8" s="34" customFormat="1" ht="18" customHeight="1" x14ac:dyDescent="0.25">
      <c r="A49" s="187"/>
      <c r="B49" s="189"/>
      <c r="C49" s="60" t="s">
        <v>117</v>
      </c>
      <c r="D49" s="61">
        <v>40</v>
      </c>
      <c r="E49" s="190"/>
      <c r="F49" s="101" t="s">
        <v>311</v>
      </c>
      <c r="G49" s="98"/>
    </row>
    <row r="50" spans="1:8" s="34" customFormat="1" ht="18" customHeight="1" x14ac:dyDescent="0.25">
      <c r="A50" s="187"/>
      <c r="B50" s="189"/>
      <c r="C50" s="128" t="s">
        <v>15</v>
      </c>
      <c r="D50" s="129"/>
      <c r="E50" s="190"/>
      <c r="F50" s="101"/>
      <c r="G50" s="102"/>
    </row>
    <row r="51" spans="1:8" s="34" customFormat="1" ht="18" customHeight="1" x14ac:dyDescent="0.25">
      <c r="A51" s="178" t="s">
        <v>86</v>
      </c>
      <c r="B51" s="178"/>
      <c r="C51" s="178"/>
      <c r="D51" s="178"/>
      <c r="E51" s="178"/>
      <c r="F51" s="178"/>
      <c r="G51" s="178"/>
    </row>
    <row r="52" spans="1:8" s="34" customFormat="1" x14ac:dyDescent="0.25">
      <c r="A52" s="186" t="s">
        <v>12</v>
      </c>
      <c r="B52" s="188">
        <v>31</v>
      </c>
      <c r="C52" s="60" t="s">
        <v>158</v>
      </c>
      <c r="D52" s="61">
        <v>7</v>
      </c>
      <c r="E52" s="190">
        <f>SUM(D52:D57)</f>
        <v>130</v>
      </c>
      <c r="F52" s="69" t="s">
        <v>159</v>
      </c>
      <c r="G52" s="50"/>
      <c r="H52" s="66"/>
    </row>
    <row r="53" spans="1:8" s="34" customFormat="1" ht="47.25" x14ac:dyDescent="0.25">
      <c r="A53" s="187"/>
      <c r="B53" s="189"/>
      <c r="C53" s="60" t="s">
        <v>91</v>
      </c>
      <c r="D53" s="61">
        <v>58</v>
      </c>
      <c r="E53" s="190"/>
      <c r="F53" s="85" t="s">
        <v>307</v>
      </c>
      <c r="G53" s="98" t="s">
        <v>306</v>
      </c>
    </row>
    <row r="54" spans="1:8" s="34" customFormat="1" ht="18" customHeight="1" x14ac:dyDescent="0.25">
      <c r="A54" s="187"/>
      <c r="B54" s="189"/>
      <c r="C54" s="60" t="s">
        <v>130</v>
      </c>
      <c r="D54" s="61" t="s">
        <v>114</v>
      </c>
      <c r="E54" s="190"/>
      <c r="F54" s="101" t="s">
        <v>304</v>
      </c>
      <c r="G54" s="98" t="s">
        <v>305</v>
      </c>
    </row>
    <row r="55" spans="1:8" s="34" customFormat="1" ht="18" customHeight="1" x14ac:dyDescent="0.25">
      <c r="A55" s="187"/>
      <c r="B55" s="189"/>
      <c r="C55" s="60" t="s">
        <v>90</v>
      </c>
      <c r="D55" s="61">
        <v>25</v>
      </c>
      <c r="E55" s="190"/>
      <c r="F55" s="101" t="s">
        <v>309</v>
      </c>
      <c r="G55" s="98" t="s">
        <v>310</v>
      </c>
    </row>
    <row r="56" spans="1:8" s="34" customFormat="1" ht="18" customHeight="1" x14ac:dyDescent="0.25">
      <c r="A56" s="187"/>
      <c r="B56" s="189"/>
      <c r="C56" s="60" t="s">
        <v>117</v>
      </c>
      <c r="D56" s="61">
        <v>40</v>
      </c>
      <c r="E56" s="190"/>
      <c r="F56" s="101" t="s">
        <v>311</v>
      </c>
      <c r="G56" s="63"/>
    </row>
    <row r="57" spans="1:8" s="34" customFormat="1" ht="18" customHeight="1" x14ac:dyDescent="0.25">
      <c r="A57" s="187"/>
      <c r="B57" s="189"/>
      <c r="C57" s="128" t="s">
        <v>15</v>
      </c>
      <c r="D57" s="129"/>
      <c r="E57" s="190"/>
      <c r="F57" s="134" t="s">
        <v>103</v>
      </c>
      <c r="G57" s="135"/>
    </row>
    <row r="58" spans="1:8" ht="15.75" customHeight="1" x14ac:dyDescent="0.25">
      <c r="A58" s="59"/>
      <c r="B58" s="59"/>
      <c r="C58" s="59"/>
      <c r="D58" s="59"/>
      <c r="E58" s="59"/>
      <c r="F58" s="59"/>
      <c r="G58" s="59"/>
    </row>
    <row r="59" spans="1:8" ht="18.75" customHeight="1" x14ac:dyDescent="0.25">
      <c r="A59" s="59"/>
      <c r="B59" s="59"/>
      <c r="C59" s="59"/>
      <c r="D59" s="59"/>
      <c r="E59" s="59"/>
      <c r="F59" s="59"/>
      <c r="G59" s="59"/>
    </row>
    <row r="60" spans="1:8" ht="15.75" customHeight="1" x14ac:dyDescent="0.25">
      <c r="A60" s="59"/>
      <c r="B60" s="59"/>
      <c r="C60" s="59"/>
      <c r="D60" s="59"/>
      <c r="E60" s="59"/>
      <c r="F60" s="59"/>
      <c r="G60" s="59"/>
    </row>
    <row r="61" spans="1:8" ht="15.75" customHeight="1" x14ac:dyDescent="0.25">
      <c r="A61" s="59"/>
      <c r="B61" s="59"/>
      <c r="C61" s="59"/>
      <c r="D61" s="59"/>
      <c r="E61" s="59"/>
      <c r="F61" s="59"/>
      <c r="G61" s="59"/>
    </row>
    <row r="62" spans="1:8" ht="15.75" customHeight="1" x14ac:dyDescent="0.25">
      <c r="A62" s="59"/>
      <c r="B62" s="59"/>
      <c r="C62" s="59"/>
      <c r="D62" s="59"/>
      <c r="E62" s="59"/>
      <c r="F62" s="59"/>
      <c r="G62" s="59"/>
    </row>
    <row r="63" spans="1:8" ht="15.75" customHeight="1" x14ac:dyDescent="0.25">
      <c r="A63" s="59"/>
      <c r="B63" s="59"/>
      <c r="C63" s="59"/>
      <c r="D63" s="59"/>
      <c r="E63" s="59"/>
      <c r="F63" s="59"/>
      <c r="G63" s="59"/>
    </row>
    <row r="64" spans="1:8" ht="15.75" customHeight="1" x14ac:dyDescent="0.25">
      <c r="A64" s="59"/>
      <c r="B64" s="59"/>
      <c r="C64" s="59"/>
      <c r="D64" s="59"/>
      <c r="E64" s="59"/>
      <c r="F64" s="59"/>
      <c r="G64" s="59"/>
    </row>
    <row r="65" spans="1:7" ht="18.75" customHeight="1" x14ac:dyDescent="0.25">
      <c r="A65" s="59"/>
      <c r="B65" s="59"/>
      <c r="C65" s="59"/>
      <c r="D65" s="59"/>
      <c r="E65" s="59"/>
      <c r="F65" s="59"/>
      <c r="G65" s="59"/>
    </row>
    <row r="66" spans="1:7" ht="15.75" customHeight="1" x14ac:dyDescent="0.25">
      <c r="A66" s="59"/>
      <c r="B66" s="59"/>
      <c r="C66" s="59"/>
      <c r="D66" s="59"/>
      <c r="E66" s="59"/>
      <c r="F66" s="59"/>
      <c r="G66" s="59"/>
    </row>
    <row r="67" spans="1:7" ht="15.75" customHeight="1" x14ac:dyDescent="0.25">
      <c r="A67" s="59"/>
      <c r="B67" s="59"/>
      <c r="C67" s="59"/>
      <c r="D67" s="59"/>
      <c r="E67" s="59"/>
      <c r="F67" s="59"/>
      <c r="G67" s="59"/>
    </row>
    <row r="68" spans="1:7" ht="15.75" customHeight="1" x14ac:dyDescent="0.25">
      <c r="A68" s="59"/>
      <c r="B68" s="59"/>
      <c r="C68" s="59"/>
      <c r="D68" s="59"/>
      <c r="E68" s="59"/>
      <c r="F68" s="59"/>
      <c r="G68" s="59"/>
    </row>
    <row r="69" spans="1:7" ht="15.75" customHeight="1" x14ac:dyDescent="0.25">
      <c r="A69" s="59"/>
      <c r="B69" s="59"/>
      <c r="C69" s="59"/>
      <c r="D69" s="59"/>
      <c r="E69" s="59"/>
      <c r="F69" s="59"/>
      <c r="G69" s="59"/>
    </row>
    <row r="70" spans="1:7" ht="15.75" customHeight="1" x14ac:dyDescent="0.25">
      <c r="A70" s="59"/>
      <c r="B70" s="59"/>
      <c r="C70" s="59"/>
      <c r="D70" s="59"/>
      <c r="E70" s="59"/>
      <c r="F70" s="59"/>
      <c r="G70" s="59"/>
    </row>
    <row r="71" spans="1:7" ht="18.75" customHeight="1" x14ac:dyDescent="0.25">
      <c r="A71" s="59"/>
      <c r="B71" s="59"/>
      <c r="C71" s="59"/>
      <c r="D71" s="59"/>
      <c r="E71" s="59"/>
      <c r="F71" s="59"/>
      <c r="G71" s="59"/>
    </row>
    <row r="72" spans="1:7" ht="15.75" customHeight="1" x14ac:dyDescent="0.25">
      <c r="A72" s="59"/>
      <c r="B72" s="59"/>
      <c r="C72" s="59"/>
      <c r="D72" s="59"/>
      <c r="E72" s="59"/>
      <c r="F72" s="59"/>
      <c r="G72" s="59"/>
    </row>
    <row r="73" spans="1:7" ht="15.75" customHeight="1" x14ac:dyDescent="0.25">
      <c r="A73" s="59"/>
      <c r="B73" s="59"/>
      <c r="C73" s="59"/>
      <c r="D73" s="59"/>
      <c r="E73" s="59"/>
      <c r="F73" s="59"/>
      <c r="G73" s="59"/>
    </row>
    <row r="74" spans="1:7" ht="15.75" customHeight="1" x14ac:dyDescent="0.25">
      <c r="A74" s="59"/>
      <c r="B74" s="59"/>
      <c r="C74" s="59"/>
      <c r="D74" s="59"/>
      <c r="E74" s="59"/>
      <c r="F74" s="59"/>
      <c r="G74" s="59"/>
    </row>
    <row r="75" spans="1:7" ht="15.75" customHeight="1" x14ac:dyDescent="0.25">
      <c r="A75" s="59"/>
      <c r="B75" s="59"/>
      <c r="C75" s="59"/>
      <c r="D75" s="59"/>
      <c r="E75" s="59"/>
      <c r="F75" s="59"/>
      <c r="G75" s="59"/>
    </row>
    <row r="76" spans="1:7" ht="15.75" customHeight="1" x14ac:dyDescent="0.25">
      <c r="A76" s="59"/>
      <c r="B76" s="59"/>
      <c r="C76" s="59"/>
      <c r="D76" s="59"/>
      <c r="E76" s="59"/>
      <c r="F76" s="59"/>
      <c r="G76" s="59"/>
    </row>
    <row r="77" spans="1:7" ht="18.75" customHeight="1" x14ac:dyDescent="0.25">
      <c r="A77" s="59"/>
      <c r="B77" s="59"/>
      <c r="C77" s="59"/>
      <c r="D77" s="59"/>
      <c r="E77" s="59"/>
      <c r="F77" s="59"/>
      <c r="G77" s="59"/>
    </row>
    <row r="78" spans="1:7" ht="15.75" customHeight="1" x14ac:dyDescent="0.25">
      <c r="A78" s="59"/>
      <c r="B78" s="59"/>
      <c r="C78" s="59"/>
      <c r="D78" s="59"/>
      <c r="E78" s="59"/>
      <c r="F78" s="59"/>
      <c r="G78" s="59"/>
    </row>
    <row r="79" spans="1:7" ht="15.75" customHeight="1" x14ac:dyDescent="0.25">
      <c r="A79" s="59"/>
      <c r="B79" s="59"/>
      <c r="C79" s="59"/>
      <c r="D79" s="59"/>
      <c r="E79" s="59"/>
      <c r="F79" s="59"/>
      <c r="G79" s="59"/>
    </row>
    <row r="80" spans="1:7" ht="15.75" customHeight="1" x14ac:dyDescent="0.25">
      <c r="A80" s="59"/>
      <c r="B80" s="59"/>
      <c r="C80" s="59"/>
      <c r="D80" s="59"/>
      <c r="E80" s="59"/>
      <c r="F80" s="59"/>
      <c r="G80" s="59"/>
    </row>
    <row r="81" spans="1:7" ht="15.75" customHeight="1" x14ac:dyDescent="0.25">
      <c r="A81" s="59"/>
      <c r="B81" s="59"/>
      <c r="C81" s="59"/>
      <c r="D81" s="59"/>
      <c r="E81" s="59"/>
      <c r="F81" s="59"/>
      <c r="G81" s="59"/>
    </row>
    <row r="82" spans="1:7" ht="15.75" customHeight="1" x14ac:dyDescent="0.25">
      <c r="A82" s="59"/>
      <c r="B82" s="59"/>
      <c r="C82" s="59"/>
      <c r="D82" s="59"/>
      <c r="E82" s="59"/>
      <c r="F82" s="59"/>
      <c r="G82" s="59"/>
    </row>
    <row r="83" spans="1:7" ht="15.75" customHeight="1" x14ac:dyDescent="0.25">
      <c r="A83" s="59"/>
      <c r="B83" s="59"/>
      <c r="C83" s="59"/>
      <c r="D83" s="59"/>
      <c r="E83" s="59"/>
      <c r="F83" s="59"/>
      <c r="G83" s="59"/>
    </row>
    <row r="84" spans="1:7" ht="15.75" customHeight="1" x14ac:dyDescent="0.25">
      <c r="A84" s="59"/>
      <c r="B84" s="59"/>
      <c r="C84" s="59"/>
      <c r="D84" s="59"/>
      <c r="E84" s="59"/>
      <c r="F84" s="59"/>
      <c r="G84" s="59"/>
    </row>
  </sheetData>
  <mergeCells count="37">
    <mergeCell ref="A52:A57"/>
    <mergeCell ref="B52:B57"/>
    <mergeCell ref="E52:E57"/>
    <mergeCell ref="A44:G44"/>
    <mergeCell ref="A45:A50"/>
    <mergeCell ref="B45:B50"/>
    <mergeCell ref="E45:E50"/>
    <mergeCell ref="A51:G51"/>
    <mergeCell ref="A1:B1"/>
    <mergeCell ref="A2:B2"/>
    <mergeCell ref="C2:E2"/>
    <mergeCell ref="A5:G5"/>
    <mergeCell ref="C1:E1"/>
    <mergeCell ref="A4:B4"/>
    <mergeCell ref="A37:A43"/>
    <mergeCell ref="B37:B43"/>
    <mergeCell ref="E37:E43"/>
    <mergeCell ref="A20:G20"/>
    <mergeCell ref="A21:A27"/>
    <mergeCell ref="B21:B27"/>
    <mergeCell ref="E21:E27"/>
    <mergeCell ref="A29:A35"/>
    <mergeCell ref="B29:B35"/>
    <mergeCell ref="E29:E35"/>
    <mergeCell ref="A6:A8"/>
    <mergeCell ref="B6:B8"/>
    <mergeCell ref="E6:E8"/>
    <mergeCell ref="A28:G28"/>
    <mergeCell ref="A36:G36"/>
    <mergeCell ref="A9:G9"/>
    <mergeCell ref="A10:A12"/>
    <mergeCell ref="B10:B12"/>
    <mergeCell ref="E10:E12"/>
    <mergeCell ref="A13:G13"/>
    <mergeCell ref="A14:A19"/>
    <mergeCell ref="B14:B19"/>
    <mergeCell ref="E14:E19"/>
  </mergeCells>
  <pageMargins left="0.25" right="0.25" top="0.75" bottom="0.75" header="0.3" footer="0.3"/>
  <pageSetup paperSize="9" scale="67" firstPageNumber="2" fitToHeight="0" orientation="landscape" r:id="rId1"/>
  <headerFooter>
    <oddHeader>&amp;L&amp;G</oddHeader>
  </headerFooter>
  <rowBreaks count="1" manualBreakCount="1">
    <brk id="27" max="6" man="1"/>
  </rowBreaks>
  <colBreaks count="1" manualBreakCount="1">
    <brk id="6" max="49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E7CA-9B3E-43AE-BC2D-9FA51D041958}">
  <sheetPr>
    <pageSetUpPr fitToPage="1"/>
  </sheetPr>
  <dimension ref="A1:H193"/>
  <sheetViews>
    <sheetView view="pageBreakPreview" topLeftCell="A151" zoomScale="70" zoomScaleNormal="70" zoomScaleSheetLayoutView="70" workbookViewId="0">
      <selection activeCell="G166" sqref="G166"/>
    </sheetView>
  </sheetViews>
  <sheetFormatPr defaultColWidth="8.77734375" defaultRowHeight="15.75" x14ac:dyDescent="0.25"/>
  <cols>
    <col min="1" max="2" width="7.77734375" style="39" customWidth="1"/>
    <col min="3" max="3" width="52.109375" style="40" bestFit="1" customWidth="1"/>
    <col min="4" max="5" width="12.33203125" style="41" customWidth="1"/>
    <col min="6" max="6" width="72.5546875" style="42" customWidth="1"/>
    <col min="7" max="7" width="30.5546875" style="43" customWidth="1"/>
    <col min="8" max="8" width="28.5546875" style="31" customWidth="1"/>
    <col min="9" max="16384" width="8.77734375" style="31"/>
  </cols>
  <sheetData>
    <row r="1" spans="1:8" ht="30" customHeight="1" x14ac:dyDescent="0.25">
      <c r="A1" s="166" t="s">
        <v>1</v>
      </c>
      <c r="B1" s="167"/>
      <c r="C1" s="196" t="str">
        <f>'systém kódování'!B1</f>
        <v>BYTOVÝ SOUBOR LIBUŠE</v>
      </c>
      <c r="D1" s="196"/>
      <c r="E1" s="196"/>
      <c r="F1" s="48" t="s">
        <v>4</v>
      </c>
      <c r="G1" s="55" t="str">
        <f>'systém kódování'!$G$1</f>
        <v>01</v>
      </c>
    </row>
    <row r="2" spans="1:8" ht="30" customHeight="1" thickBot="1" x14ac:dyDescent="0.3">
      <c r="A2" s="169" t="s">
        <v>0</v>
      </c>
      <c r="B2" s="170"/>
      <c r="C2" s="171" t="str">
        <f>'systém kódování'!B2</f>
        <v>TABULKA SKLADEB A POVRCHŮ /  SURFACES AND STRUCTURES TABLE</v>
      </c>
      <c r="D2" s="171"/>
      <c r="E2" s="171"/>
      <c r="F2" s="49" t="s">
        <v>5</v>
      </c>
      <c r="G2" s="26" t="str">
        <f>'systém kódování'!$G$2</f>
        <v>30/11/2021</v>
      </c>
    </row>
    <row r="3" spans="1:8" s="34" customFormat="1" ht="16.5" customHeight="1" x14ac:dyDescent="0.25">
      <c r="A3" s="56"/>
      <c r="B3" s="56"/>
      <c r="C3" s="56"/>
      <c r="D3" s="57"/>
      <c r="E3" s="57"/>
      <c r="F3" s="57"/>
      <c r="G3" s="57"/>
    </row>
    <row r="4" spans="1:8" ht="47.25" x14ac:dyDescent="0.25">
      <c r="A4" s="172" t="s">
        <v>2</v>
      </c>
      <c r="B4" s="173"/>
      <c r="C4" s="109" t="s">
        <v>7</v>
      </c>
      <c r="D4" s="110" t="s">
        <v>9</v>
      </c>
      <c r="E4" s="110" t="s">
        <v>11</v>
      </c>
      <c r="F4" s="110" t="s">
        <v>8</v>
      </c>
      <c r="G4" s="110" t="s">
        <v>10</v>
      </c>
      <c r="H4" s="35"/>
    </row>
    <row r="5" spans="1:8" ht="18.75" x14ac:dyDescent="0.25">
      <c r="A5" s="178" t="s">
        <v>43</v>
      </c>
      <c r="B5" s="178"/>
      <c r="C5" s="178"/>
      <c r="D5" s="178"/>
      <c r="E5" s="178"/>
      <c r="F5" s="178"/>
      <c r="G5" s="178"/>
      <c r="H5" s="35"/>
    </row>
    <row r="6" spans="1:8" x14ac:dyDescent="0.25">
      <c r="A6" s="205" t="s">
        <v>18</v>
      </c>
      <c r="B6" s="206" t="s">
        <v>33</v>
      </c>
      <c r="C6" s="60" t="s">
        <v>312</v>
      </c>
      <c r="D6" s="61" t="s">
        <v>114</v>
      </c>
      <c r="E6" s="190">
        <f>SUM(D6:D8)</f>
        <v>250</v>
      </c>
      <c r="F6" s="62"/>
      <c r="G6" s="50"/>
      <c r="H6" s="35"/>
    </row>
    <row r="7" spans="1:8" x14ac:dyDescent="0.25">
      <c r="A7" s="197"/>
      <c r="B7" s="207"/>
      <c r="C7" s="60" t="s">
        <v>36</v>
      </c>
      <c r="D7" s="61">
        <v>250</v>
      </c>
      <c r="E7" s="190"/>
      <c r="F7" s="62" t="s">
        <v>318</v>
      </c>
      <c r="G7" s="50"/>
      <c r="H7" s="35"/>
    </row>
    <row r="8" spans="1:8" s="34" customFormat="1" ht="15.75" customHeight="1" x14ac:dyDescent="0.25">
      <c r="A8" s="197"/>
      <c r="B8" s="207"/>
      <c r="C8" s="60" t="s">
        <v>158</v>
      </c>
      <c r="D8" s="61" t="s">
        <v>114</v>
      </c>
      <c r="E8" s="190"/>
      <c r="F8" s="69" t="s">
        <v>160</v>
      </c>
      <c r="G8" s="65"/>
      <c r="H8" s="38"/>
    </row>
    <row r="9" spans="1:8" ht="18.75" customHeight="1" x14ac:dyDescent="0.25">
      <c r="A9" s="178" t="s">
        <v>153</v>
      </c>
      <c r="B9" s="178"/>
      <c r="C9" s="178"/>
      <c r="D9" s="178"/>
      <c r="E9" s="178"/>
      <c r="F9" s="178"/>
      <c r="G9" s="178"/>
      <c r="H9" s="35"/>
    </row>
    <row r="10" spans="1:8" s="81" customFormat="1" ht="15.75" customHeight="1" x14ac:dyDescent="0.25">
      <c r="A10" s="197" t="s">
        <v>18</v>
      </c>
      <c r="B10" s="189">
        <v>2</v>
      </c>
      <c r="C10" s="99" t="s">
        <v>323</v>
      </c>
      <c r="D10" s="100">
        <v>3</v>
      </c>
      <c r="E10" s="203">
        <f>SUM(D10:D15)</f>
        <v>337</v>
      </c>
      <c r="F10" s="101" t="s">
        <v>324</v>
      </c>
      <c r="G10" s="98" t="s">
        <v>325</v>
      </c>
      <c r="H10" s="83"/>
    </row>
    <row r="11" spans="1:8" ht="15.75" customHeight="1" x14ac:dyDescent="0.25">
      <c r="A11" s="197"/>
      <c r="B11" s="189"/>
      <c r="C11" s="60" t="s">
        <v>73</v>
      </c>
      <c r="D11" s="61">
        <v>80</v>
      </c>
      <c r="E11" s="203"/>
      <c r="F11" s="62" t="s">
        <v>336</v>
      </c>
      <c r="G11" s="103" t="s">
        <v>320</v>
      </c>
      <c r="H11" s="35"/>
    </row>
    <row r="12" spans="1:8" ht="15.75" customHeight="1" x14ac:dyDescent="0.25">
      <c r="A12" s="197"/>
      <c r="B12" s="189"/>
      <c r="C12" s="60" t="s">
        <v>156</v>
      </c>
      <c r="D12" s="61">
        <v>4</v>
      </c>
      <c r="E12" s="203"/>
      <c r="F12" s="62" t="s">
        <v>327</v>
      </c>
      <c r="G12" s="98" t="s">
        <v>319</v>
      </c>
      <c r="H12" s="35"/>
    </row>
    <row r="13" spans="1:8" ht="15.75" customHeight="1" x14ac:dyDescent="0.25">
      <c r="A13" s="197"/>
      <c r="B13" s="189"/>
      <c r="C13" s="60" t="s">
        <v>17</v>
      </c>
      <c r="D13" s="61">
        <v>0</v>
      </c>
      <c r="E13" s="203"/>
      <c r="F13" s="62" t="s">
        <v>134</v>
      </c>
      <c r="G13" s="50" t="s">
        <v>322</v>
      </c>
      <c r="H13" s="35"/>
    </row>
    <row r="14" spans="1:8" ht="15.75" customHeight="1" x14ac:dyDescent="0.25">
      <c r="A14" s="197"/>
      <c r="B14" s="189"/>
      <c r="C14" s="60" t="s">
        <v>36</v>
      </c>
      <c r="D14" s="61">
        <v>250</v>
      </c>
      <c r="E14" s="203"/>
      <c r="F14" s="101" t="s">
        <v>318</v>
      </c>
      <c r="G14" s="50"/>
      <c r="H14" s="35"/>
    </row>
    <row r="15" spans="1:8" s="34" customFormat="1" ht="15.75" customHeight="1" x14ac:dyDescent="0.25">
      <c r="A15" s="198"/>
      <c r="B15" s="199"/>
      <c r="C15" s="60" t="s">
        <v>158</v>
      </c>
      <c r="D15" s="61" t="s">
        <v>114</v>
      </c>
      <c r="E15" s="204"/>
      <c r="F15" s="69" t="s">
        <v>160</v>
      </c>
      <c r="G15" s="65"/>
      <c r="H15" s="38"/>
    </row>
    <row r="16" spans="1:8" ht="18.75" x14ac:dyDescent="0.25">
      <c r="A16" s="178" t="s">
        <v>155</v>
      </c>
      <c r="B16" s="178"/>
      <c r="C16" s="178"/>
      <c r="D16" s="178"/>
      <c r="E16" s="178"/>
      <c r="F16" s="178"/>
      <c r="G16" s="178"/>
      <c r="H16" s="35"/>
    </row>
    <row r="17" spans="1:8" x14ac:dyDescent="0.25">
      <c r="A17" s="205" t="s">
        <v>18</v>
      </c>
      <c r="B17" s="206" t="s">
        <v>154</v>
      </c>
      <c r="C17" s="60" t="s">
        <v>316</v>
      </c>
      <c r="D17" s="61">
        <v>25</v>
      </c>
      <c r="E17" s="208">
        <f>SUM(D17:D25)</f>
        <v>485</v>
      </c>
      <c r="F17" s="62" t="s">
        <v>159</v>
      </c>
      <c r="G17" s="50"/>
      <c r="H17" s="35"/>
    </row>
    <row r="18" spans="1:8" x14ac:dyDescent="0.25">
      <c r="A18" s="197"/>
      <c r="B18" s="207"/>
      <c r="C18" s="60" t="s">
        <v>39</v>
      </c>
      <c r="D18" s="61">
        <v>5</v>
      </c>
      <c r="E18" s="203"/>
      <c r="F18" s="101" t="s">
        <v>159</v>
      </c>
      <c r="G18" s="50"/>
      <c r="H18" s="35"/>
    </row>
    <row r="19" spans="1:8" x14ac:dyDescent="0.25">
      <c r="A19" s="197"/>
      <c r="B19" s="207"/>
      <c r="C19" s="60" t="s">
        <v>138</v>
      </c>
      <c r="D19" s="61">
        <v>4</v>
      </c>
      <c r="E19" s="203"/>
      <c r="F19" s="101" t="s">
        <v>314</v>
      </c>
      <c r="G19" s="98" t="s">
        <v>321</v>
      </c>
      <c r="H19" s="35"/>
    </row>
    <row r="20" spans="1:8" x14ac:dyDescent="0.25">
      <c r="A20" s="197"/>
      <c r="B20" s="207"/>
      <c r="C20" s="60" t="s">
        <v>73</v>
      </c>
      <c r="D20" s="61">
        <v>60</v>
      </c>
      <c r="E20" s="203"/>
      <c r="F20" s="101" t="s">
        <v>336</v>
      </c>
      <c r="G20" s="103" t="s">
        <v>320</v>
      </c>
      <c r="H20" s="35"/>
    </row>
    <row r="21" spans="1:8" x14ac:dyDescent="0.25">
      <c r="A21" s="197"/>
      <c r="B21" s="207"/>
      <c r="C21" s="60" t="s">
        <v>39</v>
      </c>
      <c r="D21" s="61">
        <v>4</v>
      </c>
      <c r="E21" s="203"/>
      <c r="F21" s="62" t="s">
        <v>330</v>
      </c>
      <c r="G21" s="98"/>
      <c r="H21" s="35"/>
    </row>
    <row r="22" spans="1:8" x14ac:dyDescent="0.25">
      <c r="A22" s="197"/>
      <c r="B22" s="207"/>
      <c r="C22" s="60" t="s">
        <v>156</v>
      </c>
      <c r="D22" s="61">
        <v>4</v>
      </c>
      <c r="E22" s="203"/>
      <c r="F22" s="101" t="s">
        <v>315</v>
      </c>
      <c r="G22" s="50" t="s">
        <v>319</v>
      </c>
      <c r="H22" s="35"/>
    </row>
    <row r="23" spans="1:8" x14ac:dyDescent="0.25">
      <c r="A23" s="197"/>
      <c r="B23" s="207"/>
      <c r="C23" s="60" t="s">
        <v>17</v>
      </c>
      <c r="D23" s="61">
        <v>0</v>
      </c>
      <c r="E23" s="203"/>
      <c r="F23" s="62" t="s">
        <v>329</v>
      </c>
      <c r="G23" s="50" t="s">
        <v>328</v>
      </c>
      <c r="H23" s="35"/>
    </row>
    <row r="24" spans="1:8" x14ac:dyDescent="0.25">
      <c r="A24" s="197"/>
      <c r="B24" s="207"/>
      <c r="C24" s="60" t="s">
        <v>132</v>
      </c>
      <c r="D24" s="61">
        <v>3</v>
      </c>
      <c r="E24" s="203"/>
      <c r="F24" s="62" t="s">
        <v>133</v>
      </c>
      <c r="G24" s="50" t="s">
        <v>331</v>
      </c>
      <c r="H24" s="35"/>
    </row>
    <row r="25" spans="1:8" x14ac:dyDescent="0.25">
      <c r="A25" s="197"/>
      <c r="B25" s="207"/>
      <c r="C25" s="60" t="s">
        <v>40</v>
      </c>
      <c r="D25" s="61">
        <v>380</v>
      </c>
      <c r="E25" s="203"/>
      <c r="F25" s="62" t="s">
        <v>41</v>
      </c>
      <c r="G25" s="50" t="s">
        <v>332</v>
      </c>
      <c r="H25" s="35"/>
    </row>
    <row r="26" spans="1:8" s="34" customFormat="1" ht="15.75" customHeight="1" x14ac:dyDescent="0.25">
      <c r="A26" s="79"/>
      <c r="B26" s="80"/>
      <c r="C26" s="60" t="s">
        <v>158</v>
      </c>
      <c r="D26" s="61" t="s">
        <v>114</v>
      </c>
      <c r="E26" s="204"/>
      <c r="F26" s="69" t="s">
        <v>160</v>
      </c>
      <c r="G26" s="65"/>
      <c r="H26" s="38"/>
    </row>
    <row r="27" spans="1:8" ht="18.75" x14ac:dyDescent="0.25">
      <c r="A27" s="178" t="s">
        <v>44</v>
      </c>
      <c r="B27" s="178"/>
      <c r="C27" s="178"/>
      <c r="D27" s="178"/>
      <c r="E27" s="178"/>
      <c r="F27" s="178"/>
      <c r="G27" s="178"/>
      <c r="H27" s="35"/>
    </row>
    <row r="28" spans="1:8" x14ac:dyDescent="0.25">
      <c r="A28" s="205" t="s">
        <v>18</v>
      </c>
      <c r="B28" s="206" t="s">
        <v>80</v>
      </c>
      <c r="C28" s="60" t="s">
        <v>316</v>
      </c>
      <c r="D28" s="61">
        <v>25</v>
      </c>
      <c r="E28" s="208">
        <f>SUM(D28:D32)</f>
        <v>485</v>
      </c>
      <c r="F28" s="101" t="s">
        <v>159</v>
      </c>
      <c r="G28" s="50"/>
      <c r="H28" s="35"/>
    </row>
    <row r="29" spans="1:8" x14ac:dyDescent="0.25">
      <c r="A29" s="197"/>
      <c r="B29" s="207"/>
      <c r="C29" s="60" t="s">
        <v>39</v>
      </c>
      <c r="D29" s="61">
        <v>5</v>
      </c>
      <c r="E29" s="203"/>
      <c r="F29" s="101" t="s">
        <v>159</v>
      </c>
      <c r="G29" s="50"/>
      <c r="H29" s="35"/>
    </row>
    <row r="30" spans="1:8" x14ac:dyDescent="0.25">
      <c r="A30" s="197"/>
      <c r="B30" s="207"/>
      <c r="C30" s="60" t="s">
        <v>38</v>
      </c>
      <c r="D30" s="61">
        <v>12</v>
      </c>
      <c r="E30" s="203"/>
      <c r="F30" s="62" t="s">
        <v>334</v>
      </c>
      <c r="G30" s="50" t="s">
        <v>333</v>
      </c>
      <c r="H30" s="35"/>
    </row>
    <row r="31" spans="1:8" x14ac:dyDescent="0.25">
      <c r="A31" s="197"/>
      <c r="B31" s="207"/>
      <c r="C31" s="60" t="s">
        <v>132</v>
      </c>
      <c r="D31" s="61">
        <v>3</v>
      </c>
      <c r="E31" s="203"/>
      <c r="F31" s="62" t="s">
        <v>133</v>
      </c>
      <c r="G31" s="50" t="s">
        <v>331</v>
      </c>
      <c r="H31" s="35"/>
    </row>
    <row r="32" spans="1:8" x14ac:dyDescent="0.25">
      <c r="A32" s="197"/>
      <c r="B32" s="207"/>
      <c r="C32" s="60" t="s">
        <v>40</v>
      </c>
      <c r="D32" s="61">
        <v>440</v>
      </c>
      <c r="E32" s="203"/>
      <c r="F32" s="62" t="s">
        <v>41</v>
      </c>
      <c r="G32" s="50" t="s">
        <v>335</v>
      </c>
      <c r="H32" s="35"/>
    </row>
    <row r="33" spans="1:8" s="34" customFormat="1" ht="15.75" customHeight="1" x14ac:dyDescent="0.25">
      <c r="A33" s="77"/>
      <c r="B33" s="78"/>
      <c r="C33" s="60" t="s">
        <v>158</v>
      </c>
      <c r="D33" s="61" t="s">
        <v>114</v>
      </c>
      <c r="E33" s="204"/>
      <c r="F33" s="69" t="s">
        <v>160</v>
      </c>
      <c r="G33" s="65"/>
      <c r="H33" s="38"/>
    </row>
    <row r="34" spans="1:8" ht="18.75" x14ac:dyDescent="0.25">
      <c r="A34" s="178" t="s">
        <v>157</v>
      </c>
      <c r="B34" s="178"/>
      <c r="C34" s="178"/>
      <c r="D34" s="178"/>
      <c r="E34" s="178"/>
      <c r="F34" s="178"/>
      <c r="G34" s="178"/>
      <c r="H34" s="35"/>
    </row>
    <row r="35" spans="1:8" s="34" customFormat="1" x14ac:dyDescent="0.25">
      <c r="A35" s="186" t="s">
        <v>18</v>
      </c>
      <c r="B35" s="188">
        <v>11</v>
      </c>
      <c r="C35" s="60" t="s">
        <v>316</v>
      </c>
      <c r="D35" s="61">
        <v>25</v>
      </c>
      <c r="E35" s="190">
        <f>SUM(D35:D43)</f>
        <v>564</v>
      </c>
      <c r="F35" s="101" t="s">
        <v>159</v>
      </c>
      <c r="G35" s="50"/>
      <c r="H35" s="64"/>
    </row>
    <row r="36" spans="1:8" s="34" customFormat="1" x14ac:dyDescent="0.25">
      <c r="A36" s="187"/>
      <c r="B36" s="189"/>
      <c r="C36" s="60" t="s">
        <v>39</v>
      </c>
      <c r="D36" s="61">
        <v>5</v>
      </c>
      <c r="E36" s="190"/>
      <c r="F36" s="101" t="s">
        <v>159</v>
      </c>
      <c r="G36" s="50"/>
      <c r="H36" s="64"/>
    </row>
    <row r="37" spans="1:8" s="34" customFormat="1" x14ac:dyDescent="0.25">
      <c r="A37" s="187"/>
      <c r="B37" s="189"/>
      <c r="C37" s="60" t="s">
        <v>138</v>
      </c>
      <c r="D37" s="61">
        <v>4</v>
      </c>
      <c r="E37" s="190"/>
      <c r="F37" s="62" t="s">
        <v>314</v>
      </c>
      <c r="G37" s="50" t="s">
        <v>321</v>
      </c>
      <c r="H37" s="64"/>
    </row>
    <row r="38" spans="1:8" s="34" customFormat="1" ht="31.5" x14ac:dyDescent="0.25">
      <c r="A38" s="187"/>
      <c r="B38" s="189"/>
      <c r="C38" s="60" t="s">
        <v>73</v>
      </c>
      <c r="D38" s="61">
        <v>200</v>
      </c>
      <c r="E38" s="190"/>
      <c r="F38" s="62" t="s">
        <v>337</v>
      </c>
      <c r="G38" s="50" t="s">
        <v>343</v>
      </c>
      <c r="H38" s="64"/>
    </row>
    <row r="39" spans="1:8" s="34" customFormat="1" x14ac:dyDescent="0.25">
      <c r="A39" s="187"/>
      <c r="B39" s="189"/>
      <c r="C39" s="60" t="s">
        <v>39</v>
      </c>
      <c r="D39" s="61">
        <v>5</v>
      </c>
      <c r="E39" s="190"/>
      <c r="F39" s="62" t="s">
        <v>338</v>
      </c>
      <c r="G39" s="50" t="s">
        <v>321</v>
      </c>
      <c r="H39" s="64"/>
    </row>
    <row r="40" spans="1:8" s="34" customFormat="1" x14ac:dyDescent="0.25">
      <c r="A40" s="187"/>
      <c r="B40" s="189"/>
      <c r="C40" s="60" t="s">
        <v>17</v>
      </c>
      <c r="D40" s="61">
        <v>0</v>
      </c>
      <c r="E40" s="190"/>
      <c r="F40" s="62" t="s">
        <v>339</v>
      </c>
      <c r="G40" s="50" t="s">
        <v>322</v>
      </c>
      <c r="H40" s="64"/>
    </row>
    <row r="41" spans="1:8" s="34" customFormat="1" x14ac:dyDescent="0.25">
      <c r="A41" s="187"/>
      <c r="B41" s="189"/>
      <c r="C41" s="60" t="s">
        <v>36</v>
      </c>
      <c r="D41" s="61">
        <v>250</v>
      </c>
      <c r="E41" s="190"/>
      <c r="F41" s="72" t="s">
        <v>103</v>
      </c>
      <c r="G41" s="65"/>
      <c r="H41" s="64"/>
    </row>
    <row r="42" spans="1:8" s="34" customFormat="1" x14ac:dyDescent="0.25">
      <c r="A42" s="187"/>
      <c r="B42" s="189"/>
      <c r="C42" s="60" t="s">
        <v>52</v>
      </c>
      <c r="D42" s="61">
        <v>50</v>
      </c>
      <c r="E42" s="190"/>
      <c r="F42" s="62" t="s">
        <v>55</v>
      </c>
      <c r="G42" s="65" t="s">
        <v>341</v>
      </c>
      <c r="H42" s="64"/>
    </row>
    <row r="43" spans="1:8" s="34" customFormat="1" x14ac:dyDescent="0.25">
      <c r="A43" s="187"/>
      <c r="B43" s="189"/>
      <c r="C43" s="36" t="s">
        <v>56</v>
      </c>
      <c r="D43" s="61">
        <v>25</v>
      </c>
      <c r="E43" s="190"/>
      <c r="F43" s="37" t="s">
        <v>340</v>
      </c>
      <c r="G43" s="50" t="s">
        <v>342</v>
      </c>
      <c r="H43" s="64"/>
    </row>
    <row r="44" spans="1:8" ht="18.75" x14ac:dyDescent="0.25">
      <c r="A44" s="178" t="s">
        <v>161</v>
      </c>
      <c r="B44" s="178"/>
      <c r="C44" s="178"/>
      <c r="D44" s="178"/>
      <c r="E44" s="178"/>
      <c r="F44" s="178"/>
      <c r="G44" s="178"/>
      <c r="H44" s="35"/>
    </row>
    <row r="45" spans="1:8" s="34" customFormat="1" x14ac:dyDescent="0.25">
      <c r="A45" s="186" t="s">
        <v>18</v>
      </c>
      <c r="B45" s="188">
        <v>12</v>
      </c>
      <c r="C45" s="36" t="s">
        <v>115</v>
      </c>
      <c r="D45" s="61">
        <v>1</v>
      </c>
      <c r="E45" s="208">
        <f>SUM(D45:D52)</f>
        <v>460</v>
      </c>
      <c r="F45" s="101" t="s">
        <v>159</v>
      </c>
      <c r="G45" s="50"/>
      <c r="H45" s="64"/>
    </row>
    <row r="46" spans="1:8" s="34" customFormat="1" x14ac:dyDescent="0.25">
      <c r="A46" s="187"/>
      <c r="B46" s="189"/>
      <c r="C46" s="36" t="s">
        <v>17</v>
      </c>
      <c r="D46" s="61">
        <v>0</v>
      </c>
      <c r="E46" s="203"/>
      <c r="F46" s="101" t="s">
        <v>159</v>
      </c>
      <c r="G46" s="50"/>
      <c r="H46" s="64"/>
    </row>
    <row r="47" spans="1:8" s="34" customFormat="1" x14ac:dyDescent="0.25">
      <c r="A47" s="187"/>
      <c r="B47" s="189"/>
      <c r="C47" s="60" t="s">
        <v>39</v>
      </c>
      <c r="D47" s="61">
        <v>4</v>
      </c>
      <c r="E47" s="203"/>
      <c r="F47" s="101" t="s">
        <v>314</v>
      </c>
      <c r="G47" s="98" t="s">
        <v>321</v>
      </c>
      <c r="H47" s="64"/>
    </row>
    <row r="48" spans="1:8" s="34" customFormat="1" ht="31.5" x14ac:dyDescent="0.25">
      <c r="A48" s="187"/>
      <c r="B48" s="189"/>
      <c r="C48" s="60" t="s">
        <v>73</v>
      </c>
      <c r="D48" s="61">
        <v>200</v>
      </c>
      <c r="E48" s="203"/>
      <c r="F48" s="101" t="s">
        <v>337</v>
      </c>
      <c r="G48" s="98" t="s">
        <v>343</v>
      </c>
      <c r="H48" s="64"/>
    </row>
    <row r="49" spans="1:8" s="34" customFormat="1" x14ac:dyDescent="0.25">
      <c r="A49" s="187"/>
      <c r="B49" s="189"/>
      <c r="C49" s="60" t="s">
        <v>39</v>
      </c>
      <c r="D49" s="61">
        <v>5</v>
      </c>
      <c r="E49" s="203"/>
      <c r="F49" s="101" t="s">
        <v>338</v>
      </c>
      <c r="G49" s="98" t="s">
        <v>321</v>
      </c>
      <c r="H49" s="64"/>
    </row>
    <row r="50" spans="1:8" s="34" customFormat="1" x14ac:dyDescent="0.25">
      <c r="A50" s="187"/>
      <c r="B50" s="189"/>
      <c r="C50" s="60" t="s">
        <v>17</v>
      </c>
      <c r="D50" s="61">
        <v>0</v>
      </c>
      <c r="E50" s="203"/>
      <c r="F50" s="101" t="s">
        <v>339</v>
      </c>
      <c r="G50" s="98" t="s">
        <v>322</v>
      </c>
      <c r="H50" s="64"/>
    </row>
    <row r="51" spans="1:8" s="34" customFormat="1" x14ac:dyDescent="0.25">
      <c r="A51" s="187"/>
      <c r="B51" s="189"/>
      <c r="C51" s="60" t="s">
        <v>124</v>
      </c>
      <c r="D51" s="61">
        <v>250</v>
      </c>
      <c r="E51" s="203"/>
      <c r="F51" s="72" t="s">
        <v>103</v>
      </c>
      <c r="G51" s="65"/>
      <c r="H51" s="64"/>
    </row>
    <row r="52" spans="1:8" s="34" customFormat="1" x14ac:dyDescent="0.25">
      <c r="A52" s="187"/>
      <c r="B52" s="189"/>
      <c r="C52" s="60" t="s">
        <v>17</v>
      </c>
      <c r="D52" s="61">
        <v>0</v>
      </c>
      <c r="E52" s="203"/>
      <c r="F52" s="101" t="s">
        <v>339</v>
      </c>
      <c r="G52" s="98" t="s">
        <v>322</v>
      </c>
      <c r="H52" s="64"/>
    </row>
    <row r="53" spans="1:8" s="34" customFormat="1" ht="15.75" customHeight="1" x14ac:dyDescent="0.25">
      <c r="A53" s="77"/>
      <c r="B53" s="78"/>
      <c r="C53" s="60" t="s">
        <v>158</v>
      </c>
      <c r="D53" s="61" t="s">
        <v>114</v>
      </c>
      <c r="E53" s="204"/>
      <c r="F53" s="69" t="s">
        <v>160</v>
      </c>
      <c r="G53" s="65"/>
      <c r="H53" s="38"/>
    </row>
    <row r="54" spans="1:8" ht="18.75" customHeight="1" x14ac:dyDescent="0.25">
      <c r="A54" s="178" t="s">
        <v>162</v>
      </c>
      <c r="B54" s="178"/>
      <c r="C54" s="178"/>
      <c r="D54" s="178"/>
      <c r="E54" s="178"/>
      <c r="F54" s="178"/>
      <c r="G54" s="178"/>
      <c r="H54" s="35"/>
    </row>
    <row r="55" spans="1:8" s="34" customFormat="1" x14ac:dyDescent="0.25">
      <c r="A55" s="186" t="s">
        <v>18</v>
      </c>
      <c r="B55" s="188">
        <v>13</v>
      </c>
      <c r="C55" s="60" t="s">
        <v>316</v>
      </c>
      <c r="D55" s="61">
        <v>25</v>
      </c>
      <c r="E55" s="190">
        <f>SUM(D55:D65)</f>
        <v>574</v>
      </c>
      <c r="F55" s="101" t="s">
        <v>159</v>
      </c>
      <c r="G55" s="50"/>
      <c r="H55" s="64"/>
    </row>
    <row r="56" spans="1:8" s="34" customFormat="1" x14ac:dyDescent="0.25">
      <c r="A56" s="187"/>
      <c r="B56" s="189"/>
      <c r="C56" s="60" t="s">
        <v>39</v>
      </c>
      <c r="D56" s="61">
        <v>5</v>
      </c>
      <c r="E56" s="190"/>
      <c r="F56" s="101" t="s">
        <v>159</v>
      </c>
      <c r="G56" s="50"/>
      <c r="H56" s="64"/>
    </row>
    <row r="57" spans="1:8" s="34" customFormat="1" x14ac:dyDescent="0.25">
      <c r="A57" s="187"/>
      <c r="B57" s="189"/>
      <c r="C57" s="60" t="s">
        <v>138</v>
      </c>
      <c r="D57" s="61">
        <v>4</v>
      </c>
      <c r="E57" s="190"/>
      <c r="F57" s="101" t="s">
        <v>314</v>
      </c>
      <c r="G57" s="98" t="s">
        <v>321</v>
      </c>
      <c r="H57" s="64"/>
    </row>
    <row r="58" spans="1:8" s="34" customFormat="1" ht="31.5" x14ac:dyDescent="0.25">
      <c r="A58" s="187"/>
      <c r="B58" s="189"/>
      <c r="C58" s="60" t="s">
        <v>73</v>
      </c>
      <c r="D58" s="61">
        <v>200</v>
      </c>
      <c r="E58" s="190"/>
      <c r="F58" s="101" t="s">
        <v>337</v>
      </c>
      <c r="G58" s="98" t="s">
        <v>343</v>
      </c>
      <c r="H58" s="64"/>
    </row>
    <row r="59" spans="1:8" s="34" customFormat="1" x14ac:dyDescent="0.25">
      <c r="A59" s="187"/>
      <c r="B59" s="189"/>
      <c r="C59" s="60" t="s">
        <v>39</v>
      </c>
      <c r="D59" s="61">
        <v>5</v>
      </c>
      <c r="E59" s="190"/>
      <c r="F59" s="101" t="s">
        <v>338</v>
      </c>
      <c r="G59" s="98" t="s">
        <v>321</v>
      </c>
      <c r="H59" s="64"/>
    </row>
    <row r="60" spans="1:8" s="34" customFormat="1" x14ac:dyDescent="0.25">
      <c r="A60" s="187"/>
      <c r="B60" s="189"/>
      <c r="C60" s="60" t="s">
        <v>17</v>
      </c>
      <c r="D60" s="61">
        <v>0</v>
      </c>
      <c r="E60" s="190"/>
      <c r="F60" s="101" t="s">
        <v>339</v>
      </c>
      <c r="G60" s="98" t="s">
        <v>322</v>
      </c>
      <c r="H60" s="64"/>
    </row>
    <row r="61" spans="1:8" s="34" customFormat="1" x14ac:dyDescent="0.25">
      <c r="A61" s="187"/>
      <c r="B61" s="189"/>
      <c r="C61" s="60" t="s">
        <v>124</v>
      </c>
      <c r="D61" s="61">
        <v>250</v>
      </c>
      <c r="E61" s="190"/>
      <c r="F61" s="72" t="s">
        <v>103</v>
      </c>
      <c r="G61" s="65"/>
      <c r="H61" s="64"/>
    </row>
    <row r="62" spans="1:8" s="34" customFormat="1" ht="31.5" x14ac:dyDescent="0.25">
      <c r="A62" s="187"/>
      <c r="B62" s="189"/>
      <c r="C62" s="60" t="s">
        <v>73</v>
      </c>
      <c r="D62" s="61">
        <v>80</v>
      </c>
      <c r="E62" s="190"/>
      <c r="F62" s="101" t="s">
        <v>337</v>
      </c>
      <c r="G62" s="98" t="s">
        <v>343</v>
      </c>
      <c r="H62" s="64"/>
    </row>
    <row r="63" spans="1:8" s="34" customFormat="1" x14ac:dyDescent="0.25">
      <c r="A63" s="187"/>
      <c r="B63" s="189"/>
      <c r="C63" s="60" t="s">
        <v>39</v>
      </c>
      <c r="D63" s="61">
        <v>4</v>
      </c>
      <c r="E63" s="190"/>
      <c r="F63" s="101" t="s">
        <v>314</v>
      </c>
      <c r="G63" s="98" t="s">
        <v>321</v>
      </c>
      <c r="H63" s="64"/>
    </row>
    <row r="64" spans="1:8" s="34" customFormat="1" x14ac:dyDescent="0.25">
      <c r="A64" s="187"/>
      <c r="B64" s="189"/>
      <c r="C64" s="36" t="s">
        <v>17</v>
      </c>
      <c r="D64" s="61">
        <v>0</v>
      </c>
      <c r="E64" s="190"/>
      <c r="F64" s="101" t="s">
        <v>159</v>
      </c>
      <c r="G64" s="50"/>
      <c r="H64" s="64"/>
    </row>
    <row r="65" spans="1:8" s="34" customFormat="1" x14ac:dyDescent="0.25">
      <c r="A65" s="187"/>
      <c r="B65" s="189"/>
      <c r="C65" s="36" t="s">
        <v>115</v>
      </c>
      <c r="D65" s="61">
        <v>1</v>
      </c>
      <c r="E65" s="190"/>
      <c r="F65" s="101" t="s">
        <v>159</v>
      </c>
      <c r="G65" s="50"/>
      <c r="H65" s="64"/>
    </row>
    <row r="66" spans="1:8" ht="18.75" x14ac:dyDescent="0.25">
      <c r="A66" s="178" t="s">
        <v>163</v>
      </c>
      <c r="B66" s="178"/>
      <c r="C66" s="178"/>
      <c r="D66" s="178"/>
      <c r="E66" s="178"/>
      <c r="F66" s="178"/>
      <c r="G66" s="178"/>
      <c r="H66" s="35"/>
    </row>
    <row r="67" spans="1:8" x14ac:dyDescent="0.25">
      <c r="A67" s="205" t="s">
        <v>18</v>
      </c>
      <c r="B67" s="206" t="s">
        <v>123</v>
      </c>
      <c r="C67" s="60" t="s">
        <v>316</v>
      </c>
      <c r="D67" s="61">
        <v>25</v>
      </c>
      <c r="E67" s="190">
        <f>SUM(D67:D79)</f>
        <v>409</v>
      </c>
      <c r="F67" s="101" t="s">
        <v>159</v>
      </c>
      <c r="G67" s="50"/>
      <c r="H67" s="35"/>
    </row>
    <row r="68" spans="1:8" x14ac:dyDescent="0.25">
      <c r="A68" s="197"/>
      <c r="B68" s="207"/>
      <c r="C68" s="60" t="s">
        <v>39</v>
      </c>
      <c r="D68" s="61">
        <v>5</v>
      </c>
      <c r="E68" s="190"/>
      <c r="F68" s="101" t="s">
        <v>159</v>
      </c>
      <c r="G68" s="50"/>
      <c r="H68" s="35"/>
    </row>
    <row r="69" spans="1:8" x14ac:dyDescent="0.25">
      <c r="A69" s="197"/>
      <c r="B69" s="207"/>
      <c r="C69" s="60" t="s">
        <v>138</v>
      </c>
      <c r="D69" s="61">
        <v>4</v>
      </c>
      <c r="E69" s="190"/>
      <c r="F69" s="101" t="s">
        <v>314</v>
      </c>
      <c r="G69" s="98" t="s">
        <v>321</v>
      </c>
      <c r="H69" s="35"/>
    </row>
    <row r="70" spans="1:8" ht="31.5" x14ac:dyDescent="0.25">
      <c r="A70" s="197"/>
      <c r="B70" s="207"/>
      <c r="C70" s="60" t="s">
        <v>73</v>
      </c>
      <c r="D70" s="61">
        <v>80</v>
      </c>
      <c r="E70" s="190"/>
      <c r="F70" s="101" t="s">
        <v>337</v>
      </c>
      <c r="G70" s="98" t="s">
        <v>343</v>
      </c>
      <c r="H70" s="35"/>
    </row>
    <row r="71" spans="1:8" x14ac:dyDescent="0.25">
      <c r="A71" s="197"/>
      <c r="B71" s="207"/>
      <c r="C71" s="60" t="s">
        <v>39</v>
      </c>
      <c r="D71" s="61">
        <v>5</v>
      </c>
      <c r="E71" s="190"/>
      <c r="F71" s="101" t="s">
        <v>338</v>
      </c>
      <c r="G71" s="98" t="s">
        <v>321</v>
      </c>
      <c r="H71" s="35"/>
    </row>
    <row r="72" spans="1:8" x14ac:dyDescent="0.25">
      <c r="A72" s="197"/>
      <c r="B72" s="207"/>
      <c r="C72" s="60" t="s">
        <v>17</v>
      </c>
      <c r="D72" s="61">
        <v>0</v>
      </c>
      <c r="E72" s="190"/>
      <c r="F72" s="101" t="s">
        <v>339</v>
      </c>
      <c r="G72" s="98" t="s">
        <v>322</v>
      </c>
      <c r="H72" s="35"/>
    </row>
    <row r="73" spans="1:8" x14ac:dyDescent="0.25">
      <c r="A73" s="197"/>
      <c r="B73" s="207"/>
      <c r="C73" s="60" t="s">
        <v>124</v>
      </c>
      <c r="D73" s="61">
        <v>200</v>
      </c>
      <c r="E73" s="190"/>
      <c r="F73" s="72" t="s">
        <v>103</v>
      </c>
      <c r="G73" s="65"/>
      <c r="H73" s="35"/>
    </row>
    <row r="74" spans="1:8" s="81" customFormat="1" x14ac:dyDescent="0.25">
      <c r="A74" s="197"/>
      <c r="B74" s="207"/>
      <c r="C74" s="88" t="s">
        <v>17</v>
      </c>
      <c r="D74" s="89">
        <v>0</v>
      </c>
      <c r="E74" s="190"/>
      <c r="F74" s="101" t="s">
        <v>339</v>
      </c>
      <c r="G74" s="98" t="s">
        <v>322</v>
      </c>
      <c r="H74" s="83"/>
    </row>
    <row r="75" spans="1:8" s="81" customFormat="1" x14ac:dyDescent="0.25">
      <c r="A75" s="197"/>
      <c r="B75" s="207"/>
      <c r="C75" s="88" t="s">
        <v>39</v>
      </c>
      <c r="D75" s="89">
        <v>5</v>
      </c>
      <c r="E75" s="190"/>
      <c r="F75" s="101" t="s">
        <v>338</v>
      </c>
      <c r="G75" s="98" t="s">
        <v>321</v>
      </c>
      <c r="H75" s="83"/>
    </row>
    <row r="76" spans="1:8" ht="31.5" x14ac:dyDescent="0.25">
      <c r="A76" s="197"/>
      <c r="B76" s="207"/>
      <c r="C76" s="60" t="s">
        <v>73</v>
      </c>
      <c r="D76" s="61">
        <v>80</v>
      </c>
      <c r="E76" s="190"/>
      <c r="F76" s="101" t="s">
        <v>337</v>
      </c>
      <c r="G76" s="98" t="s">
        <v>343</v>
      </c>
      <c r="H76" s="35"/>
    </row>
    <row r="77" spans="1:8" x14ac:dyDescent="0.25">
      <c r="A77" s="197"/>
      <c r="B77" s="207"/>
      <c r="C77" s="60" t="s">
        <v>39</v>
      </c>
      <c r="D77" s="61">
        <v>4</v>
      </c>
      <c r="E77" s="190"/>
      <c r="F77" s="101" t="s">
        <v>314</v>
      </c>
      <c r="G77" s="98" t="s">
        <v>321</v>
      </c>
      <c r="H77" s="35"/>
    </row>
    <row r="78" spans="1:8" x14ac:dyDescent="0.25">
      <c r="A78" s="197"/>
      <c r="B78" s="207"/>
      <c r="C78" s="36" t="s">
        <v>17</v>
      </c>
      <c r="D78" s="61">
        <v>0</v>
      </c>
      <c r="E78" s="190"/>
      <c r="F78" s="101" t="s">
        <v>159</v>
      </c>
      <c r="G78" s="50"/>
      <c r="H78" s="35"/>
    </row>
    <row r="79" spans="1:8" ht="15.75" customHeight="1" x14ac:dyDescent="0.25">
      <c r="A79" s="197"/>
      <c r="B79" s="209"/>
      <c r="C79" s="36" t="s">
        <v>115</v>
      </c>
      <c r="D79" s="61">
        <v>1</v>
      </c>
      <c r="E79" s="190"/>
      <c r="F79" s="101" t="s">
        <v>159</v>
      </c>
      <c r="G79" s="50"/>
      <c r="H79" s="35"/>
    </row>
    <row r="80" spans="1:8" ht="18.75" x14ac:dyDescent="0.25">
      <c r="A80" s="178" t="s">
        <v>164</v>
      </c>
      <c r="B80" s="178"/>
      <c r="C80" s="178"/>
      <c r="D80" s="178"/>
      <c r="E80" s="178"/>
      <c r="F80" s="178"/>
      <c r="G80" s="178"/>
      <c r="H80" s="35"/>
    </row>
    <row r="81" spans="1:8" s="34" customFormat="1" x14ac:dyDescent="0.25">
      <c r="A81" s="186" t="s">
        <v>18</v>
      </c>
      <c r="B81" s="188">
        <v>15</v>
      </c>
      <c r="C81" s="60" t="s">
        <v>37</v>
      </c>
      <c r="D81" s="61">
        <v>25</v>
      </c>
      <c r="E81" s="190">
        <f>SUM(D81:D87)</f>
        <v>489</v>
      </c>
      <c r="F81" s="101" t="s">
        <v>159</v>
      </c>
      <c r="G81" s="50"/>
      <c r="H81" s="64"/>
    </row>
    <row r="82" spans="1:8" s="34" customFormat="1" x14ac:dyDescent="0.25">
      <c r="A82" s="187"/>
      <c r="B82" s="189"/>
      <c r="C82" s="60" t="s">
        <v>39</v>
      </c>
      <c r="D82" s="61">
        <v>5</v>
      </c>
      <c r="E82" s="190"/>
      <c r="F82" s="101" t="s">
        <v>159</v>
      </c>
      <c r="G82" s="50"/>
      <c r="H82" s="64"/>
    </row>
    <row r="83" spans="1:8" s="34" customFormat="1" x14ac:dyDescent="0.25">
      <c r="A83" s="187"/>
      <c r="B83" s="189"/>
      <c r="C83" s="60" t="s">
        <v>138</v>
      </c>
      <c r="D83" s="61">
        <v>4</v>
      </c>
      <c r="E83" s="190"/>
      <c r="F83" s="101" t="s">
        <v>314</v>
      </c>
      <c r="G83" s="98" t="s">
        <v>321</v>
      </c>
      <c r="H83" s="64"/>
    </row>
    <row r="84" spans="1:8" s="34" customFormat="1" ht="31.5" x14ac:dyDescent="0.25">
      <c r="A84" s="187"/>
      <c r="B84" s="189"/>
      <c r="C84" s="60" t="s">
        <v>73</v>
      </c>
      <c r="D84" s="61">
        <v>200</v>
      </c>
      <c r="E84" s="190"/>
      <c r="F84" s="101" t="s">
        <v>337</v>
      </c>
      <c r="G84" s="98" t="s">
        <v>343</v>
      </c>
      <c r="H84" s="64"/>
    </row>
    <row r="85" spans="1:8" s="34" customFormat="1" x14ac:dyDescent="0.25">
      <c r="A85" s="187"/>
      <c r="B85" s="189"/>
      <c r="C85" s="60" t="s">
        <v>39</v>
      </c>
      <c r="D85" s="61">
        <v>5</v>
      </c>
      <c r="E85" s="190"/>
      <c r="F85" s="101" t="s">
        <v>338</v>
      </c>
      <c r="G85" s="98" t="s">
        <v>321</v>
      </c>
      <c r="H85" s="64"/>
    </row>
    <row r="86" spans="1:8" s="34" customFormat="1" x14ac:dyDescent="0.25">
      <c r="A86" s="187"/>
      <c r="B86" s="189"/>
      <c r="C86" s="60" t="s">
        <v>17</v>
      </c>
      <c r="D86" s="61">
        <v>0</v>
      </c>
      <c r="E86" s="190"/>
      <c r="F86" s="101" t="s">
        <v>339</v>
      </c>
      <c r="G86" s="98" t="s">
        <v>322</v>
      </c>
      <c r="H86" s="64"/>
    </row>
    <row r="87" spans="1:8" s="34" customFormat="1" x14ac:dyDescent="0.25">
      <c r="A87" s="187"/>
      <c r="B87" s="189"/>
      <c r="C87" s="60" t="s">
        <v>42</v>
      </c>
      <c r="D87" s="61">
        <v>250</v>
      </c>
      <c r="E87" s="190"/>
      <c r="F87" s="62" t="s">
        <v>344</v>
      </c>
      <c r="G87" s="65" t="s">
        <v>345</v>
      </c>
      <c r="H87" s="64"/>
    </row>
    <row r="88" spans="1:8" ht="18.75" x14ac:dyDescent="0.25">
      <c r="A88" s="178" t="s">
        <v>125</v>
      </c>
      <c r="B88" s="178"/>
      <c r="C88" s="178"/>
      <c r="D88" s="178"/>
      <c r="E88" s="178"/>
      <c r="F88" s="178"/>
      <c r="G88" s="178"/>
      <c r="H88" s="35"/>
    </row>
    <row r="89" spans="1:8" s="34" customFormat="1" x14ac:dyDescent="0.25">
      <c r="A89" s="186" t="s">
        <v>18</v>
      </c>
      <c r="B89" s="188">
        <v>16</v>
      </c>
      <c r="C89" s="60" t="s">
        <v>37</v>
      </c>
      <c r="D89" s="61">
        <v>25</v>
      </c>
      <c r="E89" s="208">
        <f>SUM(D89:D97)</f>
        <v>489</v>
      </c>
      <c r="F89" s="101" t="s">
        <v>159</v>
      </c>
      <c r="G89" s="50"/>
      <c r="H89" s="64"/>
    </row>
    <row r="90" spans="1:8" s="34" customFormat="1" x14ac:dyDescent="0.25">
      <c r="A90" s="187"/>
      <c r="B90" s="189"/>
      <c r="C90" s="60" t="s">
        <v>39</v>
      </c>
      <c r="D90" s="61">
        <v>5</v>
      </c>
      <c r="E90" s="203"/>
      <c r="F90" s="101" t="s">
        <v>159</v>
      </c>
      <c r="G90" s="50"/>
      <c r="H90" s="64"/>
    </row>
    <row r="91" spans="1:8" s="34" customFormat="1" x14ac:dyDescent="0.25">
      <c r="A91" s="187"/>
      <c r="B91" s="189"/>
      <c r="C91" s="60" t="s">
        <v>138</v>
      </c>
      <c r="D91" s="61">
        <v>4</v>
      </c>
      <c r="E91" s="203"/>
      <c r="F91" s="101" t="s">
        <v>314</v>
      </c>
      <c r="G91" s="98" t="s">
        <v>321</v>
      </c>
      <c r="H91" s="64"/>
    </row>
    <row r="92" spans="1:8" s="34" customFormat="1" ht="31.5" x14ac:dyDescent="0.25">
      <c r="A92" s="187"/>
      <c r="B92" s="189"/>
      <c r="C92" s="60" t="s">
        <v>73</v>
      </c>
      <c r="D92" s="61">
        <v>90</v>
      </c>
      <c r="E92" s="203"/>
      <c r="F92" s="101" t="s">
        <v>337</v>
      </c>
      <c r="G92" s="98" t="s">
        <v>343</v>
      </c>
      <c r="H92" s="64"/>
    </row>
    <row r="93" spans="1:8" s="34" customFormat="1" x14ac:dyDescent="0.25">
      <c r="A93" s="187"/>
      <c r="B93" s="189"/>
      <c r="C93" s="60" t="s">
        <v>39</v>
      </c>
      <c r="D93" s="61">
        <v>5</v>
      </c>
      <c r="E93" s="203"/>
      <c r="F93" s="101" t="s">
        <v>338</v>
      </c>
      <c r="G93" s="98" t="s">
        <v>321</v>
      </c>
      <c r="H93" s="64"/>
    </row>
    <row r="94" spans="1:8" s="34" customFormat="1" x14ac:dyDescent="0.25">
      <c r="A94" s="187"/>
      <c r="B94" s="189"/>
      <c r="C94" s="60" t="s">
        <v>17</v>
      </c>
      <c r="D94" s="61">
        <v>0</v>
      </c>
      <c r="E94" s="203"/>
      <c r="F94" s="101" t="s">
        <v>339</v>
      </c>
      <c r="G94" s="98" t="s">
        <v>322</v>
      </c>
      <c r="H94" s="64"/>
    </row>
    <row r="95" spans="1:8" s="34" customFormat="1" x14ac:dyDescent="0.25">
      <c r="A95" s="187"/>
      <c r="B95" s="189"/>
      <c r="C95" s="60" t="s">
        <v>137</v>
      </c>
      <c r="D95" s="61">
        <v>360</v>
      </c>
      <c r="E95" s="203"/>
      <c r="F95" s="72" t="s">
        <v>103</v>
      </c>
      <c r="G95" s="65"/>
      <c r="H95" s="64"/>
    </row>
    <row r="96" spans="1:8" s="34" customFormat="1" x14ac:dyDescent="0.25">
      <c r="A96" s="187"/>
      <c r="B96" s="189"/>
      <c r="C96" s="60" t="s">
        <v>17</v>
      </c>
      <c r="D96" s="61">
        <v>0</v>
      </c>
      <c r="E96" s="203"/>
      <c r="F96" s="101" t="s">
        <v>339</v>
      </c>
      <c r="G96" s="98" t="s">
        <v>322</v>
      </c>
      <c r="H96" s="64"/>
    </row>
    <row r="97" spans="1:8" s="34" customFormat="1" ht="15.75" customHeight="1" x14ac:dyDescent="0.25">
      <c r="A97" s="77"/>
      <c r="B97" s="78"/>
      <c r="C97" s="60" t="s">
        <v>158</v>
      </c>
      <c r="D97" s="61" t="s">
        <v>114</v>
      </c>
      <c r="E97" s="204"/>
      <c r="F97" s="69" t="s">
        <v>160</v>
      </c>
      <c r="G97" s="65"/>
      <c r="H97" s="38"/>
    </row>
    <row r="98" spans="1:8" ht="18.75" x14ac:dyDescent="0.25">
      <c r="A98" s="178" t="s">
        <v>166</v>
      </c>
      <c r="B98" s="178"/>
      <c r="C98" s="178"/>
      <c r="D98" s="178"/>
      <c r="E98" s="178"/>
      <c r="F98" s="178"/>
      <c r="G98" s="178"/>
      <c r="H98" s="35"/>
    </row>
    <row r="99" spans="1:8" x14ac:dyDescent="0.25">
      <c r="A99" s="205" t="s">
        <v>18</v>
      </c>
      <c r="B99" s="206" t="s">
        <v>165</v>
      </c>
      <c r="C99" s="97" t="s">
        <v>115</v>
      </c>
      <c r="D99" s="100">
        <v>1</v>
      </c>
      <c r="E99" s="208">
        <f>SUM(D99:D105)</f>
        <v>465</v>
      </c>
      <c r="F99" s="101" t="s">
        <v>159</v>
      </c>
      <c r="G99" s="98"/>
      <c r="H99" s="35"/>
    </row>
    <row r="100" spans="1:8" x14ac:dyDescent="0.25">
      <c r="A100" s="197"/>
      <c r="B100" s="207"/>
      <c r="C100" s="97" t="s">
        <v>17</v>
      </c>
      <c r="D100" s="100">
        <v>0</v>
      </c>
      <c r="E100" s="203"/>
      <c r="F100" s="101" t="s">
        <v>159</v>
      </c>
      <c r="G100" s="98"/>
      <c r="H100" s="35"/>
    </row>
    <row r="101" spans="1:8" x14ac:dyDescent="0.25">
      <c r="A101" s="197"/>
      <c r="B101" s="207"/>
      <c r="C101" s="99" t="s">
        <v>39</v>
      </c>
      <c r="D101" s="100">
        <v>4</v>
      </c>
      <c r="E101" s="203"/>
      <c r="F101" s="101" t="s">
        <v>314</v>
      </c>
      <c r="G101" s="98" t="s">
        <v>321</v>
      </c>
      <c r="H101" s="35"/>
    </row>
    <row r="102" spans="1:8" x14ac:dyDescent="0.25">
      <c r="A102" s="197"/>
      <c r="B102" s="207"/>
      <c r="C102" s="99" t="s">
        <v>17</v>
      </c>
      <c r="D102" s="100">
        <v>0</v>
      </c>
      <c r="E102" s="203"/>
      <c r="F102" s="101" t="s">
        <v>339</v>
      </c>
      <c r="G102" s="98" t="s">
        <v>322</v>
      </c>
      <c r="H102" s="35"/>
    </row>
    <row r="103" spans="1:8" ht="31.5" x14ac:dyDescent="0.25">
      <c r="A103" s="197"/>
      <c r="B103" s="207"/>
      <c r="C103" s="60" t="s">
        <v>167</v>
      </c>
      <c r="D103" s="61">
        <v>12.5</v>
      </c>
      <c r="E103" s="203"/>
      <c r="F103" s="62" t="s">
        <v>347</v>
      </c>
      <c r="G103" s="50" t="s">
        <v>346</v>
      </c>
      <c r="H103" s="35"/>
    </row>
    <row r="104" spans="1:8" x14ac:dyDescent="0.25">
      <c r="A104" s="197"/>
      <c r="B104" s="207"/>
      <c r="C104" s="60" t="s">
        <v>39</v>
      </c>
      <c r="D104" s="61">
        <v>7.5</v>
      </c>
      <c r="E104" s="203"/>
      <c r="F104" s="62" t="s">
        <v>348</v>
      </c>
      <c r="G104" s="50" t="s">
        <v>247</v>
      </c>
      <c r="H104" s="35"/>
    </row>
    <row r="105" spans="1:8" x14ac:dyDescent="0.25">
      <c r="A105" s="197"/>
      <c r="B105" s="207"/>
      <c r="C105" s="60" t="s">
        <v>40</v>
      </c>
      <c r="D105" s="61">
        <v>440</v>
      </c>
      <c r="E105" s="203"/>
      <c r="F105" s="62" t="s">
        <v>349</v>
      </c>
      <c r="G105" s="50" t="s">
        <v>335</v>
      </c>
      <c r="H105" s="35"/>
    </row>
    <row r="106" spans="1:8" s="34" customFormat="1" ht="15.75" customHeight="1" x14ac:dyDescent="0.25">
      <c r="A106" s="77"/>
      <c r="B106" s="78"/>
      <c r="C106" s="60" t="s">
        <v>158</v>
      </c>
      <c r="D106" s="61" t="s">
        <v>114</v>
      </c>
      <c r="E106" s="204"/>
      <c r="F106" s="69" t="s">
        <v>160</v>
      </c>
      <c r="G106" s="65"/>
      <c r="H106" s="38"/>
    </row>
    <row r="107" spans="1:8" s="81" customFormat="1" ht="18.75" x14ac:dyDescent="0.25">
      <c r="A107" s="178" t="s">
        <v>169</v>
      </c>
      <c r="B107" s="178"/>
      <c r="C107" s="178"/>
      <c r="D107" s="178"/>
      <c r="E107" s="178"/>
      <c r="F107" s="178"/>
      <c r="G107" s="178"/>
      <c r="H107" s="83"/>
    </row>
    <row r="108" spans="1:8" s="81" customFormat="1" x14ac:dyDescent="0.25">
      <c r="A108" s="205" t="s">
        <v>18</v>
      </c>
      <c r="B108" s="206" t="s">
        <v>168</v>
      </c>
      <c r="C108" s="84" t="s">
        <v>115</v>
      </c>
      <c r="D108" s="89">
        <v>1</v>
      </c>
      <c r="E108" s="208">
        <f>SUM(D108:D114)</f>
        <v>570</v>
      </c>
      <c r="F108" s="101" t="s">
        <v>159</v>
      </c>
      <c r="G108" s="87"/>
      <c r="H108" s="83"/>
    </row>
    <row r="109" spans="1:8" s="81" customFormat="1" x14ac:dyDescent="0.25">
      <c r="A109" s="197"/>
      <c r="B109" s="207"/>
      <c r="C109" s="84" t="s">
        <v>17</v>
      </c>
      <c r="D109" s="89">
        <v>0</v>
      </c>
      <c r="E109" s="203"/>
      <c r="F109" s="101" t="s">
        <v>159</v>
      </c>
      <c r="G109" s="87"/>
      <c r="H109" s="83"/>
    </row>
    <row r="110" spans="1:8" s="81" customFormat="1" x14ac:dyDescent="0.25">
      <c r="A110" s="197"/>
      <c r="B110" s="207"/>
      <c r="C110" s="88" t="s">
        <v>39</v>
      </c>
      <c r="D110" s="89">
        <v>4</v>
      </c>
      <c r="E110" s="203"/>
      <c r="F110" s="101" t="s">
        <v>314</v>
      </c>
      <c r="G110" s="98" t="s">
        <v>321</v>
      </c>
      <c r="H110" s="83"/>
    </row>
    <row r="111" spans="1:8" s="81" customFormat="1" ht="31.5" x14ac:dyDescent="0.25">
      <c r="A111" s="197"/>
      <c r="B111" s="207"/>
      <c r="C111" s="88" t="s">
        <v>73</v>
      </c>
      <c r="D111" s="89">
        <v>120</v>
      </c>
      <c r="E111" s="203"/>
      <c r="F111" s="101" t="s">
        <v>337</v>
      </c>
      <c r="G111" s="98" t="s">
        <v>343</v>
      </c>
      <c r="H111" s="83"/>
    </row>
    <row r="112" spans="1:8" s="81" customFormat="1" x14ac:dyDescent="0.25">
      <c r="A112" s="197"/>
      <c r="B112" s="207"/>
      <c r="C112" s="88" t="s">
        <v>39</v>
      </c>
      <c r="D112" s="89">
        <v>5</v>
      </c>
      <c r="E112" s="203"/>
      <c r="F112" s="101" t="s">
        <v>338</v>
      </c>
      <c r="G112" s="98" t="s">
        <v>321</v>
      </c>
      <c r="H112" s="83"/>
    </row>
    <row r="113" spans="1:8" s="81" customFormat="1" x14ac:dyDescent="0.25">
      <c r="A113" s="197"/>
      <c r="B113" s="207"/>
      <c r="C113" s="88" t="s">
        <v>17</v>
      </c>
      <c r="D113" s="89">
        <v>0</v>
      </c>
      <c r="E113" s="203"/>
      <c r="F113" s="101" t="s">
        <v>339</v>
      </c>
      <c r="G113" s="98" t="s">
        <v>322</v>
      </c>
      <c r="H113" s="83"/>
    </row>
    <row r="114" spans="1:8" s="81" customFormat="1" x14ac:dyDescent="0.25">
      <c r="A114" s="197"/>
      <c r="B114" s="207"/>
      <c r="C114" s="88" t="s">
        <v>40</v>
      </c>
      <c r="D114" s="89">
        <v>440</v>
      </c>
      <c r="E114" s="203"/>
      <c r="F114" s="90" t="s">
        <v>349</v>
      </c>
      <c r="G114" s="87" t="s">
        <v>335</v>
      </c>
      <c r="H114" s="83"/>
    </row>
    <row r="115" spans="1:8" s="82" customFormat="1" ht="15.75" customHeight="1" x14ac:dyDescent="0.25">
      <c r="A115" s="94"/>
      <c r="B115" s="95"/>
      <c r="C115" s="88" t="s">
        <v>158</v>
      </c>
      <c r="D115" s="89" t="s">
        <v>114</v>
      </c>
      <c r="E115" s="204"/>
      <c r="F115" s="93" t="s">
        <v>160</v>
      </c>
      <c r="G115" s="91"/>
      <c r="H115" s="86"/>
    </row>
    <row r="116" spans="1:8" s="81" customFormat="1" ht="18.75" x14ac:dyDescent="0.25">
      <c r="A116" s="178" t="s">
        <v>172</v>
      </c>
      <c r="B116" s="178"/>
      <c r="C116" s="178"/>
      <c r="D116" s="178"/>
      <c r="E116" s="178"/>
      <c r="F116" s="178"/>
      <c r="G116" s="178"/>
      <c r="H116" s="83"/>
    </row>
    <row r="117" spans="1:8" s="81" customFormat="1" x14ac:dyDescent="0.25">
      <c r="A117" s="205" t="s">
        <v>18</v>
      </c>
      <c r="B117" s="206" t="s">
        <v>170</v>
      </c>
      <c r="C117" s="84" t="s">
        <v>115</v>
      </c>
      <c r="D117" s="89">
        <v>1</v>
      </c>
      <c r="E117" s="208">
        <f>SUM(D117:D123)</f>
        <v>570</v>
      </c>
      <c r="F117" s="101" t="s">
        <v>159</v>
      </c>
      <c r="G117" s="87"/>
      <c r="H117" s="83"/>
    </row>
    <row r="118" spans="1:8" s="81" customFormat="1" x14ac:dyDescent="0.25">
      <c r="A118" s="197"/>
      <c r="B118" s="207"/>
      <c r="C118" s="84" t="s">
        <v>17</v>
      </c>
      <c r="D118" s="89">
        <v>0</v>
      </c>
      <c r="E118" s="203"/>
      <c r="F118" s="101" t="s">
        <v>159</v>
      </c>
      <c r="G118" s="87"/>
      <c r="H118" s="83"/>
    </row>
    <row r="119" spans="1:8" s="81" customFormat="1" x14ac:dyDescent="0.25">
      <c r="A119" s="197"/>
      <c r="B119" s="207"/>
      <c r="C119" s="88" t="s">
        <v>39</v>
      </c>
      <c r="D119" s="89">
        <v>4</v>
      </c>
      <c r="E119" s="203"/>
      <c r="F119" s="101" t="s">
        <v>314</v>
      </c>
      <c r="G119" s="98" t="s">
        <v>321</v>
      </c>
      <c r="H119" s="83"/>
    </row>
    <row r="120" spans="1:8" s="81" customFormat="1" ht="31.5" x14ac:dyDescent="0.25">
      <c r="A120" s="197"/>
      <c r="B120" s="207"/>
      <c r="C120" s="88" t="s">
        <v>73</v>
      </c>
      <c r="D120" s="89">
        <v>330</v>
      </c>
      <c r="E120" s="203"/>
      <c r="F120" s="101" t="s">
        <v>337</v>
      </c>
      <c r="G120" s="98" t="s">
        <v>343</v>
      </c>
      <c r="H120" s="83"/>
    </row>
    <row r="121" spans="1:8" s="81" customFormat="1" x14ac:dyDescent="0.25">
      <c r="A121" s="197"/>
      <c r="B121" s="207"/>
      <c r="C121" s="88" t="s">
        <v>39</v>
      </c>
      <c r="D121" s="89">
        <v>5</v>
      </c>
      <c r="E121" s="203"/>
      <c r="F121" s="101" t="s">
        <v>338</v>
      </c>
      <c r="G121" s="98" t="s">
        <v>321</v>
      </c>
      <c r="H121" s="83"/>
    </row>
    <row r="122" spans="1:8" s="81" customFormat="1" x14ac:dyDescent="0.25">
      <c r="A122" s="197"/>
      <c r="B122" s="207"/>
      <c r="C122" s="88" t="s">
        <v>17</v>
      </c>
      <c r="D122" s="89">
        <v>0</v>
      </c>
      <c r="E122" s="203"/>
      <c r="F122" s="101" t="s">
        <v>339</v>
      </c>
      <c r="G122" s="98" t="s">
        <v>322</v>
      </c>
      <c r="H122" s="83"/>
    </row>
    <row r="123" spans="1:8" s="81" customFormat="1" x14ac:dyDescent="0.25">
      <c r="A123" s="197"/>
      <c r="B123" s="207"/>
      <c r="C123" s="88" t="s">
        <v>171</v>
      </c>
      <c r="D123" s="89">
        <v>230</v>
      </c>
      <c r="E123" s="203"/>
      <c r="F123" s="90" t="s">
        <v>173</v>
      </c>
      <c r="G123" s="87" t="s">
        <v>350</v>
      </c>
      <c r="H123" s="83"/>
    </row>
    <row r="124" spans="1:8" s="82" customFormat="1" ht="15.75" customHeight="1" x14ac:dyDescent="0.25">
      <c r="A124" s="94"/>
      <c r="B124" s="95"/>
      <c r="C124" s="88" t="s">
        <v>158</v>
      </c>
      <c r="D124" s="89" t="s">
        <v>114</v>
      </c>
      <c r="E124" s="204"/>
      <c r="F124" s="93" t="s">
        <v>160</v>
      </c>
      <c r="G124" s="91"/>
      <c r="H124" s="86"/>
    </row>
    <row r="125" spans="1:8" s="34" customFormat="1" ht="18" customHeight="1" x14ac:dyDescent="0.25">
      <c r="A125" s="178" t="s">
        <v>68</v>
      </c>
      <c r="B125" s="178"/>
      <c r="C125" s="178"/>
      <c r="D125" s="178"/>
      <c r="E125" s="178"/>
      <c r="F125" s="178"/>
      <c r="G125" s="178"/>
    </row>
    <row r="126" spans="1:8" s="34" customFormat="1" x14ac:dyDescent="0.25">
      <c r="A126" s="205" t="s">
        <v>18</v>
      </c>
      <c r="B126" s="188">
        <v>20</v>
      </c>
      <c r="C126" s="60" t="s">
        <v>158</v>
      </c>
      <c r="D126" s="61" t="s">
        <v>114</v>
      </c>
      <c r="E126" s="202">
        <f>SUM(D126:D128)</f>
        <v>250</v>
      </c>
      <c r="F126" s="69" t="s">
        <v>160</v>
      </c>
      <c r="G126" s="65"/>
      <c r="H126" s="38"/>
    </row>
    <row r="127" spans="1:8" s="34" customFormat="1" x14ac:dyDescent="0.25">
      <c r="A127" s="197"/>
      <c r="B127" s="189"/>
      <c r="C127" s="60" t="s">
        <v>42</v>
      </c>
      <c r="D127" s="61">
        <v>250</v>
      </c>
      <c r="E127" s="202"/>
      <c r="F127" s="62" t="s">
        <v>344</v>
      </c>
      <c r="G127" s="65" t="s">
        <v>345</v>
      </c>
      <c r="H127" s="38"/>
    </row>
    <row r="128" spans="1:8" s="34" customFormat="1" x14ac:dyDescent="0.25">
      <c r="A128" s="197"/>
      <c r="B128" s="189"/>
      <c r="C128" s="99" t="s">
        <v>158</v>
      </c>
      <c r="D128" s="61" t="s">
        <v>114</v>
      </c>
      <c r="E128" s="202"/>
      <c r="F128" s="69" t="s">
        <v>160</v>
      </c>
      <c r="G128" s="65"/>
    </row>
    <row r="129" spans="1:7" s="34" customFormat="1" ht="18" customHeight="1" x14ac:dyDescent="0.25">
      <c r="A129" s="178" t="s">
        <v>45</v>
      </c>
      <c r="B129" s="178"/>
      <c r="C129" s="178"/>
      <c r="D129" s="178"/>
      <c r="E129" s="178"/>
      <c r="F129" s="178"/>
      <c r="G129" s="178"/>
    </row>
    <row r="130" spans="1:7" s="34" customFormat="1" x14ac:dyDescent="0.25">
      <c r="A130" s="205" t="s">
        <v>18</v>
      </c>
      <c r="B130" s="188">
        <v>21</v>
      </c>
      <c r="C130" s="60" t="s">
        <v>158</v>
      </c>
      <c r="D130" s="61" t="s">
        <v>114</v>
      </c>
      <c r="E130" s="202">
        <f>SUM(D130:D134)</f>
        <v>250</v>
      </c>
      <c r="F130" s="69" t="s">
        <v>160</v>
      </c>
      <c r="G130" s="65"/>
    </row>
    <row r="131" spans="1:7" s="34" customFormat="1" x14ac:dyDescent="0.25">
      <c r="A131" s="197"/>
      <c r="B131" s="189"/>
      <c r="C131" s="60" t="s">
        <v>17</v>
      </c>
      <c r="D131" s="61">
        <v>0</v>
      </c>
      <c r="E131" s="202"/>
      <c r="F131" s="101" t="s">
        <v>339</v>
      </c>
      <c r="G131" s="98" t="s">
        <v>322</v>
      </c>
    </row>
    <row r="132" spans="1:7" s="34" customFormat="1" x14ac:dyDescent="0.25">
      <c r="A132" s="197"/>
      <c r="B132" s="189"/>
      <c r="C132" s="60" t="s">
        <v>36</v>
      </c>
      <c r="D132" s="61">
        <v>250</v>
      </c>
      <c r="E132" s="202"/>
      <c r="F132" s="72" t="s">
        <v>103</v>
      </c>
      <c r="G132" s="65"/>
    </row>
    <row r="133" spans="1:7" s="34" customFormat="1" x14ac:dyDescent="0.25">
      <c r="A133" s="197"/>
      <c r="B133" s="189"/>
      <c r="C133" s="60" t="s">
        <v>17</v>
      </c>
      <c r="D133" s="61">
        <v>0</v>
      </c>
      <c r="E133" s="202"/>
      <c r="F133" s="101" t="s">
        <v>339</v>
      </c>
      <c r="G133" s="98" t="s">
        <v>322</v>
      </c>
    </row>
    <row r="134" spans="1:7" s="34" customFormat="1" x14ac:dyDescent="0.25">
      <c r="A134" s="197"/>
      <c r="B134" s="189"/>
      <c r="C134" s="60" t="s">
        <v>158</v>
      </c>
      <c r="D134" s="61" t="s">
        <v>114</v>
      </c>
      <c r="E134" s="202"/>
      <c r="F134" s="69" t="s">
        <v>160</v>
      </c>
      <c r="G134" s="65"/>
    </row>
    <row r="135" spans="1:7" ht="18.75" x14ac:dyDescent="0.25">
      <c r="A135" s="174" t="s">
        <v>46</v>
      </c>
      <c r="B135" s="174"/>
      <c r="C135" s="174"/>
      <c r="D135" s="174"/>
      <c r="E135" s="174"/>
      <c r="F135" s="174"/>
      <c r="G135" s="174"/>
    </row>
    <row r="136" spans="1:7" s="34" customFormat="1" ht="15.75" customHeight="1" x14ac:dyDescent="0.25">
      <c r="A136" s="205" t="s">
        <v>18</v>
      </c>
      <c r="B136" s="188">
        <v>22</v>
      </c>
      <c r="C136" s="60" t="s">
        <v>316</v>
      </c>
      <c r="D136" s="61">
        <v>25</v>
      </c>
      <c r="E136" s="190">
        <f>SUM(D136:D146)</f>
        <v>500</v>
      </c>
      <c r="F136" s="101" t="s">
        <v>159</v>
      </c>
      <c r="G136" s="50"/>
    </row>
    <row r="137" spans="1:7" s="34" customFormat="1" ht="15.75" customHeight="1" x14ac:dyDescent="0.25">
      <c r="A137" s="197"/>
      <c r="B137" s="189"/>
      <c r="C137" s="60" t="s">
        <v>57</v>
      </c>
      <c r="D137" s="61">
        <v>5</v>
      </c>
      <c r="E137" s="190"/>
      <c r="F137" s="101" t="s">
        <v>159</v>
      </c>
      <c r="G137" s="50"/>
    </row>
    <row r="138" spans="1:7" s="34" customFormat="1" ht="15.75" customHeight="1" x14ac:dyDescent="0.25">
      <c r="A138" s="197"/>
      <c r="B138" s="189"/>
      <c r="C138" s="60" t="s">
        <v>49</v>
      </c>
      <c r="D138" s="61">
        <v>0</v>
      </c>
      <c r="E138" s="190"/>
      <c r="F138" s="101" t="s">
        <v>339</v>
      </c>
      <c r="G138" s="98" t="s">
        <v>322</v>
      </c>
    </row>
    <row r="139" spans="1:7" s="34" customFormat="1" ht="31.5" x14ac:dyDescent="0.25">
      <c r="A139" s="197"/>
      <c r="B139" s="189"/>
      <c r="C139" s="60" t="s">
        <v>47</v>
      </c>
      <c r="D139" s="61">
        <v>12.5</v>
      </c>
      <c r="E139" s="190"/>
      <c r="F139" s="62" t="s">
        <v>145</v>
      </c>
      <c r="G139" s="50" t="s">
        <v>346</v>
      </c>
    </row>
    <row r="140" spans="1:7" s="34" customFormat="1" ht="15.75" customHeight="1" x14ac:dyDescent="0.25">
      <c r="A140" s="197"/>
      <c r="B140" s="189"/>
      <c r="C140" s="60" t="s">
        <v>48</v>
      </c>
      <c r="D140" s="61">
        <v>0</v>
      </c>
      <c r="E140" s="190"/>
      <c r="F140" s="62" t="s">
        <v>143</v>
      </c>
      <c r="G140" s="50" t="s">
        <v>351</v>
      </c>
    </row>
    <row r="141" spans="1:7" s="34" customFormat="1" ht="31.5" x14ac:dyDescent="0.25">
      <c r="A141" s="197"/>
      <c r="B141" s="189"/>
      <c r="C141" s="60" t="s">
        <v>50</v>
      </c>
      <c r="D141" s="61">
        <v>150</v>
      </c>
      <c r="E141" s="190"/>
      <c r="F141" s="60" t="s">
        <v>146</v>
      </c>
      <c r="G141" s="50" t="s">
        <v>352</v>
      </c>
    </row>
    <row r="142" spans="1:7" s="34" customFormat="1" ht="31.5" x14ac:dyDescent="0.25">
      <c r="A142" s="197"/>
      <c r="B142" s="189"/>
      <c r="C142" s="60" t="s">
        <v>51</v>
      </c>
      <c r="D142" s="61">
        <v>220</v>
      </c>
      <c r="E142" s="190"/>
      <c r="F142" s="62" t="s">
        <v>144</v>
      </c>
      <c r="G142" s="50" t="s">
        <v>353</v>
      </c>
    </row>
    <row r="143" spans="1:7" s="34" customFormat="1" ht="15.75" customHeight="1" x14ac:dyDescent="0.25">
      <c r="A143" s="197"/>
      <c r="B143" s="189"/>
      <c r="C143" s="60" t="s">
        <v>53</v>
      </c>
      <c r="D143" s="61">
        <v>0</v>
      </c>
      <c r="E143" s="190"/>
      <c r="F143" s="62" t="s">
        <v>140</v>
      </c>
      <c r="G143" s="65" t="s">
        <v>354</v>
      </c>
    </row>
    <row r="144" spans="1:7" s="34" customFormat="1" ht="15.75" customHeight="1" x14ac:dyDescent="0.25">
      <c r="A144" s="197"/>
      <c r="B144" s="189"/>
      <c r="C144" s="60" t="s">
        <v>54</v>
      </c>
      <c r="D144" s="61">
        <v>12.5</v>
      </c>
      <c r="E144" s="190"/>
      <c r="F144" s="62" t="s">
        <v>355</v>
      </c>
      <c r="G144" s="50" t="s">
        <v>317</v>
      </c>
    </row>
    <row r="145" spans="1:7" s="34" customFormat="1" ht="31.5" x14ac:dyDescent="0.25">
      <c r="A145" s="197"/>
      <c r="B145" s="189"/>
      <c r="C145" s="60" t="s">
        <v>52</v>
      </c>
      <c r="D145" s="61">
        <v>50</v>
      </c>
      <c r="E145" s="190"/>
      <c r="F145" s="62" t="s">
        <v>147</v>
      </c>
      <c r="G145" s="65" t="s">
        <v>148</v>
      </c>
    </row>
    <row r="146" spans="1:7" s="34" customFormat="1" ht="15.75" customHeight="1" x14ac:dyDescent="0.25">
      <c r="A146" s="197"/>
      <c r="B146" s="189"/>
      <c r="C146" s="36" t="s">
        <v>56</v>
      </c>
      <c r="D146" s="61">
        <v>25</v>
      </c>
      <c r="E146" s="190"/>
      <c r="F146" s="85" t="s">
        <v>340</v>
      </c>
      <c r="G146" s="98" t="s">
        <v>342</v>
      </c>
    </row>
    <row r="147" spans="1:7" s="34" customFormat="1" ht="15.75" customHeight="1" x14ac:dyDescent="0.25">
      <c r="A147" s="178" t="s">
        <v>101</v>
      </c>
      <c r="B147" s="178"/>
      <c r="C147" s="178"/>
      <c r="D147" s="178"/>
      <c r="E147" s="178"/>
      <c r="F147" s="178"/>
      <c r="G147" s="178"/>
    </row>
    <row r="148" spans="1:7" s="34" customFormat="1" ht="15.75" customHeight="1" x14ac:dyDescent="0.25">
      <c r="A148" s="205" t="s">
        <v>18</v>
      </c>
      <c r="B148" s="188">
        <v>23</v>
      </c>
      <c r="C148" s="99" t="s">
        <v>158</v>
      </c>
      <c r="D148" s="100" t="s">
        <v>114</v>
      </c>
      <c r="E148" s="202">
        <f>SUM(D148:D151)</f>
        <v>200</v>
      </c>
      <c r="F148" s="108" t="s">
        <v>160</v>
      </c>
      <c r="G148" s="65"/>
    </row>
    <row r="149" spans="1:7" s="34" customFormat="1" ht="15.75" customHeight="1" x14ac:dyDescent="0.25">
      <c r="A149" s="197"/>
      <c r="B149" s="189"/>
      <c r="C149" s="60" t="s">
        <v>17</v>
      </c>
      <c r="D149" s="61">
        <v>0</v>
      </c>
      <c r="E149" s="202"/>
      <c r="F149" s="101" t="s">
        <v>339</v>
      </c>
      <c r="G149" s="98" t="s">
        <v>322</v>
      </c>
    </row>
    <row r="150" spans="1:7" s="34" customFormat="1" ht="15.75" customHeight="1" x14ac:dyDescent="0.25">
      <c r="A150" s="197"/>
      <c r="B150" s="189"/>
      <c r="C150" s="60" t="s">
        <v>36</v>
      </c>
      <c r="D150" s="61">
        <v>200</v>
      </c>
      <c r="E150" s="202"/>
      <c r="F150" s="72" t="s">
        <v>103</v>
      </c>
      <c r="G150" s="65"/>
    </row>
    <row r="151" spans="1:7" s="34" customFormat="1" ht="15.75" customHeight="1" x14ac:dyDescent="0.25">
      <c r="A151" s="197"/>
      <c r="B151" s="189"/>
      <c r="C151" s="36" t="s">
        <v>59</v>
      </c>
      <c r="D151" s="61">
        <v>0</v>
      </c>
      <c r="E151" s="202"/>
      <c r="F151" s="62"/>
      <c r="G151" s="65"/>
    </row>
    <row r="152" spans="1:7" s="34" customFormat="1" ht="15.75" customHeight="1" x14ac:dyDescent="0.25">
      <c r="A152" s="178" t="s">
        <v>101</v>
      </c>
      <c r="B152" s="178"/>
      <c r="C152" s="178"/>
      <c r="D152" s="178"/>
      <c r="E152" s="178"/>
      <c r="F152" s="178"/>
      <c r="G152" s="178"/>
    </row>
    <row r="153" spans="1:7" s="34" customFormat="1" ht="15.75" customHeight="1" x14ac:dyDescent="0.25">
      <c r="A153" s="205" t="s">
        <v>18</v>
      </c>
      <c r="B153" s="188">
        <v>24</v>
      </c>
      <c r="C153" s="36" t="s">
        <v>59</v>
      </c>
      <c r="D153" s="61">
        <v>0</v>
      </c>
      <c r="E153" s="202">
        <f>SUM(D153:D155)</f>
        <v>200</v>
      </c>
      <c r="F153" s="62"/>
      <c r="G153" s="50"/>
    </row>
    <row r="154" spans="1:7" s="34" customFormat="1" ht="15.75" customHeight="1" x14ac:dyDescent="0.25">
      <c r="A154" s="197"/>
      <c r="B154" s="189"/>
      <c r="C154" s="60" t="s">
        <v>36</v>
      </c>
      <c r="D154" s="61">
        <v>200</v>
      </c>
      <c r="E154" s="202"/>
      <c r="F154" s="72" t="s">
        <v>103</v>
      </c>
      <c r="G154" s="65"/>
    </row>
    <row r="155" spans="1:7" s="34" customFormat="1" ht="15.75" customHeight="1" x14ac:dyDescent="0.25">
      <c r="A155" s="197"/>
      <c r="B155" s="189"/>
      <c r="C155" s="36" t="s">
        <v>59</v>
      </c>
      <c r="D155" s="61">
        <v>0</v>
      </c>
      <c r="E155" s="202"/>
      <c r="F155" s="62"/>
      <c r="G155" s="65"/>
    </row>
    <row r="156" spans="1:7" s="96" customFormat="1" ht="15.75" customHeight="1" x14ac:dyDescent="0.25">
      <c r="A156" s="178" t="s">
        <v>418</v>
      </c>
      <c r="B156" s="178"/>
      <c r="C156" s="178"/>
      <c r="D156" s="178"/>
      <c r="E156" s="178"/>
      <c r="F156" s="178"/>
      <c r="G156" s="178"/>
    </row>
    <row r="157" spans="1:7" s="96" customFormat="1" ht="15.75" customHeight="1" x14ac:dyDescent="0.25">
      <c r="A157" s="205" t="s">
        <v>18</v>
      </c>
      <c r="B157" s="188">
        <v>25</v>
      </c>
      <c r="C157" s="97" t="s">
        <v>416</v>
      </c>
      <c r="D157" s="100">
        <v>0</v>
      </c>
      <c r="E157" s="202">
        <f>SUM(D157:D159)</f>
        <v>175</v>
      </c>
      <c r="F157" s="101"/>
      <c r="G157" s="98"/>
    </row>
    <row r="158" spans="1:7" s="96" customFormat="1" ht="15.75" customHeight="1" x14ac:dyDescent="0.25">
      <c r="A158" s="197"/>
      <c r="B158" s="189"/>
      <c r="C158" s="99" t="s">
        <v>417</v>
      </c>
      <c r="D158" s="100">
        <v>175</v>
      </c>
      <c r="E158" s="202"/>
      <c r="F158" s="72" t="s">
        <v>419</v>
      </c>
      <c r="G158" s="103" t="s">
        <v>420</v>
      </c>
    </row>
    <row r="159" spans="1:7" s="96" customFormat="1" ht="15.75" customHeight="1" x14ac:dyDescent="0.25">
      <c r="A159" s="197"/>
      <c r="B159" s="189"/>
      <c r="C159" s="97" t="s">
        <v>416</v>
      </c>
      <c r="D159" s="100">
        <v>0</v>
      </c>
      <c r="E159" s="202"/>
      <c r="F159" s="101"/>
      <c r="G159" s="103"/>
    </row>
    <row r="160" spans="1:7" ht="18.75" x14ac:dyDescent="0.25">
      <c r="A160" s="174" t="s">
        <v>67</v>
      </c>
      <c r="B160" s="174"/>
      <c r="C160" s="174"/>
      <c r="D160" s="174"/>
      <c r="E160" s="174"/>
      <c r="F160" s="174"/>
      <c r="G160" s="174"/>
    </row>
    <row r="161" spans="1:7" s="34" customFormat="1" ht="15.75" customHeight="1" x14ac:dyDescent="0.25">
      <c r="A161" s="205" t="s">
        <v>18</v>
      </c>
      <c r="B161" s="188">
        <v>30</v>
      </c>
      <c r="C161" s="99" t="s">
        <v>158</v>
      </c>
      <c r="D161" s="100" t="s">
        <v>114</v>
      </c>
      <c r="E161" s="202">
        <f>SUM(D161:D163)</f>
        <v>115</v>
      </c>
      <c r="F161" s="108" t="s">
        <v>160</v>
      </c>
      <c r="G161" s="65"/>
    </row>
    <row r="162" spans="1:7" s="34" customFormat="1" ht="15.75" customHeight="1" x14ac:dyDescent="0.25">
      <c r="A162" s="197"/>
      <c r="B162" s="189"/>
      <c r="C162" s="60" t="s">
        <v>58</v>
      </c>
      <c r="D162" s="61">
        <v>115</v>
      </c>
      <c r="E162" s="202"/>
      <c r="F162" s="101" t="s">
        <v>213</v>
      </c>
      <c r="G162" s="161" t="s">
        <v>437</v>
      </c>
    </row>
    <row r="163" spans="1:7" s="34" customFormat="1" ht="15.75" customHeight="1" x14ac:dyDescent="0.25">
      <c r="A163" s="197"/>
      <c r="B163" s="189"/>
      <c r="C163" s="99" t="s">
        <v>158</v>
      </c>
      <c r="D163" s="100" t="s">
        <v>114</v>
      </c>
      <c r="E163" s="202"/>
      <c r="F163" s="108" t="s">
        <v>160</v>
      </c>
      <c r="G163" s="65"/>
    </row>
    <row r="164" spans="1:7" ht="18.75" x14ac:dyDescent="0.25">
      <c r="A164" s="174" t="s">
        <v>66</v>
      </c>
      <c r="B164" s="174"/>
      <c r="C164" s="174"/>
      <c r="D164" s="174"/>
      <c r="E164" s="174"/>
      <c r="F164" s="174"/>
      <c r="G164" s="174"/>
    </row>
    <row r="165" spans="1:7" s="34" customFormat="1" ht="15.75" customHeight="1" x14ac:dyDescent="0.25">
      <c r="A165" s="205" t="s">
        <v>18</v>
      </c>
      <c r="B165" s="188">
        <v>31</v>
      </c>
      <c r="C165" s="99" t="s">
        <v>158</v>
      </c>
      <c r="D165" s="100" t="s">
        <v>114</v>
      </c>
      <c r="E165" s="202">
        <f>SUM(D165:D167)</f>
        <v>115</v>
      </c>
      <c r="F165" s="108" t="s">
        <v>160</v>
      </c>
      <c r="G165" s="65"/>
    </row>
    <row r="166" spans="1:7" s="34" customFormat="1" ht="15.75" customHeight="1" x14ac:dyDescent="0.25">
      <c r="A166" s="197"/>
      <c r="B166" s="189"/>
      <c r="C166" s="60" t="s">
        <v>58</v>
      </c>
      <c r="D166" s="61">
        <v>115</v>
      </c>
      <c r="E166" s="202"/>
      <c r="F166" s="62" t="s">
        <v>213</v>
      </c>
      <c r="G166" s="161" t="s">
        <v>437</v>
      </c>
    </row>
    <row r="167" spans="1:7" s="34" customFormat="1" ht="15.75" customHeight="1" x14ac:dyDescent="0.25">
      <c r="A167" s="197"/>
      <c r="B167" s="189"/>
      <c r="C167" s="36" t="s">
        <v>59</v>
      </c>
      <c r="D167" s="61">
        <v>0</v>
      </c>
      <c r="E167" s="202"/>
      <c r="F167" s="62"/>
      <c r="G167" s="65"/>
    </row>
    <row r="168" spans="1:7" s="81" customFormat="1" ht="18.75" x14ac:dyDescent="0.25">
      <c r="A168" s="174" t="s">
        <v>212</v>
      </c>
      <c r="B168" s="174"/>
      <c r="C168" s="174"/>
      <c r="D168" s="174"/>
      <c r="E168" s="174"/>
      <c r="F168" s="174"/>
      <c r="G168" s="174"/>
    </row>
    <row r="169" spans="1:7" s="96" customFormat="1" ht="15.75" customHeight="1" x14ac:dyDescent="0.25">
      <c r="A169" s="205" t="s">
        <v>18</v>
      </c>
      <c r="B169" s="188">
        <v>32</v>
      </c>
      <c r="C169" s="99" t="s">
        <v>158</v>
      </c>
      <c r="D169" s="100" t="s">
        <v>114</v>
      </c>
      <c r="E169" s="202">
        <f>SUM(D169:D171)</f>
        <v>50</v>
      </c>
      <c r="F169" s="108" t="s">
        <v>160</v>
      </c>
      <c r="G169" s="103"/>
    </row>
    <row r="170" spans="1:7" s="96" customFormat="1" ht="15.75" customHeight="1" x14ac:dyDescent="0.25">
      <c r="A170" s="197"/>
      <c r="B170" s="189"/>
      <c r="C170" s="99" t="s">
        <v>214</v>
      </c>
      <c r="D170" s="100">
        <v>50</v>
      </c>
      <c r="E170" s="202"/>
      <c r="F170" s="101" t="s">
        <v>357</v>
      </c>
      <c r="G170" s="103" t="s">
        <v>356</v>
      </c>
    </row>
    <row r="171" spans="1:7" s="96" customFormat="1" ht="15.75" customHeight="1" x14ac:dyDescent="0.25">
      <c r="A171" s="197"/>
      <c r="B171" s="189"/>
      <c r="C171" s="97" t="s">
        <v>59</v>
      </c>
      <c r="D171" s="100">
        <v>0</v>
      </c>
      <c r="E171" s="202"/>
      <c r="F171" s="101"/>
      <c r="G171" s="103"/>
    </row>
    <row r="172" spans="1:7" ht="18.75" x14ac:dyDescent="0.25">
      <c r="A172" s="174" t="s">
        <v>196</v>
      </c>
      <c r="B172" s="174"/>
      <c r="C172" s="174"/>
      <c r="D172" s="174"/>
      <c r="E172" s="174"/>
      <c r="F172" s="174"/>
      <c r="G172" s="174"/>
    </row>
    <row r="173" spans="1:7" s="34" customFormat="1" ht="15.75" customHeight="1" x14ac:dyDescent="0.25">
      <c r="A173" s="197" t="s">
        <v>18</v>
      </c>
      <c r="B173" s="189">
        <v>40</v>
      </c>
      <c r="C173" s="60" t="s">
        <v>110</v>
      </c>
      <c r="D173" s="61">
        <v>25</v>
      </c>
      <c r="E173" s="202">
        <f>SUM(D173:D174)</f>
        <v>100</v>
      </c>
      <c r="F173" s="85" t="s">
        <v>361</v>
      </c>
      <c r="G173" s="65" t="s">
        <v>360</v>
      </c>
    </row>
    <row r="174" spans="1:7" s="34" customFormat="1" ht="15.75" customHeight="1" x14ac:dyDescent="0.25">
      <c r="A174" s="197"/>
      <c r="B174" s="189"/>
      <c r="C174" s="36" t="s">
        <v>109</v>
      </c>
      <c r="D174" s="61">
        <v>75</v>
      </c>
      <c r="E174" s="202"/>
      <c r="F174" s="62" t="s">
        <v>359</v>
      </c>
      <c r="G174" s="65" t="s">
        <v>341</v>
      </c>
    </row>
    <row r="175" spans="1:7" ht="18.75" x14ac:dyDescent="0.25">
      <c r="A175" s="174" t="s">
        <v>197</v>
      </c>
      <c r="B175" s="174"/>
      <c r="C175" s="174"/>
      <c r="D175" s="174"/>
      <c r="E175" s="174"/>
      <c r="F175" s="174"/>
      <c r="G175" s="174"/>
    </row>
    <row r="176" spans="1:7" s="34" customFormat="1" ht="15.75" customHeight="1" x14ac:dyDescent="0.25">
      <c r="A176" s="197" t="s">
        <v>18</v>
      </c>
      <c r="B176" s="189">
        <v>41</v>
      </c>
      <c r="C176" s="60" t="s">
        <v>110</v>
      </c>
      <c r="D176" s="61">
        <v>25</v>
      </c>
      <c r="E176" s="200">
        <f>SUM(D176:D178)</f>
        <v>150</v>
      </c>
      <c r="F176" s="85" t="s">
        <v>361</v>
      </c>
      <c r="G176" s="103" t="s">
        <v>360</v>
      </c>
    </row>
    <row r="177" spans="1:8" s="34" customFormat="1" ht="15.75" customHeight="1" x14ac:dyDescent="0.25">
      <c r="A177" s="197"/>
      <c r="B177" s="189"/>
      <c r="C177" s="36" t="s">
        <v>112</v>
      </c>
      <c r="D177" s="61">
        <v>100</v>
      </c>
      <c r="E177" s="200"/>
      <c r="F177" s="62" t="s">
        <v>358</v>
      </c>
      <c r="G177" s="103" t="s">
        <v>341</v>
      </c>
    </row>
    <row r="178" spans="1:8" s="34" customFormat="1" ht="15.75" customHeight="1" x14ac:dyDescent="0.25">
      <c r="A178" s="198"/>
      <c r="B178" s="199"/>
      <c r="C178" s="36" t="s">
        <v>111</v>
      </c>
      <c r="D178" s="61">
        <v>25</v>
      </c>
      <c r="E178" s="201"/>
      <c r="F178" s="62"/>
      <c r="G178" s="65"/>
    </row>
    <row r="179" spans="1:8" s="81" customFormat="1" ht="18.75" x14ac:dyDescent="0.25">
      <c r="A179" s="174" t="s">
        <v>198</v>
      </c>
      <c r="B179" s="174"/>
      <c r="C179" s="174"/>
      <c r="D179" s="174"/>
      <c r="E179" s="174"/>
      <c r="F179" s="174"/>
      <c r="G179" s="174"/>
    </row>
    <row r="180" spans="1:8" s="96" customFormat="1" ht="15.75" customHeight="1" x14ac:dyDescent="0.25">
      <c r="A180" s="197" t="s">
        <v>18</v>
      </c>
      <c r="B180" s="189">
        <v>50</v>
      </c>
      <c r="C180" s="99" t="s">
        <v>110</v>
      </c>
      <c r="D180" s="100">
        <v>25</v>
      </c>
      <c r="E180" s="202">
        <f>SUM(D180:D181)</f>
        <v>100</v>
      </c>
      <c r="F180" s="85" t="s">
        <v>361</v>
      </c>
      <c r="G180" s="103" t="s">
        <v>360</v>
      </c>
    </row>
    <row r="181" spans="1:8" s="96" customFormat="1" ht="15.75" customHeight="1" x14ac:dyDescent="0.25">
      <c r="A181" s="197"/>
      <c r="B181" s="189"/>
      <c r="C181" s="97" t="s">
        <v>109</v>
      </c>
      <c r="D181" s="100">
        <v>75</v>
      </c>
      <c r="E181" s="202"/>
      <c r="F181" s="101" t="s">
        <v>359</v>
      </c>
      <c r="G181" s="103" t="s">
        <v>341</v>
      </c>
    </row>
    <row r="182" spans="1:8" s="81" customFormat="1" ht="18.75" x14ac:dyDescent="0.25">
      <c r="A182" s="174" t="s">
        <v>199</v>
      </c>
      <c r="B182" s="174"/>
      <c r="C182" s="174"/>
      <c r="D182" s="174"/>
      <c r="E182" s="174"/>
      <c r="F182" s="174"/>
      <c r="G182" s="174"/>
    </row>
    <row r="183" spans="1:8" s="96" customFormat="1" ht="15.75" customHeight="1" x14ac:dyDescent="0.25">
      <c r="A183" s="197" t="s">
        <v>18</v>
      </c>
      <c r="B183" s="189">
        <v>51</v>
      </c>
      <c r="C183" s="99" t="s">
        <v>110</v>
      </c>
      <c r="D183" s="100">
        <v>25</v>
      </c>
      <c r="E183" s="200">
        <f>SUM(D183:D185)</f>
        <v>150</v>
      </c>
      <c r="F183" s="85" t="s">
        <v>361</v>
      </c>
      <c r="G183" s="103" t="s">
        <v>360</v>
      </c>
    </row>
    <row r="184" spans="1:8" s="96" customFormat="1" ht="15.75" customHeight="1" x14ac:dyDescent="0.25">
      <c r="A184" s="197"/>
      <c r="B184" s="189"/>
      <c r="C184" s="97" t="s">
        <v>112</v>
      </c>
      <c r="D184" s="100">
        <v>100</v>
      </c>
      <c r="E184" s="200"/>
      <c r="F184" s="101" t="s">
        <v>358</v>
      </c>
      <c r="G184" s="103" t="s">
        <v>341</v>
      </c>
    </row>
    <row r="185" spans="1:8" s="96" customFormat="1" ht="15.75" customHeight="1" x14ac:dyDescent="0.25">
      <c r="A185" s="198"/>
      <c r="B185" s="199"/>
      <c r="C185" s="97" t="s">
        <v>111</v>
      </c>
      <c r="D185" s="100">
        <v>25</v>
      </c>
      <c r="E185" s="201"/>
      <c r="F185" s="101"/>
      <c r="G185" s="103"/>
    </row>
    <row r="186" spans="1:8" s="81" customFormat="1" ht="18.75" x14ac:dyDescent="0.25">
      <c r="A186" s="178" t="s">
        <v>209</v>
      </c>
      <c r="B186" s="178"/>
      <c r="C186" s="178"/>
      <c r="D186" s="178"/>
      <c r="E186" s="178"/>
      <c r="F186" s="178"/>
      <c r="G186" s="178"/>
      <c r="H186" s="83"/>
    </row>
    <row r="187" spans="1:8" s="81" customFormat="1" x14ac:dyDescent="0.25">
      <c r="A187" s="205" t="s">
        <v>18</v>
      </c>
      <c r="B187" s="206" t="s">
        <v>211</v>
      </c>
      <c r="C187" s="99" t="s">
        <v>316</v>
      </c>
      <c r="D187" s="100">
        <v>25</v>
      </c>
      <c r="E187" s="190">
        <f>SUM(D187:D193)</f>
        <v>319</v>
      </c>
      <c r="F187" s="101"/>
      <c r="G187" s="98"/>
      <c r="H187" s="83"/>
    </row>
    <row r="188" spans="1:8" s="81" customFormat="1" x14ac:dyDescent="0.25">
      <c r="A188" s="197"/>
      <c r="B188" s="207"/>
      <c r="C188" s="99" t="s">
        <v>39</v>
      </c>
      <c r="D188" s="100">
        <v>5</v>
      </c>
      <c r="E188" s="190"/>
      <c r="F188" s="101"/>
      <c r="G188" s="98"/>
      <c r="H188" s="83"/>
    </row>
    <row r="189" spans="1:8" s="81" customFormat="1" x14ac:dyDescent="0.25">
      <c r="A189" s="197"/>
      <c r="B189" s="207"/>
      <c r="C189" s="99" t="s">
        <v>138</v>
      </c>
      <c r="D189" s="100">
        <v>4</v>
      </c>
      <c r="E189" s="190"/>
      <c r="F189" s="101" t="s">
        <v>314</v>
      </c>
      <c r="G189" s="98" t="s">
        <v>321</v>
      </c>
      <c r="H189" s="83"/>
    </row>
    <row r="190" spans="1:8" s="81" customFormat="1" ht="31.5" x14ac:dyDescent="0.25">
      <c r="A190" s="197"/>
      <c r="B190" s="207"/>
      <c r="C190" s="99" t="s">
        <v>73</v>
      </c>
      <c r="D190" s="100">
        <v>80</v>
      </c>
      <c r="E190" s="190"/>
      <c r="F190" s="101" t="s">
        <v>337</v>
      </c>
      <c r="G190" s="98" t="s">
        <v>343</v>
      </c>
      <c r="H190" s="83"/>
    </row>
    <row r="191" spans="1:8" s="81" customFormat="1" x14ac:dyDescent="0.25">
      <c r="A191" s="197"/>
      <c r="B191" s="207"/>
      <c r="C191" s="99" t="s">
        <v>39</v>
      </c>
      <c r="D191" s="100">
        <v>5</v>
      </c>
      <c r="E191" s="190"/>
      <c r="F191" s="101" t="s">
        <v>338</v>
      </c>
      <c r="G191" s="98" t="s">
        <v>321</v>
      </c>
      <c r="H191" s="83"/>
    </row>
    <row r="192" spans="1:8" s="81" customFormat="1" x14ac:dyDescent="0.25">
      <c r="A192" s="197"/>
      <c r="B192" s="207"/>
      <c r="C192" s="99" t="s">
        <v>17</v>
      </c>
      <c r="D192" s="100">
        <v>0</v>
      </c>
      <c r="E192" s="190"/>
      <c r="F192" s="101" t="s">
        <v>339</v>
      </c>
      <c r="G192" s="98" t="s">
        <v>322</v>
      </c>
      <c r="H192" s="83"/>
    </row>
    <row r="193" spans="1:8" s="81" customFormat="1" x14ac:dyDescent="0.25">
      <c r="A193" s="197"/>
      <c r="B193" s="207"/>
      <c r="C193" s="99" t="s">
        <v>210</v>
      </c>
      <c r="D193" s="100">
        <v>200</v>
      </c>
      <c r="E193" s="190"/>
      <c r="F193" s="72" t="s">
        <v>103</v>
      </c>
      <c r="G193" s="103"/>
      <c r="H193" s="83"/>
    </row>
  </sheetData>
  <mergeCells count="113">
    <mergeCell ref="A186:G186"/>
    <mergeCell ref="A187:A193"/>
    <mergeCell ref="B187:B193"/>
    <mergeCell ref="E187:E193"/>
    <mergeCell ref="A168:G168"/>
    <mergeCell ref="A169:A171"/>
    <mergeCell ref="B169:B171"/>
    <mergeCell ref="E169:E171"/>
    <mergeCell ref="A98:G98"/>
    <mergeCell ref="A99:A105"/>
    <mergeCell ref="B99:B105"/>
    <mergeCell ref="E173:E174"/>
    <mergeCell ref="A175:G175"/>
    <mergeCell ref="E176:E178"/>
    <mergeCell ref="A148:A151"/>
    <mergeCell ref="B148:B151"/>
    <mergeCell ref="A152:G152"/>
    <mergeCell ref="A153:A155"/>
    <mergeCell ref="A172:G172"/>
    <mergeCell ref="E148:E151"/>
    <mergeCell ref="A160:G160"/>
    <mergeCell ref="E161:E163"/>
    <mergeCell ref="A173:A174"/>
    <mergeCell ref="B176:B178"/>
    <mergeCell ref="A176:A178"/>
    <mergeCell ref="A164:G164"/>
    <mergeCell ref="A165:A167"/>
    <mergeCell ref="B173:B174"/>
    <mergeCell ref="A161:A163"/>
    <mergeCell ref="B161:B163"/>
    <mergeCell ref="E153:E155"/>
    <mergeCell ref="A136:A146"/>
    <mergeCell ref="A1:B1"/>
    <mergeCell ref="A2:B2"/>
    <mergeCell ref="A4:B4"/>
    <mergeCell ref="A125:G125"/>
    <mergeCell ref="C2:E2"/>
    <mergeCell ref="C1:E1"/>
    <mergeCell ref="A27:G27"/>
    <mergeCell ref="A35:A43"/>
    <mergeCell ref="B35:B43"/>
    <mergeCell ref="E35:E43"/>
    <mergeCell ref="A34:G34"/>
    <mergeCell ref="A28:A32"/>
    <mergeCell ref="B28:B32"/>
    <mergeCell ref="A5:G5"/>
    <mergeCell ref="A6:A8"/>
    <mergeCell ref="B6:B8"/>
    <mergeCell ref="E45:E53"/>
    <mergeCell ref="E28:E33"/>
    <mergeCell ref="A44:G44"/>
    <mergeCell ref="A45:A52"/>
    <mergeCell ref="B45:B52"/>
    <mergeCell ref="A54:G54"/>
    <mergeCell ref="A55:A65"/>
    <mergeCell ref="E6:E8"/>
    <mergeCell ref="A89:A96"/>
    <mergeCell ref="B89:B96"/>
    <mergeCell ref="A66:G66"/>
    <mergeCell ref="A67:A79"/>
    <mergeCell ref="E67:E79"/>
    <mergeCell ref="A80:G80"/>
    <mergeCell ref="A81:A87"/>
    <mergeCell ref="B81:B87"/>
    <mergeCell ref="E81:E87"/>
    <mergeCell ref="A88:G88"/>
    <mergeCell ref="A9:G9"/>
    <mergeCell ref="A16:G16"/>
    <mergeCell ref="A17:A25"/>
    <mergeCell ref="B17:B25"/>
    <mergeCell ref="A10:A15"/>
    <mergeCell ref="B55:B65"/>
    <mergeCell ref="E55:E65"/>
    <mergeCell ref="E126:E128"/>
    <mergeCell ref="A129:G129"/>
    <mergeCell ref="A135:G135"/>
    <mergeCell ref="A130:A134"/>
    <mergeCell ref="B130:B134"/>
    <mergeCell ref="E130:E134"/>
    <mergeCell ref="B165:B167"/>
    <mergeCell ref="B136:B146"/>
    <mergeCell ref="E136:E146"/>
    <mergeCell ref="A147:G147"/>
    <mergeCell ref="A126:A128"/>
    <mergeCell ref="E99:E106"/>
    <mergeCell ref="A156:G156"/>
    <mergeCell ref="A157:A159"/>
    <mergeCell ref="B157:B159"/>
    <mergeCell ref="E157:E159"/>
    <mergeCell ref="A183:A185"/>
    <mergeCell ref="B183:B185"/>
    <mergeCell ref="E183:E185"/>
    <mergeCell ref="A179:G179"/>
    <mergeCell ref="A180:A181"/>
    <mergeCell ref="B180:B181"/>
    <mergeCell ref="E180:E181"/>
    <mergeCell ref="A182:G182"/>
    <mergeCell ref="E10:E15"/>
    <mergeCell ref="B10:B15"/>
    <mergeCell ref="A117:A123"/>
    <mergeCell ref="B117:B123"/>
    <mergeCell ref="E117:E124"/>
    <mergeCell ref="E108:E115"/>
    <mergeCell ref="E17:E26"/>
    <mergeCell ref="E89:E97"/>
    <mergeCell ref="B67:B79"/>
    <mergeCell ref="A107:G107"/>
    <mergeCell ref="A108:A114"/>
    <mergeCell ref="B108:B114"/>
    <mergeCell ref="A116:G116"/>
    <mergeCell ref="B126:B128"/>
    <mergeCell ref="E165:E167"/>
    <mergeCell ref="B153:B155"/>
  </mergeCells>
  <phoneticPr fontId="46" type="noConversion"/>
  <pageMargins left="0.25" right="0.25" top="0.75" bottom="0.75" header="0.3" footer="0.3"/>
  <pageSetup paperSize="9" scale="61" firstPageNumber="2" fitToHeight="0" orientation="landscape" r:id="rId1"/>
  <headerFooter>
    <oddHeader>&amp;L&amp;G</oddHeader>
  </headerFooter>
  <rowBreaks count="5" manualBreakCount="5">
    <brk id="43" max="6" man="1"/>
    <brk id="79" max="6" man="1"/>
    <brk id="115" max="6" man="1"/>
    <brk id="151" max="6" man="1"/>
    <brk id="185" max="6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05D2-135C-4897-B185-01FEF3A2735B}">
  <sheetPr>
    <pageSetUpPr fitToPage="1"/>
  </sheetPr>
  <dimension ref="A1:H93"/>
  <sheetViews>
    <sheetView view="pageBreakPreview" zoomScale="70" zoomScaleNormal="70" zoomScaleSheetLayoutView="70" workbookViewId="0">
      <selection activeCell="F84" sqref="F84"/>
    </sheetView>
  </sheetViews>
  <sheetFormatPr defaultColWidth="8.77734375" defaultRowHeight="15.75" x14ac:dyDescent="0.25"/>
  <cols>
    <col min="1" max="2" width="7.77734375" style="39" customWidth="1"/>
    <col min="3" max="3" width="52.109375" style="40" bestFit="1" customWidth="1"/>
    <col min="4" max="5" width="12.33203125" style="41" customWidth="1"/>
    <col min="6" max="6" width="72.5546875" style="42" customWidth="1"/>
    <col min="7" max="7" width="30.5546875" style="43" customWidth="1"/>
    <col min="8" max="8" width="28.5546875" style="81" customWidth="1"/>
    <col min="9" max="16384" width="8.77734375" style="81"/>
  </cols>
  <sheetData>
    <row r="1" spans="1:8" ht="18.75" x14ac:dyDescent="0.25">
      <c r="A1" s="166" t="s">
        <v>1</v>
      </c>
      <c r="B1" s="167"/>
      <c r="C1" s="196" t="str">
        <f>'systém kódování'!B1</f>
        <v>BYTOVÝ SOUBOR LIBUŠE</v>
      </c>
      <c r="D1" s="196"/>
      <c r="E1" s="196"/>
      <c r="F1" s="48" t="s">
        <v>4</v>
      </c>
      <c r="G1" s="55" t="str">
        <f>'systém kódování'!$G$1</f>
        <v>01</v>
      </c>
    </row>
    <row r="2" spans="1:8" ht="21.75" thickBot="1" x14ac:dyDescent="0.3">
      <c r="A2" s="169" t="s">
        <v>0</v>
      </c>
      <c r="B2" s="170"/>
      <c r="C2" s="171" t="str">
        <f>'systém kódování'!B2</f>
        <v>TABULKA SKLADEB A POVRCHŮ /  SURFACES AND STRUCTURES TABLE</v>
      </c>
      <c r="D2" s="171"/>
      <c r="E2" s="171"/>
      <c r="F2" s="49" t="s">
        <v>5</v>
      </c>
      <c r="G2" s="26" t="str">
        <f>'systém kódování'!$G$2</f>
        <v>30/11/2021</v>
      </c>
    </row>
    <row r="3" spans="1:8" s="96" customFormat="1" ht="28.5" x14ac:dyDescent="0.25">
      <c r="A3" s="56"/>
      <c r="B3" s="56"/>
      <c r="C3" s="56"/>
      <c r="D3" s="57"/>
      <c r="E3" s="57"/>
      <c r="F3" s="57"/>
      <c r="G3" s="57"/>
    </row>
    <row r="4" spans="1:8" ht="47.25" x14ac:dyDescent="0.25">
      <c r="A4" s="172" t="s">
        <v>2</v>
      </c>
      <c r="B4" s="173"/>
      <c r="C4" s="109" t="s">
        <v>7</v>
      </c>
      <c r="D4" s="110" t="s">
        <v>9</v>
      </c>
      <c r="E4" s="110" t="s">
        <v>11</v>
      </c>
      <c r="F4" s="110" t="s">
        <v>8</v>
      </c>
      <c r="G4" s="110" t="s">
        <v>10</v>
      </c>
      <c r="H4" s="83"/>
    </row>
    <row r="5" spans="1:8" ht="18.75" x14ac:dyDescent="0.25">
      <c r="A5" s="174" t="s">
        <v>60</v>
      </c>
      <c r="B5" s="174"/>
      <c r="C5" s="174"/>
      <c r="D5" s="174"/>
      <c r="E5" s="174"/>
      <c r="F5" s="174"/>
      <c r="G5" s="174"/>
    </row>
    <row r="6" spans="1:8" s="96" customFormat="1" x14ac:dyDescent="0.25">
      <c r="A6" s="205" t="s">
        <v>61</v>
      </c>
      <c r="B6" s="188">
        <v>10</v>
      </c>
      <c r="C6" s="99" t="s">
        <v>139</v>
      </c>
      <c r="D6" s="100">
        <v>30</v>
      </c>
      <c r="E6" s="210">
        <f>SUM(D6:D14)</f>
        <v>485</v>
      </c>
      <c r="F6" s="108" t="s">
        <v>159</v>
      </c>
      <c r="G6" s="103"/>
    </row>
    <row r="7" spans="1:8" s="96" customFormat="1" ht="31.5" x14ac:dyDescent="0.25">
      <c r="A7" s="197"/>
      <c r="B7" s="189"/>
      <c r="C7" s="99" t="s">
        <v>62</v>
      </c>
      <c r="D7" s="100">
        <v>40</v>
      </c>
      <c r="E7" s="200"/>
      <c r="F7" s="101" t="s">
        <v>381</v>
      </c>
      <c r="G7" s="103"/>
    </row>
    <row r="8" spans="1:8" s="96" customFormat="1" x14ac:dyDescent="0.25">
      <c r="A8" s="197"/>
      <c r="B8" s="189"/>
      <c r="C8" s="99" t="s">
        <v>63</v>
      </c>
      <c r="D8" s="100">
        <v>40</v>
      </c>
      <c r="E8" s="200"/>
      <c r="F8" s="101" t="s">
        <v>382</v>
      </c>
      <c r="G8" s="103"/>
    </row>
    <row r="9" spans="1:8" s="96" customFormat="1" x14ac:dyDescent="0.25">
      <c r="A9" s="197"/>
      <c r="B9" s="189"/>
      <c r="C9" s="99" t="s">
        <v>64</v>
      </c>
      <c r="D9" s="100">
        <v>0</v>
      </c>
      <c r="E9" s="200"/>
      <c r="F9" s="101" t="s">
        <v>384</v>
      </c>
      <c r="G9" s="103" t="s">
        <v>383</v>
      </c>
    </row>
    <row r="10" spans="1:8" s="96" customFormat="1" ht="47.25" x14ac:dyDescent="0.25">
      <c r="A10" s="197"/>
      <c r="B10" s="189"/>
      <c r="C10" s="99" t="s">
        <v>141</v>
      </c>
      <c r="D10" s="100">
        <v>80</v>
      </c>
      <c r="E10" s="200"/>
      <c r="F10" s="101" t="s">
        <v>386</v>
      </c>
      <c r="G10" s="103" t="s">
        <v>385</v>
      </c>
    </row>
    <row r="11" spans="1:8" s="96" customFormat="1" ht="31.5" x14ac:dyDescent="0.25">
      <c r="A11" s="197"/>
      <c r="B11" s="189"/>
      <c r="C11" s="99" t="s">
        <v>65</v>
      </c>
      <c r="D11" s="100">
        <v>220</v>
      </c>
      <c r="E11" s="200"/>
      <c r="F11" s="101" t="s">
        <v>387</v>
      </c>
      <c r="G11" s="98" t="s">
        <v>385</v>
      </c>
    </row>
    <row r="12" spans="1:8" s="96" customFormat="1" ht="31.5" x14ac:dyDescent="0.25">
      <c r="A12" s="197"/>
      <c r="B12" s="189"/>
      <c r="C12" s="99" t="s">
        <v>53</v>
      </c>
      <c r="D12" s="100">
        <v>0</v>
      </c>
      <c r="E12" s="200"/>
      <c r="F12" s="101" t="s">
        <v>388</v>
      </c>
      <c r="G12" s="103" t="s">
        <v>354</v>
      </c>
    </row>
    <row r="13" spans="1:8" s="96" customFormat="1" x14ac:dyDescent="0.25">
      <c r="A13" s="197"/>
      <c r="B13" s="189"/>
      <c r="C13" s="99" t="s">
        <v>52</v>
      </c>
      <c r="D13" s="100">
        <v>50</v>
      </c>
      <c r="E13" s="200"/>
      <c r="F13" s="99" t="s">
        <v>401</v>
      </c>
      <c r="G13" s="102" t="s">
        <v>389</v>
      </c>
    </row>
    <row r="14" spans="1:8" s="96" customFormat="1" x14ac:dyDescent="0.25">
      <c r="A14" s="198"/>
      <c r="B14" s="199"/>
      <c r="C14" s="97" t="s">
        <v>56</v>
      </c>
      <c r="D14" s="100">
        <v>25</v>
      </c>
      <c r="E14" s="201"/>
      <c r="F14" s="101" t="s">
        <v>390</v>
      </c>
      <c r="G14" s="102" t="s">
        <v>342</v>
      </c>
    </row>
    <row r="15" spans="1:8" ht="18.75" x14ac:dyDescent="0.25">
      <c r="A15" s="174" t="s">
        <v>69</v>
      </c>
      <c r="B15" s="174"/>
      <c r="C15" s="174"/>
      <c r="D15" s="174"/>
      <c r="E15" s="174"/>
      <c r="F15" s="174"/>
      <c r="G15" s="174"/>
    </row>
    <row r="16" spans="1:8" s="96" customFormat="1" x14ac:dyDescent="0.25">
      <c r="A16" s="205" t="s">
        <v>61</v>
      </c>
      <c r="B16" s="188">
        <v>11</v>
      </c>
      <c r="C16" s="99" t="s">
        <v>70</v>
      </c>
      <c r="D16" s="100">
        <v>300</v>
      </c>
      <c r="E16" s="210">
        <f>SUM(D16:D26)</f>
        <v>683.5</v>
      </c>
      <c r="F16" s="101" t="s">
        <v>149</v>
      </c>
      <c r="G16" s="103"/>
    </row>
    <row r="17" spans="1:7" s="96" customFormat="1" x14ac:dyDescent="0.25">
      <c r="A17" s="197"/>
      <c r="B17" s="189"/>
      <c r="C17" s="99" t="s">
        <v>71</v>
      </c>
      <c r="D17" s="100">
        <v>2</v>
      </c>
      <c r="E17" s="200"/>
      <c r="F17" s="101" t="s">
        <v>376</v>
      </c>
      <c r="G17" s="103" t="s">
        <v>375</v>
      </c>
    </row>
    <row r="18" spans="1:7" s="96" customFormat="1" x14ac:dyDescent="0.25">
      <c r="A18" s="197"/>
      <c r="B18" s="189"/>
      <c r="C18" s="99" t="s">
        <v>72</v>
      </c>
      <c r="D18" s="100">
        <v>20</v>
      </c>
      <c r="E18" s="200"/>
      <c r="F18" s="101" t="s">
        <v>380</v>
      </c>
      <c r="G18" s="103" t="s">
        <v>379</v>
      </c>
    </row>
    <row r="19" spans="1:7" s="96" customFormat="1" x14ac:dyDescent="0.25">
      <c r="A19" s="197"/>
      <c r="B19" s="189"/>
      <c r="C19" s="99" t="s">
        <v>71</v>
      </c>
      <c r="D19" s="100">
        <v>3</v>
      </c>
      <c r="E19" s="200"/>
      <c r="F19" s="101" t="s">
        <v>368</v>
      </c>
      <c r="G19" s="103" t="s">
        <v>325</v>
      </c>
    </row>
    <row r="20" spans="1:7" s="96" customFormat="1" ht="31.5" x14ac:dyDescent="0.25">
      <c r="A20" s="197"/>
      <c r="B20" s="189"/>
      <c r="C20" s="99" t="s">
        <v>48</v>
      </c>
      <c r="D20" s="100">
        <v>1.5</v>
      </c>
      <c r="E20" s="200"/>
      <c r="F20" s="101" t="s">
        <v>370</v>
      </c>
      <c r="G20" s="103" t="s">
        <v>369</v>
      </c>
    </row>
    <row r="21" spans="1:7" s="96" customFormat="1" x14ac:dyDescent="0.25">
      <c r="A21" s="197"/>
      <c r="B21" s="189"/>
      <c r="C21" s="99" t="s">
        <v>71</v>
      </c>
      <c r="D21" s="100">
        <v>3</v>
      </c>
      <c r="E21" s="200"/>
      <c r="F21" s="101" t="s">
        <v>368</v>
      </c>
      <c r="G21" s="103" t="s">
        <v>325</v>
      </c>
    </row>
    <row r="22" spans="1:7" s="96" customFormat="1" ht="31.5" x14ac:dyDescent="0.25">
      <c r="A22" s="197"/>
      <c r="B22" s="189"/>
      <c r="C22" s="99" t="s">
        <v>73</v>
      </c>
      <c r="D22" s="100">
        <v>200</v>
      </c>
      <c r="E22" s="200"/>
      <c r="F22" s="101" t="s">
        <v>378</v>
      </c>
      <c r="G22" s="103" t="s">
        <v>377</v>
      </c>
    </row>
    <row r="23" spans="1:7" s="96" customFormat="1" ht="31.5" x14ac:dyDescent="0.25">
      <c r="A23" s="197"/>
      <c r="B23" s="189"/>
      <c r="C23" s="99" t="s">
        <v>74</v>
      </c>
      <c r="D23" s="100">
        <v>150</v>
      </c>
      <c r="E23" s="200"/>
      <c r="F23" s="101" t="s">
        <v>374</v>
      </c>
      <c r="G23" s="103" t="s">
        <v>372</v>
      </c>
    </row>
    <row r="24" spans="1:7" s="96" customFormat="1" x14ac:dyDescent="0.25">
      <c r="A24" s="197"/>
      <c r="B24" s="189"/>
      <c r="C24" s="99" t="s">
        <v>53</v>
      </c>
      <c r="D24" s="100">
        <v>4</v>
      </c>
      <c r="E24" s="200"/>
      <c r="F24" s="101" t="s">
        <v>81</v>
      </c>
      <c r="G24" s="103" t="s">
        <v>371</v>
      </c>
    </row>
    <row r="25" spans="1:7" s="96" customFormat="1" x14ac:dyDescent="0.25">
      <c r="A25" s="197"/>
      <c r="B25" s="189"/>
      <c r="C25" s="99" t="s">
        <v>76</v>
      </c>
      <c r="D25" s="100">
        <v>0</v>
      </c>
      <c r="E25" s="200"/>
      <c r="F25" s="101" t="s">
        <v>373</v>
      </c>
      <c r="G25" s="103" t="s">
        <v>328</v>
      </c>
    </row>
    <row r="26" spans="1:7" s="96" customFormat="1" x14ac:dyDescent="0.25">
      <c r="A26" s="198"/>
      <c r="B26" s="199"/>
      <c r="C26" s="128" t="s">
        <v>75</v>
      </c>
      <c r="D26" s="100"/>
      <c r="E26" s="201"/>
      <c r="F26" s="72" t="s">
        <v>103</v>
      </c>
      <c r="G26" s="103"/>
    </row>
    <row r="27" spans="1:7" ht="18.75" x14ac:dyDescent="0.25">
      <c r="A27" s="174" t="s">
        <v>77</v>
      </c>
      <c r="B27" s="174"/>
      <c r="C27" s="174"/>
      <c r="D27" s="174"/>
      <c r="E27" s="174"/>
      <c r="F27" s="174"/>
      <c r="G27" s="174"/>
    </row>
    <row r="28" spans="1:7" s="96" customFormat="1" x14ac:dyDescent="0.25">
      <c r="A28" s="197" t="s">
        <v>61</v>
      </c>
      <c r="B28" s="189">
        <v>12</v>
      </c>
      <c r="C28" s="99" t="s">
        <v>78</v>
      </c>
      <c r="D28" s="100">
        <v>218.5</v>
      </c>
      <c r="E28" s="200">
        <f>SUM(D28:D35)</f>
        <v>380</v>
      </c>
      <c r="F28" s="108" t="s">
        <v>159</v>
      </c>
      <c r="G28" s="103"/>
    </row>
    <row r="29" spans="1:7" s="96" customFormat="1" x14ac:dyDescent="0.25">
      <c r="A29" s="197"/>
      <c r="B29" s="189"/>
      <c r="C29" s="73" t="s">
        <v>71</v>
      </c>
      <c r="D29" s="75">
        <v>3</v>
      </c>
      <c r="E29" s="200"/>
      <c r="F29" s="101" t="s">
        <v>368</v>
      </c>
      <c r="G29" s="103" t="s">
        <v>325</v>
      </c>
    </row>
    <row r="30" spans="1:7" s="96" customFormat="1" ht="31.5" x14ac:dyDescent="0.25">
      <c r="A30" s="197"/>
      <c r="B30" s="189"/>
      <c r="C30" s="99" t="s">
        <v>48</v>
      </c>
      <c r="D30" s="100">
        <v>1.5</v>
      </c>
      <c r="E30" s="200"/>
      <c r="F30" s="101" t="s">
        <v>370</v>
      </c>
      <c r="G30" s="103" t="s">
        <v>369</v>
      </c>
    </row>
    <row r="31" spans="1:7" s="96" customFormat="1" x14ac:dyDescent="0.25">
      <c r="A31" s="197"/>
      <c r="B31" s="189"/>
      <c r="C31" s="99" t="s">
        <v>71</v>
      </c>
      <c r="D31" s="100">
        <v>3</v>
      </c>
      <c r="E31" s="200"/>
      <c r="F31" s="101" t="s">
        <v>368</v>
      </c>
      <c r="G31" s="103" t="s">
        <v>325</v>
      </c>
    </row>
    <row r="32" spans="1:7" s="96" customFormat="1" ht="31.5" x14ac:dyDescent="0.25">
      <c r="A32" s="197"/>
      <c r="B32" s="189"/>
      <c r="C32" s="99" t="s">
        <v>74</v>
      </c>
      <c r="D32" s="100">
        <v>150</v>
      </c>
      <c r="E32" s="200"/>
      <c r="F32" s="101" t="s">
        <v>374</v>
      </c>
      <c r="G32" s="103" t="s">
        <v>372</v>
      </c>
    </row>
    <row r="33" spans="1:7" s="96" customFormat="1" x14ac:dyDescent="0.25">
      <c r="A33" s="197"/>
      <c r="B33" s="189"/>
      <c r="C33" s="99" t="s">
        <v>53</v>
      </c>
      <c r="D33" s="100">
        <v>4</v>
      </c>
      <c r="E33" s="200"/>
      <c r="F33" s="101" t="s">
        <v>81</v>
      </c>
      <c r="G33" s="103" t="s">
        <v>371</v>
      </c>
    </row>
    <row r="34" spans="1:7" s="96" customFormat="1" x14ac:dyDescent="0.25">
      <c r="A34" s="197"/>
      <c r="B34" s="189"/>
      <c r="C34" s="99" t="s">
        <v>76</v>
      </c>
      <c r="D34" s="100">
        <v>0</v>
      </c>
      <c r="E34" s="200"/>
      <c r="F34" s="101" t="s">
        <v>373</v>
      </c>
      <c r="G34" s="103" t="s">
        <v>328</v>
      </c>
    </row>
    <row r="35" spans="1:7" s="96" customFormat="1" x14ac:dyDescent="0.25">
      <c r="A35" s="198"/>
      <c r="B35" s="199"/>
      <c r="C35" s="128" t="s">
        <v>75</v>
      </c>
      <c r="D35" s="100"/>
      <c r="E35" s="201"/>
      <c r="F35" s="72" t="s">
        <v>103</v>
      </c>
      <c r="G35" s="103"/>
    </row>
    <row r="36" spans="1:7" ht="18.75" x14ac:dyDescent="0.25">
      <c r="A36" s="174" t="s">
        <v>126</v>
      </c>
      <c r="B36" s="174"/>
      <c r="C36" s="174"/>
      <c r="D36" s="174"/>
      <c r="E36" s="174"/>
      <c r="F36" s="174"/>
      <c r="G36" s="174"/>
    </row>
    <row r="37" spans="1:7" s="96" customFormat="1" x14ac:dyDescent="0.25">
      <c r="A37" s="197" t="s">
        <v>61</v>
      </c>
      <c r="B37" s="189">
        <v>13</v>
      </c>
      <c r="C37" s="99" t="s">
        <v>106</v>
      </c>
      <c r="D37" s="100">
        <v>60</v>
      </c>
      <c r="E37" s="200">
        <f>SUM(D37:D46)</f>
        <v>430</v>
      </c>
      <c r="F37" s="72" t="s">
        <v>108</v>
      </c>
      <c r="G37" s="103"/>
    </row>
    <row r="38" spans="1:7" s="96" customFormat="1" x14ac:dyDescent="0.25">
      <c r="A38" s="197"/>
      <c r="B38" s="189"/>
      <c r="C38" s="99" t="s">
        <v>215</v>
      </c>
      <c r="D38" s="100">
        <v>118.5</v>
      </c>
      <c r="E38" s="200"/>
      <c r="F38" s="72" t="s">
        <v>108</v>
      </c>
      <c r="G38" s="103"/>
    </row>
    <row r="39" spans="1:7" s="96" customFormat="1" x14ac:dyDescent="0.25">
      <c r="A39" s="197"/>
      <c r="B39" s="189"/>
      <c r="C39" s="73" t="s">
        <v>71</v>
      </c>
      <c r="D39" s="75">
        <v>3</v>
      </c>
      <c r="E39" s="200"/>
      <c r="F39" s="101" t="s">
        <v>368</v>
      </c>
      <c r="G39" s="103" t="s">
        <v>325</v>
      </c>
    </row>
    <row r="40" spans="1:7" s="96" customFormat="1" ht="31.5" x14ac:dyDescent="0.25">
      <c r="A40" s="197"/>
      <c r="B40" s="189"/>
      <c r="C40" s="99" t="s">
        <v>48</v>
      </c>
      <c r="D40" s="100">
        <v>1.5</v>
      </c>
      <c r="E40" s="200"/>
      <c r="F40" s="101" t="s">
        <v>370</v>
      </c>
      <c r="G40" s="103" t="s">
        <v>369</v>
      </c>
    </row>
    <row r="41" spans="1:7" s="96" customFormat="1" x14ac:dyDescent="0.25">
      <c r="A41" s="197"/>
      <c r="B41" s="189"/>
      <c r="C41" s="99" t="s">
        <v>71</v>
      </c>
      <c r="D41" s="100">
        <v>3</v>
      </c>
      <c r="E41" s="200"/>
      <c r="F41" s="101" t="s">
        <v>368</v>
      </c>
      <c r="G41" s="103" t="s">
        <v>325</v>
      </c>
    </row>
    <row r="42" spans="1:7" s="96" customFormat="1" ht="31.5" x14ac:dyDescent="0.25">
      <c r="A42" s="197"/>
      <c r="B42" s="189"/>
      <c r="C42" s="99" t="s">
        <v>73</v>
      </c>
      <c r="D42" s="100">
        <v>100</v>
      </c>
      <c r="E42" s="200"/>
      <c r="F42" s="101" t="s">
        <v>393</v>
      </c>
      <c r="G42" s="103" t="s">
        <v>391</v>
      </c>
    </row>
    <row r="43" spans="1:7" s="96" customFormat="1" ht="31.5" x14ac:dyDescent="0.25">
      <c r="A43" s="197"/>
      <c r="B43" s="189"/>
      <c r="C43" s="99" t="s">
        <v>74</v>
      </c>
      <c r="D43" s="100">
        <v>140</v>
      </c>
      <c r="E43" s="200"/>
      <c r="F43" s="101" t="s">
        <v>392</v>
      </c>
      <c r="G43" s="103" t="s">
        <v>372</v>
      </c>
    </row>
    <row r="44" spans="1:7" s="96" customFormat="1" x14ac:dyDescent="0.25">
      <c r="A44" s="197"/>
      <c r="B44" s="189"/>
      <c r="C44" s="99" t="s">
        <v>53</v>
      </c>
      <c r="D44" s="100">
        <v>4</v>
      </c>
      <c r="E44" s="200"/>
      <c r="F44" s="101" t="s">
        <v>81</v>
      </c>
      <c r="G44" s="103" t="s">
        <v>371</v>
      </c>
    </row>
    <row r="45" spans="1:7" s="96" customFormat="1" x14ac:dyDescent="0.25">
      <c r="A45" s="197"/>
      <c r="B45" s="189"/>
      <c r="C45" s="99" t="s">
        <v>76</v>
      </c>
      <c r="D45" s="100">
        <v>0</v>
      </c>
      <c r="E45" s="200"/>
      <c r="F45" s="101" t="s">
        <v>373</v>
      </c>
      <c r="G45" s="103" t="s">
        <v>328</v>
      </c>
    </row>
    <row r="46" spans="1:7" s="96" customFormat="1" x14ac:dyDescent="0.25">
      <c r="A46" s="198"/>
      <c r="B46" s="199"/>
      <c r="C46" s="128" t="s">
        <v>75</v>
      </c>
      <c r="D46" s="100"/>
      <c r="E46" s="201"/>
      <c r="F46" s="72" t="s">
        <v>103</v>
      </c>
      <c r="G46" s="103"/>
    </row>
    <row r="47" spans="1:7" ht="18.75" x14ac:dyDescent="0.25">
      <c r="A47" s="174" t="s">
        <v>151</v>
      </c>
      <c r="B47" s="174"/>
      <c r="C47" s="174"/>
      <c r="D47" s="174"/>
      <c r="E47" s="174"/>
      <c r="F47" s="174"/>
      <c r="G47" s="174"/>
    </row>
    <row r="48" spans="1:7" s="96" customFormat="1" x14ac:dyDescent="0.25">
      <c r="A48" s="211" t="s">
        <v>61</v>
      </c>
      <c r="B48" s="213">
        <v>14</v>
      </c>
      <c r="C48" s="73" t="s">
        <v>106</v>
      </c>
      <c r="D48" s="75">
        <v>60</v>
      </c>
      <c r="E48" s="215">
        <f>SUM(D48:D59)</f>
        <v>586</v>
      </c>
      <c r="F48" s="76" t="s">
        <v>108</v>
      </c>
      <c r="G48" s="103"/>
    </row>
    <row r="49" spans="1:8" s="96" customFormat="1" x14ac:dyDescent="0.25">
      <c r="A49" s="211"/>
      <c r="B49" s="213"/>
      <c r="C49" s="73" t="s">
        <v>152</v>
      </c>
      <c r="D49" s="75">
        <v>340</v>
      </c>
      <c r="E49" s="215"/>
      <c r="F49" s="76" t="s">
        <v>193</v>
      </c>
      <c r="G49" s="103"/>
    </row>
    <row r="50" spans="1:8" s="96" customFormat="1" x14ac:dyDescent="0.25">
      <c r="A50" s="211"/>
      <c r="B50" s="213"/>
      <c r="C50" s="73" t="s">
        <v>71</v>
      </c>
      <c r="D50" s="75">
        <v>2</v>
      </c>
      <c r="E50" s="215"/>
      <c r="F50" s="101" t="s">
        <v>376</v>
      </c>
      <c r="G50" s="103" t="s">
        <v>375</v>
      </c>
    </row>
    <row r="51" spans="1:8" s="96" customFormat="1" x14ac:dyDescent="0.25">
      <c r="A51" s="211"/>
      <c r="B51" s="213"/>
      <c r="C51" s="73" t="s">
        <v>150</v>
      </c>
      <c r="D51" s="75">
        <v>20</v>
      </c>
      <c r="E51" s="215"/>
      <c r="F51" s="101" t="s">
        <v>380</v>
      </c>
      <c r="G51" s="103" t="s">
        <v>379</v>
      </c>
    </row>
    <row r="52" spans="1:8" s="96" customFormat="1" x14ac:dyDescent="0.25">
      <c r="A52" s="211"/>
      <c r="B52" s="213"/>
      <c r="C52" s="73" t="s">
        <v>71</v>
      </c>
      <c r="D52" s="75">
        <v>3</v>
      </c>
      <c r="E52" s="215"/>
      <c r="F52" s="101" t="s">
        <v>368</v>
      </c>
      <c r="G52" s="103" t="s">
        <v>325</v>
      </c>
    </row>
    <row r="53" spans="1:8" s="96" customFormat="1" ht="31.5" x14ac:dyDescent="0.25">
      <c r="A53" s="211"/>
      <c r="B53" s="213"/>
      <c r="C53" s="99" t="s">
        <v>48</v>
      </c>
      <c r="D53" s="100">
        <v>4</v>
      </c>
      <c r="E53" s="215"/>
      <c r="F53" s="101" t="s">
        <v>370</v>
      </c>
      <c r="G53" s="103" t="s">
        <v>369</v>
      </c>
    </row>
    <row r="54" spans="1:8" s="96" customFormat="1" x14ac:dyDescent="0.25">
      <c r="A54" s="211"/>
      <c r="B54" s="213"/>
      <c r="C54" s="99" t="s">
        <v>71</v>
      </c>
      <c r="D54" s="100">
        <v>3</v>
      </c>
      <c r="E54" s="215"/>
      <c r="F54" s="101" t="s">
        <v>368</v>
      </c>
      <c r="G54" s="103" t="s">
        <v>325</v>
      </c>
    </row>
    <row r="55" spans="1:8" s="96" customFormat="1" ht="31.5" x14ac:dyDescent="0.25">
      <c r="A55" s="211"/>
      <c r="B55" s="213"/>
      <c r="C55" s="73" t="s">
        <v>73</v>
      </c>
      <c r="D55" s="75">
        <v>100</v>
      </c>
      <c r="E55" s="215"/>
      <c r="F55" s="101" t="s">
        <v>393</v>
      </c>
      <c r="G55" s="103" t="s">
        <v>391</v>
      </c>
    </row>
    <row r="56" spans="1:8" s="96" customFormat="1" ht="31.5" x14ac:dyDescent="0.25">
      <c r="A56" s="211"/>
      <c r="B56" s="213"/>
      <c r="C56" s="73" t="s">
        <v>107</v>
      </c>
      <c r="D56" s="75">
        <v>50</v>
      </c>
      <c r="E56" s="215"/>
      <c r="F56" s="101" t="s">
        <v>394</v>
      </c>
      <c r="G56" s="103" t="s">
        <v>372</v>
      </c>
    </row>
    <row r="57" spans="1:8" s="96" customFormat="1" x14ac:dyDescent="0.25">
      <c r="A57" s="211"/>
      <c r="B57" s="213"/>
      <c r="C57" s="99" t="s">
        <v>53</v>
      </c>
      <c r="D57" s="100">
        <v>4</v>
      </c>
      <c r="E57" s="215"/>
      <c r="F57" s="101" t="s">
        <v>81</v>
      </c>
      <c r="G57" s="103" t="s">
        <v>371</v>
      </c>
    </row>
    <row r="58" spans="1:8" s="96" customFormat="1" x14ac:dyDescent="0.25">
      <c r="A58" s="211"/>
      <c r="B58" s="213"/>
      <c r="C58" s="99" t="s">
        <v>76</v>
      </c>
      <c r="D58" s="100">
        <v>0</v>
      </c>
      <c r="E58" s="215"/>
      <c r="F58" s="101" t="s">
        <v>373</v>
      </c>
      <c r="G58" s="103" t="s">
        <v>328</v>
      </c>
    </row>
    <row r="59" spans="1:8" s="96" customFormat="1" x14ac:dyDescent="0.25">
      <c r="A59" s="212"/>
      <c r="B59" s="214"/>
      <c r="C59" s="128" t="s">
        <v>75</v>
      </c>
      <c r="D59" s="75"/>
      <c r="E59" s="216"/>
      <c r="F59" s="76" t="s">
        <v>103</v>
      </c>
      <c r="G59" s="103"/>
    </row>
    <row r="60" spans="1:8" ht="18.75" x14ac:dyDescent="0.25">
      <c r="A60" s="174" t="s">
        <v>79</v>
      </c>
      <c r="B60" s="174"/>
      <c r="C60" s="174"/>
      <c r="D60" s="174"/>
      <c r="E60" s="174"/>
      <c r="F60" s="174"/>
      <c r="G60" s="174"/>
      <c r="H60" s="67"/>
    </row>
    <row r="61" spans="1:8" s="96" customFormat="1" x14ac:dyDescent="0.25">
      <c r="A61" s="197" t="s">
        <v>61</v>
      </c>
      <c r="B61" s="189">
        <v>20</v>
      </c>
      <c r="C61" s="99" t="s">
        <v>78</v>
      </c>
      <c r="D61" s="100">
        <v>47</v>
      </c>
      <c r="E61" s="200">
        <f>SUM(D61:D69)</f>
        <v>220</v>
      </c>
      <c r="F61" s="108" t="s">
        <v>159</v>
      </c>
      <c r="G61" s="103"/>
    </row>
    <row r="62" spans="1:8" s="96" customFormat="1" x14ac:dyDescent="0.25">
      <c r="A62" s="197"/>
      <c r="B62" s="189"/>
      <c r="C62" s="73" t="s">
        <v>71</v>
      </c>
      <c r="D62" s="75">
        <v>2</v>
      </c>
      <c r="E62" s="200"/>
      <c r="F62" s="101" t="s">
        <v>376</v>
      </c>
      <c r="G62" s="103" t="s">
        <v>375</v>
      </c>
    </row>
    <row r="63" spans="1:8" s="96" customFormat="1" ht="31.5" x14ac:dyDescent="0.25">
      <c r="A63" s="197"/>
      <c r="B63" s="189"/>
      <c r="C63" s="99" t="s">
        <v>48</v>
      </c>
      <c r="D63" s="100">
        <v>4</v>
      </c>
      <c r="E63" s="200"/>
      <c r="F63" s="101" t="s">
        <v>370</v>
      </c>
      <c r="G63" s="103" t="s">
        <v>369</v>
      </c>
    </row>
    <row r="64" spans="1:8" s="96" customFormat="1" x14ac:dyDescent="0.25">
      <c r="A64" s="197"/>
      <c r="B64" s="189"/>
      <c r="C64" s="99" t="s">
        <v>71</v>
      </c>
      <c r="D64" s="100">
        <v>3</v>
      </c>
      <c r="E64" s="200"/>
      <c r="F64" s="101" t="s">
        <v>368</v>
      </c>
      <c r="G64" s="103" t="s">
        <v>325</v>
      </c>
    </row>
    <row r="65" spans="1:8" s="96" customFormat="1" ht="31.5" x14ac:dyDescent="0.25">
      <c r="A65" s="197"/>
      <c r="B65" s="189"/>
      <c r="C65" s="99" t="s">
        <v>73</v>
      </c>
      <c r="D65" s="100">
        <v>120</v>
      </c>
      <c r="E65" s="200"/>
      <c r="F65" s="101" t="s">
        <v>393</v>
      </c>
      <c r="G65" s="103" t="s">
        <v>391</v>
      </c>
    </row>
    <row r="66" spans="1:8" s="96" customFormat="1" ht="31.5" x14ac:dyDescent="0.25">
      <c r="A66" s="197"/>
      <c r="B66" s="189"/>
      <c r="C66" s="99" t="s">
        <v>74</v>
      </c>
      <c r="D66" s="100">
        <v>40</v>
      </c>
      <c r="E66" s="200"/>
      <c r="F66" s="101" t="s">
        <v>395</v>
      </c>
      <c r="G66" s="103" t="s">
        <v>372</v>
      </c>
    </row>
    <row r="67" spans="1:8" s="96" customFormat="1" x14ac:dyDescent="0.25">
      <c r="A67" s="197"/>
      <c r="B67" s="189"/>
      <c r="C67" s="99" t="s">
        <v>53</v>
      </c>
      <c r="D67" s="100">
        <v>4</v>
      </c>
      <c r="E67" s="200"/>
      <c r="F67" s="101" t="s">
        <v>81</v>
      </c>
      <c r="G67" s="103" t="s">
        <v>371</v>
      </c>
    </row>
    <row r="68" spans="1:8" s="96" customFormat="1" x14ac:dyDescent="0.25">
      <c r="A68" s="197"/>
      <c r="B68" s="189"/>
      <c r="C68" s="99" t="s">
        <v>76</v>
      </c>
      <c r="D68" s="100">
        <v>0</v>
      </c>
      <c r="E68" s="200"/>
      <c r="F68" s="101" t="s">
        <v>373</v>
      </c>
      <c r="G68" s="103" t="s">
        <v>328</v>
      </c>
    </row>
    <row r="69" spans="1:8" s="96" customFormat="1" x14ac:dyDescent="0.25">
      <c r="A69" s="198"/>
      <c r="B69" s="199"/>
      <c r="C69" s="128" t="s">
        <v>75</v>
      </c>
      <c r="D69" s="100"/>
      <c r="E69" s="201"/>
      <c r="F69" s="72" t="s">
        <v>103</v>
      </c>
      <c r="G69" s="103"/>
    </row>
    <row r="70" spans="1:8" ht="18.75" x14ac:dyDescent="0.25">
      <c r="A70" s="174" t="s">
        <v>113</v>
      </c>
      <c r="B70" s="174"/>
      <c r="C70" s="174"/>
      <c r="D70" s="174"/>
      <c r="E70" s="174"/>
      <c r="F70" s="174"/>
      <c r="G70" s="174"/>
    </row>
    <row r="71" spans="1:8" s="96" customFormat="1" x14ac:dyDescent="0.25">
      <c r="A71" s="197" t="s">
        <v>61</v>
      </c>
      <c r="B71" s="189">
        <v>21</v>
      </c>
      <c r="C71" s="99" t="s">
        <v>48</v>
      </c>
      <c r="D71" s="100">
        <v>2</v>
      </c>
      <c r="E71" s="200">
        <f>SUM(D71:D77)</f>
        <v>206</v>
      </c>
      <c r="F71" s="101" t="s">
        <v>396</v>
      </c>
      <c r="G71" s="103" t="s">
        <v>397</v>
      </c>
    </row>
    <row r="72" spans="1:8" s="96" customFormat="1" x14ac:dyDescent="0.25">
      <c r="A72" s="197"/>
      <c r="B72" s="189"/>
      <c r="C72" s="99" t="s">
        <v>71</v>
      </c>
      <c r="D72" s="100" t="s">
        <v>114</v>
      </c>
      <c r="E72" s="200"/>
      <c r="F72" s="101" t="s">
        <v>368</v>
      </c>
      <c r="G72" s="103" t="s">
        <v>325</v>
      </c>
    </row>
    <row r="73" spans="1:8" s="96" customFormat="1" ht="31.5" x14ac:dyDescent="0.25">
      <c r="A73" s="197"/>
      <c r="B73" s="189"/>
      <c r="C73" s="99" t="s">
        <v>73</v>
      </c>
      <c r="D73" s="100">
        <v>100</v>
      </c>
      <c r="E73" s="200"/>
      <c r="F73" s="101" t="s">
        <v>393</v>
      </c>
      <c r="G73" s="103" t="s">
        <v>391</v>
      </c>
    </row>
    <row r="74" spans="1:8" s="96" customFormat="1" ht="31.5" x14ac:dyDescent="0.25">
      <c r="A74" s="197"/>
      <c r="B74" s="189"/>
      <c r="C74" s="99" t="s">
        <v>74</v>
      </c>
      <c r="D74" s="100">
        <v>100</v>
      </c>
      <c r="E74" s="200"/>
      <c r="F74" s="101" t="s">
        <v>395</v>
      </c>
      <c r="G74" s="103" t="s">
        <v>372</v>
      </c>
    </row>
    <row r="75" spans="1:8" s="96" customFormat="1" x14ac:dyDescent="0.25">
      <c r="A75" s="197"/>
      <c r="B75" s="189"/>
      <c r="C75" s="99" t="s">
        <v>53</v>
      </c>
      <c r="D75" s="100">
        <v>4</v>
      </c>
      <c r="E75" s="200"/>
      <c r="F75" s="101" t="s">
        <v>81</v>
      </c>
      <c r="G75" s="103" t="s">
        <v>371</v>
      </c>
    </row>
    <row r="76" spans="1:8" s="96" customFormat="1" x14ac:dyDescent="0.25">
      <c r="A76" s="197"/>
      <c r="B76" s="189"/>
      <c r="C76" s="99" t="s">
        <v>76</v>
      </c>
      <c r="D76" s="100">
        <v>0</v>
      </c>
      <c r="E76" s="200"/>
      <c r="F76" s="101" t="s">
        <v>373</v>
      </c>
      <c r="G76" s="103" t="s">
        <v>328</v>
      </c>
    </row>
    <row r="77" spans="1:8" s="96" customFormat="1" x14ac:dyDescent="0.25">
      <c r="A77" s="198"/>
      <c r="B77" s="199"/>
      <c r="C77" s="128" t="s">
        <v>75</v>
      </c>
      <c r="D77" s="100"/>
      <c r="E77" s="201"/>
      <c r="F77" s="134" t="s">
        <v>103</v>
      </c>
      <c r="G77" s="103"/>
    </row>
    <row r="78" spans="1:8" ht="18.75" x14ac:dyDescent="0.25">
      <c r="A78" s="174" t="s">
        <v>191</v>
      </c>
      <c r="B78" s="174"/>
      <c r="C78" s="174"/>
      <c r="D78" s="174"/>
      <c r="E78" s="174"/>
      <c r="F78" s="174"/>
      <c r="G78" s="174"/>
      <c r="H78" s="67"/>
    </row>
    <row r="79" spans="1:8" s="96" customFormat="1" x14ac:dyDescent="0.25">
      <c r="A79" s="197" t="s">
        <v>61</v>
      </c>
      <c r="B79" s="189">
        <v>22</v>
      </c>
      <c r="C79" s="99" t="s">
        <v>78</v>
      </c>
      <c r="D79" s="100">
        <v>57</v>
      </c>
      <c r="E79" s="200">
        <f>SUM(D79:D87)</f>
        <v>310</v>
      </c>
      <c r="F79" s="108" t="s">
        <v>159</v>
      </c>
      <c r="G79" s="103"/>
    </row>
    <row r="80" spans="1:8" s="96" customFormat="1" x14ac:dyDescent="0.25">
      <c r="A80" s="197"/>
      <c r="B80" s="189"/>
      <c r="C80" s="73" t="s">
        <v>71</v>
      </c>
      <c r="D80" s="75">
        <v>2</v>
      </c>
      <c r="E80" s="200"/>
      <c r="F80" s="101" t="s">
        <v>376</v>
      </c>
      <c r="G80" s="103" t="s">
        <v>375</v>
      </c>
    </row>
    <row r="81" spans="1:7" s="96" customFormat="1" ht="31.5" x14ac:dyDescent="0.25">
      <c r="A81" s="197"/>
      <c r="B81" s="189"/>
      <c r="C81" s="99" t="s">
        <v>48</v>
      </c>
      <c r="D81" s="100">
        <v>4</v>
      </c>
      <c r="E81" s="200"/>
      <c r="F81" s="101" t="s">
        <v>370</v>
      </c>
      <c r="G81" s="103" t="s">
        <v>369</v>
      </c>
    </row>
    <row r="82" spans="1:7" s="96" customFormat="1" x14ac:dyDescent="0.25">
      <c r="A82" s="197"/>
      <c r="B82" s="189"/>
      <c r="C82" s="99" t="s">
        <v>71</v>
      </c>
      <c r="D82" s="100">
        <v>3</v>
      </c>
      <c r="E82" s="200"/>
      <c r="F82" s="101" t="s">
        <v>368</v>
      </c>
      <c r="G82" s="103" t="s">
        <v>325</v>
      </c>
    </row>
    <row r="83" spans="1:7" s="96" customFormat="1" x14ac:dyDescent="0.25">
      <c r="A83" s="197"/>
      <c r="B83" s="189"/>
      <c r="C83" s="99" t="s">
        <v>73</v>
      </c>
      <c r="D83" s="100">
        <v>160</v>
      </c>
      <c r="E83" s="200"/>
      <c r="F83" s="101" t="s">
        <v>405</v>
      </c>
      <c r="G83" s="103" t="s">
        <v>406</v>
      </c>
    </row>
    <row r="84" spans="1:7" s="96" customFormat="1" ht="31.5" x14ac:dyDescent="0.25">
      <c r="A84" s="197"/>
      <c r="B84" s="189"/>
      <c r="C84" s="99" t="s">
        <v>74</v>
      </c>
      <c r="D84" s="100">
        <v>80</v>
      </c>
      <c r="E84" s="200"/>
      <c r="F84" s="101" t="s">
        <v>403</v>
      </c>
      <c r="G84" s="103" t="s">
        <v>404</v>
      </c>
    </row>
    <row r="85" spans="1:7" s="96" customFormat="1" x14ac:dyDescent="0.25">
      <c r="A85" s="197"/>
      <c r="B85" s="189"/>
      <c r="C85" s="99" t="s">
        <v>53</v>
      </c>
      <c r="D85" s="100">
        <v>4</v>
      </c>
      <c r="E85" s="200"/>
      <c r="F85" s="101" t="s">
        <v>81</v>
      </c>
      <c r="G85" s="103" t="s">
        <v>371</v>
      </c>
    </row>
    <row r="86" spans="1:7" s="96" customFormat="1" x14ac:dyDescent="0.25">
      <c r="A86" s="197"/>
      <c r="B86" s="189"/>
      <c r="C86" s="99" t="s">
        <v>76</v>
      </c>
      <c r="D86" s="100">
        <v>0</v>
      </c>
      <c r="E86" s="200"/>
      <c r="F86" s="101" t="s">
        <v>373</v>
      </c>
      <c r="G86" s="103" t="s">
        <v>328</v>
      </c>
    </row>
    <row r="87" spans="1:7" s="96" customFormat="1" x14ac:dyDescent="0.25">
      <c r="A87" s="198"/>
      <c r="B87" s="199"/>
      <c r="C87" s="130" t="s">
        <v>75</v>
      </c>
      <c r="D87" s="100"/>
      <c r="E87" s="201"/>
      <c r="F87" s="134" t="s">
        <v>103</v>
      </c>
      <c r="G87" s="103"/>
    </row>
    <row r="88" spans="1:7" ht="18.75" x14ac:dyDescent="0.25">
      <c r="A88" s="174" t="s">
        <v>409</v>
      </c>
      <c r="B88" s="174"/>
      <c r="C88" s="174"/>
      <c r="D88" s="174"/>
      <c r="E88" s="174"/>
      <c r="F88" s="174"/>
      <c r="G88" s="174"/>
    </row>
    <row r="89" spans="1:7" s="96" customFormat="1" x14ac:dyDescent="0.25">
      <c r="A89" s="197" t="s">
        <v>61</v>
      </c>
      <c r="B89" s="189">
        <v>30</v>
      </c>
      <c r="C89" s="99" t="s">
        <v>78</v>
      </c>
      <c r="D89" s="100">
        <v>101</v>
      </c>
      <c r="E89" s="200">
        <f>SUM(D89:D93)</f>
        <v>854</v>
      </c>
      <c r="F89" s="108" t="s">
        <v>159</v>
      </c>
      <c r="G89" s="103"/>
    </row>
    <row r="90" spans="1:7" s="96" customFormat="1" x14ac:dyDescent="0.25">
      <c r="A90" s="197"/>
      <c r="B90" s="189"/>
      <c r="C90" s="73" t="s">
        <v>407</v>
      </c>
      <c r="D90" s="75" t="s">
        <v>114</v>
      </c>
      <c r="E90" s="200"/>
      <c r="F90" s="101" t="s">
        <v>413</v>
      </c>
      <c r="G90" s="103"/>
    </row>
    <row r="91" spans="1:7" s="96" customFormat="1" x14ac:dyDescent="0.25">
      <c r="A91" s="197"/>
      <c r="B91" s="189"/>
      <c r="C91" s="99" t="s">
        <v>412</v>
      </c>
      <c r="D91" s="100">
        <v>150</v>
      </c>
      <c r="E91" s="200"/>
      <c r="F91" s="101" t="s">
        <v>415</v>
      </c>
      <c r="G91" s="103"/>
    </row>
    <row r="92" spans="1:7" s="96" customFormat="1" x14ac:dyDescent="0.25">
      <c r="A92" s="197"/>
      <c r="B92" s="189"/>
      <c r="C92" s="99" t="s">
        <v>71</v>
      </c>
      <c r="D92" s="100">
        <v>3</v>
      </c>
      <c r="E92" s="200"/>
      <c r="F92" s="101" t="s">
        <v>411</v>
      </c>
      <c r="G92" s="103" t="s">
        <v>410</v>
      </c>
    </row>
    <row r="93" spans="1:7" s="96" customFormat="1" ht="31.5" x14ac:dyDescent="0.25">
      <c r="A93" s="197"/>
      <c r="B93" s="189"/>
      <c r="C93" s="99" t="s">
        <v>408</v>
      </c>
      <c r="D93" s="100">
        <v>600</v>
      </c>
      <c r="E93" s="200"/>
      <c r="F93" s="101" t="s">
        <v>414</v>
      </c>
      <c r="G93" s="103"/>
    </row>
  </sheetData>
  <mergeCells count="41">
    <mergeCell ref="A28:A35"/>
    <mergeCell ref="A88:G88"/>
    <mergeCell ref="A89:A93"/>
    <mergeCell ref="B89:B93"/>
    <mergeCell ref="E89:E93"/>
    <mergeCell ref="A36:G36"/>
    <mergeCell ref="A47:G47"/>
    <mergeCell ref="A48:A59"/>
    <mergeCell ref="B48:B59"/>
    <mergeCell ref="E48:E59"/>
    <mergeCell ref="A60:G60"/>
    <mergeCell ref="A61:A69"/>
    <mergeCell ref="B61:B69"/>
    <mergeCell ref="E61:E69"/>
    <mergeCell ref="A37:A46"/>
    <mergeCell ref="B37:B46"/>
    <mergeCell ref="E37:E46"/>
    <mergeCell ref="A78:G78"/>
    <mergeCell ref="A79:A87"/>
    <mergeCell ref="B79:B87"/>
    <mergeCell ref="E79:E87"/>
    <mergeCell ref="A70:G70"/>
    <mergeCell ref="A71:A77"/>
    <mergeCell ref="B71:B77"/>
    <mergeCell ref="E71:E77"/>
    <mergeCell ref="B28:B35"/>
    <mergeCell ref="E28:E35"/>
    <mergeCell ref="A1:B1"/>
    <mergeCell ref="C1:E1"/>
    <mergeCell ref="A2:B2"/>
    <mergeCell ref="C2:E2"/>
    <mergeCell ref="A4:B4"/>
    <mergeCell ref="E6:E14"/>
    <mergeCell ref="A15:G15"/>
    <mergeCell ref="A5:G5"/>
    <mergeCell ref="A6:A14"/>
    <mergeCell ref="B6:B14"/>
    <mergeCell ref="E16:E26"/>
    <mergeCell ref="A27:G27"/>
    <mergeCell ref="A16:A26"/>
    <mergeCell ref="B16:B26"/>
  </mergeCells>
  <pageMargins left="0.25" right="0.25" top="0.75" bottom="0.75" header="0.3" footer="0.3"/>
  <pageSetup paperSize="9" scale="61" firstPageNumber="2" fitToHeight="0" orientation="landscape" r:id="rId1"/>
  <headerFooter>
    <oddHeader>&amp;L&amp;G</oddHeader>
  </headerFooter>
  <rowBreaks count="2" manualBreakCount="2">
    <brk id="35" max="6" man="1"/>
    <brk id="59" max="6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A80E-2D31-4F80-9E99-0FB7E1961D1F}">
  <sheetPr>
    <pageSetUpPr fitToPage="1"/>
  </sheetPr>
  <dimension ref="A1:H16"/>
  <sheetViews>
    <sheetView view="pageBreakPreview" zoomScale="70" zoomScaleNormal="70" zoomScaleSheetLayoutView="70" workbookViewId="0">
      <selection activeCell="C2" sqref="C2:E2"/>
    </sheetView>
  </sheetViews>
  <sheetFormatPr defaultColWidth="8.77734375" defaultRowHeight="15.75" x14ac:dyDescent="0.25"/>
  <cols>
    <col min="1" max="2" width="7.77734375" style="39" customWidth="1"/>
    <col min="3" max="3" width="52.109375" style="40" bestFit="1" customWidth="1"/>
    <col min="4" max="5" width="12.33203125" style="41" customWidth="1"/>
    <col min="6" max="6" width="72.109375" style="42" customWidth="1"/>
    <col min="7" max="7" width="23.33203125" style="43" customWidth="1"/>
    <col min="8" max="8" width="14.21875" style="31" customWidth="1"/>
    <col min="9" max="16384" width="8.77734375" style="31"/>
  </cols>
  <sheetData>
    <row r="1" spans="1:8" ht="30" customHeight="1" x14ac:dyDescent="0.25">
      <c r="A1" s="166" t="s">
        <v>1</v>
      </c>
      <c r="B1" s="167"/>
      <c r="C1" s="196" t="str">
        <f>'systém kódování'!B1</f>
        <v>BYTOVÝ SOUBOR LIBUŠE</v>
      </c>
      <c r="D1" s="196"/>
      <c r="E1" s="196"/>
      <c r="F1" s="48" t="s">
        <v>4</v>
      </c>
      <c r="G1" s="55" t="str">
        <f>'systém kódování'!$G$1</f>
        <v>01</v>
      </c>
    </row>
    <row r="2" spans="1:8" ht="30" customHeight="1" thickBot="1" x14ac:dyDescent="0.3">
      <c r="A2" s="169" t="s">
        <v>0</v>
      </c>
      <c r="B2" s="170"/>
      <c r="C2" s="171" t="str">
        <f>'systém kódování'!B2</f>
        <v>TABULKA SKLADEB A POVRCHŮ /  SURFACES AND STRUCTURES TABLE</v>
      </c>
      <c r="D2" s="171"/>
      <c r="E2" s="171"/>
      <c r="F2" s="49" t="s">
        <v>5</v>
      </c>
      <c r="G2" s="26" t="str">
        <f>'systém kódování'!$G$2</f>
        <v>30/11/2021</v>
      </c>
    </row>
    <row r="3" spans="1:8" s="34" customFormat="1" ht="16.5" customHeight="1" x14ac:dyDescent="0.25">
      <c r="A3" s="56"/>
      <c r="B3" s="56"/>
      <c r="C3" s="56"/>
      <c r="D3" s="57"/>
      <c r="E3" s="57"/>
      <c r="F3" s="57"/>
      <c r="G3" s="57"/>
    </row>
    <row r="4" spans="1:8" ht="47.25" x14ac:dyDescent="0.25">
      <c r="A4" s="172" t="s">
        <v>2</v>
      </c>
      <c r="B4" s="173"/>
      <c r="C4" s="109" t="s">
        <v>7</v>
      </c>
      <c r="D4" s="110" t="s">
        <v>9</v>
      </c>
      <c r="E4" s="110" t="s">
        <v>11</v>
      </c>
      <c r="F4" s="110" t="s">
        <v>8</v>
      </c>
      <c r="G4" s="110" t="s">
        <v>10</v>
      </c>
      <c r="H4" s="35"/>
    </row>
    <row r="5" spans="1:8" ht="18.75" x14ac:dyDescent="0.25">
      <c r="A5" s="174" t="s">
        <v>100</v>
      </c>
      <c r="B5" s="174"/>
      <c r="C5" s="174"/>
      <c r="D5" s="174"/>
      <c r="E5" s="174"/>
      <c r="F5" s="174"/>
      <c r="G5" s="174"/>
    </row>
    <row r="6" spans="1:8" s="34" customFormat="1" ht="15.6" customHeight="1" x14ac:dyDescent="0.25">
      <c r="A6" s="186" t="s">
        <v>19</v>
      </c>
      <c r="B6" s="188">
        <v>10</v>
      </c>
      <c r="C6" s="60" t="s">
        <v>29</v>
      </c>
      <c r="D6" s="61">
        <v>54</v>
      </c>
      <c r="E6" s="208">
        <f>SUM(D6:D8)</f>
        <v>67.5</v>
      </c>
      <c r="F6" s="60" t="s">
        <v>202</v>
      </c>
      <c r="G6" s="63" t="s">
        <v>364</v>
      </c>
      <c r="H6" s="38"/>
    </row>
    <row r="7" spans="1:8" s="34" customFormat="1" ht="15.6" customHeight="1" x14ac:dyDescent="0.25">
      <c r="A7" s="187"/>
      <c r="B7" s="189"/>
      <c r="C7" s="60" t="s">
        <v>102</v>
      </c>
      <c r="D7" s="61">
        <v>12.5</v>
      </c>
      <c r="E7" s="203"/>
      <c r="F7" s="62" t="s">
        <v>99</v>
      </c>
      <c r="G7" s="63" t="s">
        <v>365</v>
      </c>
      <c r="H7" s="38"/>
    </row>
    <row r="8" spans="1:8" s="34" customFormat="1" ht="15.75" customHeight="1" x14ac:dyDescent="0.25">
      <c r="A8" s="217"/>
      <c r="B8" s="199"/>
      <c r="C8" s="99" t="s">
        <v>158</v>
      </c>
      <c r="D8" s="61">
        <v>1</v>
      </c>
      <c r="E8" s="204"/>
      <c r="F8" s="108" t="s">
        <v>159</v>
      </c>
      <c r="G8" s="63"/>
    </row>
    <row r="9" spans="1:8" ht="18.75" x14ac:dyDescent="0.25">
      <c r="A9" s="174" t="s">
        <v>97</v>
      </c>
      <c r="B9" s="174"/>
      <c r="C9" s="174"/>
      <c r="D9" s="174"/>
      <c r="E9" s="174"/>
      <c r="F9" s="174"/>
      <c r="G9" s="174"/>
    </row>
    <row r="10" spans="1:8" s="34" customFormat="1" ht="15.75" customHeight="1" x14ac:dyDescent="0.25">
      <c r="A10" s="186" t="s">
        <v>19</v>
      </c>
      <c r="B10" s="188">
        <v>20</v>
      </c>
      <c r="C10" s="60" t="s">
        <v>29</v>
      </c>
      <c r="D10" s="61">
        <v>54</v>
      </c>
      <c r="E10" s="208">
        <f>SUM(D10:D12)</f>
        <v>67.5</v>
      </c>
      <c r="F10" s="99" t="s">
        <v>367</v>
      </c>
      <c r="G10" s="63" t="s">
        <v>363</v>
      </c>
    </row>
    <row r="11" spans="1:8" s="34" customFormat="1" ht="15.75" customHeight="1" x14ac:dyDescent="0.25">
      <c r="A11" s="187"/>
      <c r="B11" s="189"/>
      <c r="C11" s="60" t="s">
        <v>30</v>
      </c>
      <c r="D11" s="61">
        <v>12.5</v>
      </c>
      <c r="E11" s="203"/>
      <c r="F11" s="101" t="s">
        <v>366</v>
      </c>
      <c r="G11" s="63" t="s">
        <v>342</v>
      </c>
    </row>
    <row r="12" spans="1:8" s="34" customFormat="1" ht="15.75" customHeight="1" x14ac:dyDescent="0.25">
      <c r="A12" s="217"/>
      <c r="B12" s="199"/>
      <c r="C12" s="99" t="s">
        <v>158</v>
      </c>
      <c r="D12" s="100">
        <v>1</v>
      </c>
      <c r="E12" s="204"/>
      <c r="F12" s="108" t="s">
        <v>159</v>
      </c>
      <c r="G12" s="63"/>
    </row>
    <row r="13" spans="1:8" ht="18.75" x14ac:dyDescent="0.25">
      <c r="A13" s="174" t="s">
        <v>98</v>
      </c>
      <c r="B13" s="174"/>
      <c r="C13" s="174"/>
      <c r="D13" s="174"/>
      <c r="E13" s="174"/>
      <c r="F13" s="174"/>
      <c r="G13" s="174"/>
    </row>
    <row r="14" spans="1:8" s="34" customFormat="1" ht="15.6" customHeight="1" x14ac:dyDescent="0.25">
      <c r="A14" s="186" t="s">
        <v>19</v>
      </c>
      <c r="B14" s="188">
        <v>21</v>
      </c>
      <c r="C14" s="60" t="s">
        <v>29</v>
      </c>
      <c r="D14" s="61">
        <v>54</v>
      </c>
      <c r="E14" s="208">
        <f>SUM(D14:D16)</f>
        <v>67.5</v>
      </c>
      <c r="F14" s="60" t="s">
        <v>367</v>
      </c>
      <c r="G14" s="63" t="s">
        <v>363</v>
      </c>
      <c r="H14" s="38"/>
    </row>
    <row r="15" spans="1:8" s="34" customFormat="1" ht="15.6" customHeight="1" x14ac:dyDescent="0.25">
      <c r="A15" s="187"/>
      <c r="B15" s="189"/>
      <c r="C15" s="60" t="s">
        <v>31</v>
      </c>
      <c r="D15" s="61">
        <v>12.5</v>
      </c>
      <c r="E15" s="203"/>
      <c r="F15" s="62" t="s">
        <v>362</v>
      </c>
      <c r="G15" s="63" t="s">
        <v>360</v>
      </c>
      <c r="H15" s="38"/>
    </row>
    <row r="16" spans="1:8" s="34" customFormat="1" ht="15.75" customHeight="1" x14ac:dyDescent="0.25">
      <c r="A16" s="217"/>
      <c r="B16" s="199"/>
      <c r="C16" s="99" t="s">
        <v>158</v>
      </c>
      <c r="D16" s="100">
        <v>1</v>
      </c>
      <c r="E16" s="204"/>
      <c r="F16" s="108" t="s">
        <v>159</v>
      </c>
      <c r="G16" s="63"/>
    </row>
  </sheetData>
  <mergeCells count="17">
    <mergeCell ref="A13:G13"/>
    <mergeCell ref="A14:A16"/>
    <mergeCell ref="B14:B16"/>
    <mergeCell ref="E14:E16"/>
    <mergeCell ref="A9:G9"/>
    <mergeCell ref="A10:A12"/>
    <mergeCell ref="B10:B12"/>
    <mergeCell ref="E10:E12"/>
    <mergeCell ref="A5:G5"/>
    <mergeCell ref="A6:A8"/>
    <mergeCell ref="B6:B8"/>
    <mergeCell ref="E6:E8"/>
    <mergeCell ref="A1:B1"/>
    <mergeCell ref="A2:B2"/>
    <mergeCell ref="A4:B4"/>
    <mergeCell ref="C2:E2"/>
    <mergeCell ref="C1:E1"/>
  </mergeCells>
  <pageMargins left="0.25" right="0.25" top="0.75" bottom="0.75" header="0.3" footer="0.3"/>
  <pageSetup paperSize="9" scale="63" firstPageNumber="2" fitToHeight="0" orientation="landscape" r:id="rId1"/>
  <headerFooter>
    <oddHeader>&amp;L&amp;G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11</vt:i4>
      </vt:variant>
    </vt:vector>
  </HeadingPairs>
  <TitlesOfParts>
    <vt:vector size="17" baseType="lpstr">
      <vt:lpstr>systém kódování</vt:lpstr>
      <vt:lpstr>povrchy</vt:lpstr>
      <vt:lpstr>skladby_podlah</vt:lpstr>
      <vt:lpstr>skladby sten</vt:lpstr>
      <vt:lpstr>skladby strech</vt:lpstr>
      <vt:lpstr>podhledy</vt:lpstr>
      <vt:lpstr>podhledy!Print_Area</vt:lpstr>
      <vt:lpstr>povrchy!Print_Area</vt:lpstr>
      <vt:lpstr>'skladby sten'!Print_Area</vt:lpstr>
      <vt:lpstr>'skladby strech'!Print_Area</vt:lpstr>
      <vt:lpstr>skladby_podlah!Print_Area</vt:lpstr>
      <vt:lpstr>'systém kódování'!Print_Area</vt:lpstr>
      <vt:lpstr>podhledy!Print_Titles</vt:lpstr>
      <vt:lpstr>povrchy!Print_Titles</vt:lpstr>
      <vt:lpstr>'skladby sten'!Print_Titles</vt:lpstr>
      <vt:lpstr>'skladby strech'!Print_Titles</vt:lpstr>
      <vt:lpstr>skladby_podlah!Print_Titles</vt:lpstr>
    </vt:vector>
  </TitlesOfParts>
  <Company>PM Group CZ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 Group CZ</dc:creator>
  <cp:lastModifiedBy>Zdeněk Vávra</cp:lastModifiedBy>
  <cp:lastPrinted>2021-11-19T08:23:11Z</cp:lastPrinted>
  <dcterms:created xsi:type="dcterms:W3CDTF">2002-03-27T08:08:35Z</dcterms:created>
  <dcterms:modified xsi:type="dcterms:W3CDTF">2021-12-09T16:20:43Z</dcterms:modified>
</cp:coreProperties>
</file>